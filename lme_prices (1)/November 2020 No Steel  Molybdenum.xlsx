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LANILHAS LME MENSAIS\Ano 2020\"/>
    </mc:Choice>
  </mc:AlternateContent>
  <xr:revisionPtr revIDLastSave="0" documentId="8_{90536653-4D12-4083-8057-F66E8EEDEA07}" xr6:coauthVersionLast="45" xr6:coauthVersionMax="45" xr10:uidLastSave="{00000000-0000-0000-0000-000000000000}"/>
  <bookViews>
    <workbookView xWindow="-120" yWindow="-120" windowWidth="20730" windowHeight="11160" tabRatio="993" activeTab="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R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K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I30" i="10"/>
  <c r="K30" i="10" s="1"/>
  <c r="H30" i="10"/>
  <c r="G30" i="10"/>
  <c r="F30" i="10"/>
  <c r="D30" i="10"/>
  <c r="C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1" i="10" s="1"/>
  <c r="K9" i="10"/>
  <c r="K32" i="10" s="1"/>
  <c r="H9" i="10"/>
  <c r="H32" i="10" s="1"/>
  <c r="E9" i="10"/>
  <c r="E32" i="10" s="1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Q30" i="8" s="1"/>
  <c r="O30" i="8"/>
  <c r="M30" i="8"/>
  <c r="L30" i="8"/>
  <c r="N30" i="8" s="1"/>
  <c r="J30" i="8"/>
  <c r="I30" i="8"/>
  <c r="G30" i="8"/>
  <c r="F30" i="8"/>
  <c r="H30" i="8" s="1"/>
  <c r="D30" i="8"/>
  <c r="E30" i="8" s="1"/>
  <c r="C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31" i="8" s="1"/>
  <c r="Q9" i="8"/>
  <c r="Q32" i="8" s="1"/>
  <c r="N9" i="8"/>
  <c r="K9" i="8"/>
  <c r="H9" i="8"/>
  <c r="E9" i="8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H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K30" i="7" s="1"/>
  <c r="G30" i="7"/>
  <c r="F30" i="7"/>
  <c r="H30" i="7" s="1"/>
  <c r="D30" i="7"/>
  <c r="C30" i="7"/>
  <c r="E30" i="7" s="1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E31" i="7" s="1"/>
  <c r="R9" i="7"/>
  <c r="R32" i="7" s="1"/>
  <c r="K9" i="7"/>
  <c r="K31" i="7" s="1"/>
  <c r="H9" i="7"/>
  <c r="H32" i="7" s="1"/>
  <c r="E9" i="7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Q30" i="6" s="1"/>
  <c r="N30" i="6"/>
  <c r="M30" i="6"/>
  <c r="L30" i="6"/>
  <c r="J30" i="6"/>
  <c r="I30" i="6"/>
  <c r="G30" i="6"/>
  <c r="F30" i="6"/>
  <c r="H30" i="6" s="1"/>
  <c r="D30" i="6"/>
  <c r="C30" i="6"/>
  <c r="E30" i="6" s="1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K31" i="6" s="1"/>
  <c r="H11" i="6"/>
  <c r="E11" i="6"/>
  <c r="X10" i="6"/>
  <c r="Q10" i="6"/>
  <c r="N10" i="6"/>
  <c r="K10" i="6"/>
  <c r="H10" i="6"/>
  <c r="E10" i="6"/>
  <c r="E32" i="6" s="1"/>
  <c r="X9" i="6"/>
  <c r="Q9" i="6"/>
  <c r="N9" i="6"/>
  <c r="K9" i="6"/>
  <c r="H9" i="6"/>
  <c r="E9" i="6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Q30" i="5" s="1"/>
  <c r="M30" i="5"/>
  <c r="N30" i="5" s="1"/>
  <c r="L30" i="5"/>
  <c r="J30" i="5"/>
  <c r="I30" i="5"/>
  <c r="K30" i="5" s="1"/>
  <c r="G30" i="5"/>
  <c r="F30" i="5"/>
  <c r="D30" i="5"/>
  <c r="C30" i="5"/>
  <c r="E30" i="5" s="1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Q9" i="5"/>
  <c r="N9" i="5"/>
  <c r="N32" i="5" s="1"/>
  <c r="K9" i="5"/>
  <c r="H9" i="5"/>
  <c r="E9" i="5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K30" i="4" s="1"/>
  <c r="H30" i="4"/>
  <c r="G30" i="4"/>
  <c r="F30" i="4"/>
  <c r="D30" i="4"/>
  <c r="C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E31" i="4" s="1"/>
  <c r="X9" i="4"/>
  <c r="Q9" i="4"/>
  <c r="Q31" i="4" s="1"/>
  <c r="N9" i="4"/>
  <c r="K9" i="4"/>
  <c r="H9" i="4"/>
  <c r="E9" i="4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K30" i="3" s="1"/>
  <c r="G30" i="3"/>
  <c r="F30" i="3"/>
  <c r="H30" i="3" s="1"/>
  <c r="D30" i="3"/>
  <c r="E30" i="3" s="1"/>
  <c r="C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H32" i="3" s="1"/>
  <c r="E10" i="3"/>
  <c r="R9" i="3"/>
  <c r="K9" i="3"/>
  <c r="H9" i="3"/>
  <c r="H31" i="3" s="1"/>
  <c r="E9" i="3"/>
  <c r="E32" i="3" s="1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K30" i="2" s="1"/>
  <c r="G30" i="2"/>
  <c r="F30" i="2"/>
  <c r="H30" i="2" s="1"/>
  <c r="D30" i="2"/>
  <c r="C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1" i="2" s="1"/>
  <c r="K9" i="2"/>
  <c r="K31" i="2" s="1"/>
  <c r="H9" i="2"/>
  <c r="E9" i="2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Q30" i="1" s="1"/>
  <c r="M30" i="1"/>
  <c r="L30" i="1"/>
  <c r="J30" i="1"/>
  <c r="I30" i="1"/>
  <c r="K30" i="1" s="1"/>
  <c r="G30" i="1"/>
  <c r="F30" i="1"/>
  <c r="D30" i="1"/>
  <c r="E30" i="1" s="1"/>
  <c r="C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K32" i="1" s="1"/>
  <c r="H10" i="1"/>
  <c r="E10" i="1"/>
  <c r="X9" i="1"/>
  <c r="Q9" i="1"/>
  <c r="N9" i="1"/>
  <c r="K9" i="1"/>
  <c r="H9" i="1"/>
  <c r="E9" i="1"/>
  <c r="E31" i="1" s="1"/>
  <c r="N32" i="1" l="1"/>
  <c r="K31" i="4"/>
  <c r="K32" i="6"/>
  <c r="Q32" i="6"/>
  <c r="E32" i="8"/>
  <c r="K32" i="8"/>
  <c r="Q31" i="1"/>
  <c r="E32" i="2"/>
  <c r="K31" i="3"/>
  <c r="N31" i="4"/>
  <c r="X30" i="4"/>
  <c r="N31" i="6"/>
  <c r="K30" i="6"/>
  <c r="E32" i="7"/>
  <c r="H31" i="8"/>
  <c r="E30" i="10"/>
  <c r="X30" i="1"/>
  <c r="H31" i="2"/>
  <c r="R32" i="3"/>
  <c r="Q32" i="4"/>
  <c r="E31" i="5"/>
  <c r="K31" i="5"/>
  <c r="Q31" i="6"/>
  <c r="K31" i="8"/>
  <c r="E31" i="8"/>
  <c r="N30" i="1"/>
  <c r="K32" i="2"/>
  <c r="E31" i="3"/>
  <c r="X31" i="4"/>
  <c r="N30" i="4"/>
  <c r="H32" i="5"/>
  <c r="H30" i="5"/>
  <c r="N31" i="5"/>
  <c r="X31" i="6"/>
  <c r="N31" i="8"/>
  <c r="X30" i="8"/>
  <c r="K30" i="8"/>
  <c r="Q31" i="8"/>
  <c r="R32" i="2"/>
  <c r="E30" i="4"/>
  <c r="H31" i="1"/>
  <c r="H30" i="1"/>
  <c r="N31" i="1"/>
  <c r="E30" i="2"/>
  <c r="E32" i="4"/>
  <c r="K32" i="4"/>
  <c r="Q30" i="4"/>
  <c r="Q31" i="5"/>
  <c r="E31" i="6"/>
  <c r="H31" i="4"/>
  <c r="X30" i="5"/>
  <c r="H32" i="6"/>
  <c r="N32" i="4"/>
  <c r="X32" i="6"/>
  <c r="K32" i="7"/>
  <c r="N32" i="8"/>
  <c r="K31" i="1"/>
  <c r="H32" i="1"/>
  <c r="X32" i="1"/>
  <c r="H31" i="6"/>
  <c r="R30" i="7"/>
  <c r="H31" i="10"/>
  <c r="X31" i="1"/>
  <c r="E32" i="1"/>
  <c r="Q32" i="1"/>
  <c r="R30" i="2"/>
  <c r="E31" i="2"/>
  <c r="H32" i="2"/>
  <c r="R31" i="3"/>
  <c r="H32" i="4"/>
  <c r="X32" i="4"/>
  <c r="H31" i="5"/>
  <c r="X31" i="5"/>
  <c r="E32" i="5"/>
  <c r="Q32" i="5"/>
  <c r="X30" i="6"/>
  <c r="N32" i="6"/>
  <c r="R31" i="7"/>
  <c r="H32" i="8"/>
  <c r="X32" i="8"/>
  <c r="R30" i="10"/>
  <c r="E31" i="10"/>
  <c r="K32" i="3"/>
  <c r="K32" i="5"/>
  <c r="R30" i="3"/>
  <c r="X32" i="5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<sst xmlns="http://schemas.openxmlformats.org/spreadsheetml/2006/main" count="429" uniqueCount="99">
  <si>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</si>
  <si>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</si>
  <si>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</si>
  <si>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</si>
  <si>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</si>
  <si>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</si>
  <si>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</si>
  <si>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</si>
  <si>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</si>
  <si>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</si>
  <si>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</si>
  <si>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</si>
  <si>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</si>
  <si>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</si>
  <si>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</si>
  <si>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</si>
  <si>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</si>
  <si>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</si>
  <si>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</si>
  <si>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</si>
  <si>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</si>
  <si>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</si>
  <si>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</si>
  <si>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</si>
  <si>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</si>
  <si>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</si>
  <si>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</si>
  <si>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</si>
  <si>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</si>
  <si>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</si>
  <si>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</si>
  <si>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</si>
  <si>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</si>
  <si>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</si>
  <si>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</si>
  <si>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</si>
  <si>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</si>
  <si>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</si>
  <si>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</si>
  <si>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</si>
  <si>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</si>
  <si>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</si>
  <si>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</si>
  <si>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</si>
  <si>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</si>
  <si>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</si>
  <si>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</si>
  <si>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</si>
  <si>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</si>
  <si>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</si>
  <si>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</si>
  <si>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</si>
  <si>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</si>
  <si>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</si>
  <si>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</si>
  <si>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</si>
  <si>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</si>
  <si>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</si>
  <si>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</si>
  <si>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</si>
  <si>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</si>
  <si>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</si>
  <si>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</si>
  <si>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</si>
  <si>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</si>
  <si>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</si>
  <si>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</si>
  <si>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</si>
  <si>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</si>
  <si>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</si>
  <si>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</si>
  <si>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</si>
  <si>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</si>
  <si>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</si>
  <si>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</si>
  <si>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</si>
  <si>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</si>
  <si>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</si>
  <si>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</si>
  <si>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</si>
  <si>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</si>
  <si>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</si>
  <si>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</si>
  <si>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</si>
  <si>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</si>
  <si>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</si>
  <si>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</si>
  <si>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</si>
  <si>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</si>
  <si>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</si>
  <si>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</si>
  <si>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</si>
  <si>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</si>
  <si>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</si>
  <si>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</si>
  <si>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NOVEMBER 2020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</si>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</sst>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44137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44137</v>
      </c>
      <c r="C9" s="46">
        <v>6712.5</v>
      </c>
      <c r="D9" s="45">
        <v>6712.5</v>
      </c>
      <c r="E9" s="44">
        <f t="shared" ref="E9:E29" si="0">AVERAGE(C9:D9)</f>
        <v>6712.5</v>
      </c>
      <c r="F9" s="46">
        <v>6725</v>
      </c>
      <c r="G9" s="45">
        <v>6725</v>
      </c>
      <c r="H9" s="44">
        <f t="shared" ref="H9:H29" si="1">AVERAGE(F9:G9)</f>
        <v>6725</v>
      </c>
      <c r="I9" s="46">
        <v>6736.5</v>
      </c>
      <c r="J9" s="45">
        <v>6736.5</v>
      </c>
      <c r="K9" s="44">
        <f t="shared" ref="K9:K29" si="2">AVERAGE(I9:J9)</f>
        <v>6736.5</v>
      </c>
      <c r="L9" s="46">
        <v>6741.5</v>
      </c>
      <c r="M9" s="45">
        <v>6741.5</v>
      </c>
      <c r="N9" s="44">
        <f t="shared" ref="N9:N29" si="3">AVERAGE(L9:M9)</f>
        <v>6741.5</v>
      </c>
      <c r="O9" s="46">
        <v>6749.5</v>
      </c>
      <c r="P9" s="45">
        <v>6749.5</v>
      </c>
      <c r="Q9" s="44">
        <f t="shared" ref="Q9:Q29" si="4">AVERAGE(O9:P9)</f>
        <v>6749.5</v>
      </c>
      <c r="R9" s="52">
        <v>6712.5</v>
      </c>
      <c r="S9" s="51">
        <v>1.2926</v>
      </c>
      <c r="T9" s="53">
        <v>1.1646000000000001</v>
      </c>
      <c r="U9" s="50">
        <v>104.67</v>
      </c>
      <c r="V9" s="43">
        <v>5193.0200000000004</v>
      </c>
      <c r="W9" s="43">
        <v>5199.07</v>
      </c>
      <c r="X9" s="49">
        <f t="shared" ref="X9:X29" si="5">R9/T9</f>
        <v>5763.7815558990205</v>
      </c>
      <c r="Y9" s="48">
        <v>1.2935000000000001</v>
      </c>
    </row>
    <row r="10" spans="1:25" x14ac:dyDescent="0.2">
      <c r="B10" s="47">
        <v>44138</v>
      </c>
      <c r="C10" s="46">
        <v>6791.5</v>
      </c>
      <c r="D10" s="45">
        <v>6791.5</v>
      </c>
      <c r="E10" s="44">
        <f t="shared" si="0"/>
        <v>6791.5</v>
      </c>
      <c r="F10" s="46">
        <v>6801</v>
      </c>
      <c r="G10" s="45">
        <v>6801</v>
      </c>
      <c r="H10" s="44">
        <f t="shared" si="1"/>
        <v>6801</v>
      </c>
      <c r="I10" s="46">
        <v>6813</v>
      </c>
      <c r="J10" s="45">
        <v>6813</v>
      </c>
      <c r="K10" s="44">
        <f t="shared" si="2"/>
        <v>6813</v>
      </c>
      <c r="L10" s="46">
        <v>6820</v>
      </c>
      <c r="M10" s="45">
        <v>6820</v>
      </c>
      <c r="N10" s="44">
        <f t="shared" si="3"/>
        <v>6820</v>
      </c>
      <c r="O10" s="46">
        <v>6827.5</v>
      </c>
      <c r="P10" s="45">
        <v>6827.5</v>
      </c>
      <c r="Q10" s="44">
        <f t="shared" si="4"/>
        <v>6827.5</v>
      </c>
      <c r="R10" s="52">
        <v>6791.5</v>
      </c>
      <c r="S10" s="51">
        <v>1.2987</v>
      </c>
      <c r="T10" s="51">
        <v>1.1698999999999999</v>
      </c>
      <c r="U10" s="50">
        <v>104.69</v>
      </c>
      <c r="V10" s="43">
        <v>5229.46</v>
      </c>
      <c r="W10" s="43">
        <v>5233.1499999999996</v>
      </c>
      <c r="X10" s="49">
        <f t="shared" si="5"/>
        <v>5805.1970253867858</v>
      </c>
      <c r="Y10" s="48">
        <v>1.2996000000000001</v>
      </c>
    </row>
    <row r="11" spans="1:25" x14ac:dyDescent="0.2">
      <c r="B11" s="47">
        <v>44139</v>
      </c>
      <c r="C11" s="46">
        <v>6748</v>
      </c>
      <c r="D11" s="45">
        <v>6748</v>
      </c>
      <c r="E11" s="44">
        <f t="shared" si="0"/>
        <v>6748</v>
      </c>
      <c r="F11" s="46">
        <v>6760</v>
      </c>
      <c r="G11" s="45">
        <v>6760</v>
      </c>
      <c r="H11" s="44">
        <f t="shared" si="1"/>
        <v>6760</v>
      </c>
      <c r="I11" s="46">
        <v>6767</v>
      </c>
      <c r="J11" s="45">
        <v>6767</v>
      </c>
      <c r="K11" s="44">
        <f t="shared" si="2"/>
        <v>6767</v>
      </c>
      <c r="L11" s="46">
        <v>6763</v>
      </c>
      <c r="M11" s="45">
        <v>6763</v>
      </c>
      <c r="N11" s="44">
        <f t="shared" si="3"/>
        <v>6763</v>
      </c>
      <c r="O11" s="46">
        <v>6773</v>
      </c>
      <c r="P11" s="45">
        <v>6773</v>
      </c>
      <c r="Q11" s="44">
        <f t="shared" si="4"/>
        <v>6773</v>
      </c>
      <c r="R11" s="52">
        <v>6748</v>
      </c>
      <c r="S11" s="51">
        <v>1.3041</v>
      </c>
      <c r="T11" s="51">
        <v>1.1718999999999999</v>
      </c>
      <c r="U11" s="50">
        <v>104.38</v>
      </c>
      <c r="V11" s="43">
        <v>5174.45</v>
      </c>
      <c r="W11" s="43">
        <v>5180.08</v>
      </c>
      <c r="X11" s="49">
        <f t="shared" si="5"/>
        <v>5758.1704923628295</v>
      </c>
      <c r="Y11" s="48">
        <v>1.3049999999999999</v>
      </c>
    </row>
    <row r="12" spans="1:25" x14ac:dyDescent="0.2">
      <c r="B12" s="47">
        <v>44140</v>
      </c>
      <c r="C12" s="46">
        <v>6798</v>
      </c>
      <c r="D12" s="45">
        <v>6798</v>
      </c>
      <c r="E12" s="44">
        <f t="shared" si="0"/>
        <v>6798</v>
      </c>
      <c r="F12" s="46">
        <v>6808</v>
      </c>
      <c r="G12" s="45">
        <v>6808</v>
      </c>
      <c r="H12" s="44">
        <f t="shared" si="1"/>
        <v>6808</v>
      </c>
      <c r="I12" s="46">
        <v>6820</v>
      </c>
      <c r="J12" s="45">
        <v>6820</v>
      </c>
      <c r="K12" s="44">
        <f t="shared" si="2"/>
        <v>6820</v>
      </c>
      <c r="L12" s="46">
        <v>6824</v>
      </c>
      <c r="M12" s="45">
        <v>6824</v>
      </c>
      <c r="N12" s="44">
        <f t="shared" si="3"/>
        <v>6824</v>
      </c>
      <c r="O12" s="46">
        <v>6834</v>
      </c>
      <c r="P12" s="45">
        <v>6834</v>
      </c>
      <c r="Q12" s="44">
        <f t="shared" si="4"/>
        <v>6834</v>
      </c>
      <c r="R12" s="52">
        <v>6798</v>
      </c>
      <c r="S12" s="51">
        <v>1.3084</v>
      </c>
      <c r="T12" s="51">
        <v>1.1845000000000001</v>
      </c>
      <c r="U12" s="50">
        <v>103.81</v>
      </c>
      <c r="V12" s="43">
        <v>5195.66</v>
      </c>
      <c r="W12" s="43">
        <v>5200.12</v>
      </c>
      <c r="X12" s="49">
        <f t="shared" si="5"/>
        <v>5739.1304347826081</v>
      </c>
      <c r="Y12" s="48">
        <v>1.3091999999999999</v>
      </c>
    </row>
    <row r="13" spans="1:25" x14ac:dyDescent="0.2">
      <c r="B13" s="47">
        <v>44141</v>
      </c>
      <c r="C13" s="46">
        <v>6938.5</v>
      </c>
      <c r="D13" s="45">
        <v>6938.5</v>
      </c>
      <c r="E13" s="44">
        <f t="shared" si="0"/>
        <v>6938.5</v>
      </c>
      <c r="F13" s="46">
        <v>6946.5</v>
      </c>
      <c r="G13" s="45">
        <v>6946.5</v>
      </c>
      <c r="H13" s="44">
        <f t="shared" si="1"/>
        <v>6946.5</v>
      </c>
      <c r="I13" s="46">
        <v>6956</v>
      </c>
      <c r="J13" s="45">
        <v>6956</v>
      </c>
      <c r="K13" s="44">
        <f t="shared" si="2"/>
        <v>6956</v>
      </c>
      <c r="L13" s="46">
        <v>6956</v>
      </c>
      <c r="M13" s="45">
        <v>6956</v>
      </c>
      <c r="N13" s="44">
        <f t="shared" si="3"/>
        <v>6956</v>
      </c>
      <c r="O13" s="46">
        <v>6956</v>
      </c>
      <c r="P13" s="45">
        <v>6956</v>
      </c>
      <c r="Q13" s="44">
        <f t="shared" si="4"/>
        <v>6956</v>
      </c>
      <c r="R13" s="52">
        <v>6938.5</v>
      </c>
      <c r="S13" s="51">
        <v>1.3120000000000001</v>
      </c>
      <c r="T13" s="51">
        <v>1.1875</v>
      </c>
      <c r="U13" s="50">
        <v>103.35</v>
      </c>
      <c r="V13" s="43">
        <v>5288.49</v>
      </c>
      <c r="W13" s="43">
        <v>5291.36</v>
      </c>
      <c r="X13" s="49">
        <f t="shared" si="5"/>
        <v>5842.9473684210525</v>
      </c>
      <c r="Y13" s="48">
        <v>1.3128</v>
      </c>
    </row>
    <row r="14" spans="1:25" x14ac:dyDescent="0.2">
      <c r="B14" s="47">
        <v>44144</v>
      </c>
      <c r="C14" s="46">
        <v>7034</v>
      </c>
      <c r="D14" s="45">
        <v>7034</v>
      </c>
      <c r="E14" s="44">
        <f t="shared" si="0"/>
        <v>7034</v>
      </c>
      <c r="F14" s="46">
        <v>7045</v>
      </c>
      <c r="G14" s="45">
        <v>7045</v>
      </c>
      <c r="H14" s="44">
        <f t="shared" si="1"/>
        <v>7045</v>
      </c>
      <c r="I14" s="46">
        <v>7051.5</v>
      </c>
      <c r="J14" s="45">
        <v>7051.5</v>
      </c>
      <c r="K14" s="44">
        <f t="shared" si="2"/>
        <v>7051.5</v>
      </c>
      <c r="L14" s="46">
        <v>7051.5</v>
      </c>
      <c r="M14" s="45">
        <v>7051.5</v>
      </c>
      <c r="N14" s="44">
        <f t="shared" si="3"/>
        <v>7051.5</v>
      </c>
      <c r="O14" s="46">
        <v>7051</v>
      </c>
      <c r="P14" s="45">
        <v>7051</v>
      </c>
      <c r="Q14" s="44">
        <f t="shared" si="4"/>
        <v>7051</v>
      </c>
      <c r="R14" s="52">
        <v>7034</v>
      </c>
      <c r="S14" s="51">
        <v>1.3169999999999999</v>
      </c>
      <c r="T14" s="51">
        <v>1.1894</v>
      </c>
      <c r="U14" s="50">
        <v>104.97</v>
      </c>
      <c r="V14" s="43">
        <v>5340.93</v>
      </c>
      <c r="W14" s="43">
        <v>5346.03</v>
      </c>
      <c r="X14" s="49">
        <f t="shared" si="5"/>
        <v>5913.9061711787454</v>
      </c>
      <c r="Y14" s="48">
        <v>1.3178000000000001</v>
      </c>
    </row>
    <row r="15" spans="1:25" x14ac:dyDescent="0.2">
      <c r="B15" s="47">
        <v>44145</v>
      </c>
      <c r="C15" s="46">
        <v>6865.5</v>
      </c>
      <c r="D15" s="45">
        <v>6865.5</v>
      </c>
      <c r="E15" s="44">
        <f t="shared" si="0"/>
        <v>6865.5</v>
      </c>
      <c r="F15" s="46">
        <v>6882</v>
      </c>
      <c r="G15" s="45">
        <v>6882</v>
      </c>
      <c r="H15" s="44">
        <f t="shared" si="1"/>
        <v>6882</v>
      </c>
      <c r="I15" s="46">
        <v>6892</v>
      </c>
      <c r="J15" s="45">
        <v>6892</v>
      </c>
      <c r="K15" s="44">
        <f t="shared" si="2"/>
        <v>6892</v>
      </c>
      <c r="L15" s="46">
        <v>6897</v>
      </c>
      <c r="M15" s="45">
        <v>6897</v>
      </c>
      <c r="N15" s="44">
        <f t="shared" si="3"/>
        <v>6897</v>
      </c>
      <c r="O15" s="46">
        <v>6897</v>
      </c>
      <c r="P15" s="45">
        <v>6897</v>
      </c>
      <c r="Q15" s="44">
        <f t="shared" si="4"/>
        <v>6897</v>
      </c>
      <c r="R15" s="52">
        <v>6865.5</v>
      </c>
      <c r="S15" s="51">
        <v>1.3250999999999999</v>
      </c>
      <c r="T15" s="51">
        <v>1.181</v>
      </c>
      <c r="U15" s="50">
        <v>105.29</v>
      </c>
      <c r="V15" s="43">
        <v>5181.12</v>
      </c>
      <c r="W15" s="43">
        <v>5190.05</v>
      </c>
      <c r="X15" s="49">
        <f t="shared" si="5"/>
        <v>5813.2938187976288</v>
      </c>
      <c r="Y15" s="48">
        <v>1.3260000000000001</v>
      </c>
    </row>
    <row r="16" spans="1:25" x14ac:dyDescent="0.2">
      <c r="B16" s="47">
        <v>44146</v>
      </c>
      <c r="C16" s="46">
        <v>6912.5</v>
      </c>
      <c r="D16" s="45">
        <v>6912.5</v>
      </c>
      <c r="E16" s="44">
        <f t="shared" si="0"/>
        <v>6912.5</v>
      </c>
      <c r="F16" s="46">
        <v>6934</v>
      </c>
      <c r="G16" s="45">
        <v>6934</v>
      </c>
      <c r="H16" s="44">
        <f t="shared" si="1"/>
        <v>6934</v>
      </c>
      <c r="I16" s="46">
        <v>6944.5</v>
      </c>
      <c r="J16" s="45">
        <v>6944.5</v>
      </c>
      <c r="K16" s="44">
        <f t="shared" si="2"/>
        <v>6944.5</v>
      </c>
      <c r="L16" s="46">
        <v>6948.5</v>
      </c>
      <c r="M16" s="45">
        <v>6948.5</v>
      </c>
      <c r="N16" s="44">
        <f t="shared" si="3"/>
        <v>6948.5</v>
      </c>
      <c r="O16" s="46">
        <v>6953.5</v>
      </c>
      <c r="P16" s="45">
        <v>6953.5</v>
      </c>
      <c r="Q16" s="44">
        <f t="shared" si="4"/>
        <v>6953.5</v>
      </c>
      <c r="R16" s="52">
        <v>6912.5</v>
      </c>
      <c r="S16" s="51">
        <v>1.3227</v>
      </c>
      <c r="T16" s="51">
        <v>1.1774</v>
      </c>
      <c r="U16" s="50">
        <v>105.5</v>
      </c>
      <c r="V16" s="43">
        <v>5226.05</v>
      </c>
      <c r="W16" s="43">
        <v>5238.74</v>
      </c>
      <c r="X16" s="49">
        <f t="shared" si="5"/>
        <v>5870.9869203329372</v>
      </c>
      <c r="Y16" s="48">
        <v>1.3236000000000001</v>
      </c>
    </row>
    <row r="17" spans="2:25" x14ac:dyDescent="0.2">
      <c r="B17" s="47">
        <v>44147</v>
      </c>
      <c r="C17" s="46">
        <v>6904</v>
      </c>
      <c r="D17" s="45">
        <v>6904</v>
      </c>
      <c r="E17" s="44">
        <f t="shared" si="0"/>
        <v>6904</v>
      </c>
      <c r="F17" s="46">
        <v>6921.5</v>
      </c>
      <c r="G17" s="45">
        <v>6921.5</v>
      </c>
      <c r="H17" s="44">
        <f t="shared" si="1"/>
        <v>6921.5</v>
      </c>
      <c r="I17" s="46">
        <v>6929</v>
      </c>
      <c r="J17" s="45">
        <v>6929</v>
      </c>
      <c r="K17" s="44">
        <f t="shared" si="2"/>
        <v>6929</v>
      </c>
      <c r="L17" s="46">
        <v>6926</v>
      </c>
      <c r="M17" s="45">
        <v>6926</v>
      </c>
      <c r="N17" s="44">
        <f t="shared" si="3"/>
        <v>6926</v>
      </c>
      <c r="O17" s="46">
        <v>6931</v>
      </c>
      <c r="P17" s="45">
        <v>6931</v>
      </c>
      <c r="Q17" s="44">
        <f t="shared" si="4"/>
        <v>6931</v>
      </c>
      <c r="R17" s="52">
        <v>6904</v>
      </c>
      <c r="S17" s="51">
        <v>1.3142</v>
      </c>
      <c r="T17" s="51">
        <v>1.1798</v>
      </c>
      <c r="U17" s="50">
        <v>105.34</v>
      </c>
      <c r="V17" s="43">
        <v>5253.39</v>
      </c>
      <c r="W17" s="43">
        <v>5263.1</v>
      </c>
      <c r="X17" s="49">
        <f t="shared" si="5"/>
        <v>5851.8392947957282</v>
      </c>
      <c r="Y17" s="48">
        <v>1.3150999999999999</v>
      </c>
    </row>
    <row r="18" spans="2:25" x14ac:dyDescent="0.2">
      <c r="B18" s="47">
        <v>44148</v>
      </c>
      <c r="C18" s="46">
        <v>6926</v>
      </c>
      <c r="D18" s="45">
        <v>6926</v>
      </c>
      <c r="E18" s="44">
        <f t="shared" si="0"/>
        <v>6926</v>
      </c>
      <c r="F18" s="46">
        <v>6943.5</v>
      </c>
      <c r="G18" s="45">
        <v>6943.5</v>
      </c>
      <c r="H18" s="44">
        <f t="shared" si="1"/>
        <v>6943.5</v>
      </c>
      <c r="I18" s="46">
        <v>6953.5</v>
      </c>
      <c r="J18" s="45">
        <v>6953.5</v>
      </c>
      <c r="K18" s="44">
        <f t="shared" si="2"/>
        <v>6953.5</v>
      </c>
      <c r="L18" s="46">
        <v>6950.5</v>
      </c>
      <c r="M18" s="45">
        <v>6950.5</v>
      </c>
      <c r="N18" s="44">
        <f t="shared" si="3"/>
        <v>6950.5</v>
      </c>
      <c r="O18" s="46">
        <v>6955.5</v>
      </c>
      <c r="P18" s="45">
        <v>6955.5</v>
      </c>
      <c r="Q18" s="44">
        <f t="shared" si="4"/>
        <v>6955.5</v>
      </c>
      <c r="R18" s="52">
        <v>6926</v>
      </c>
      <c r="S18" s="51">
        <v>1.3165</v>
      </c>
      <c r="T18" s="51">
        <v>1.1816</v>
      </c>
      <c r="U18" s="50">
        <v>104.88</v>
      </c>
      <c r="V18" s="43">
        <v>5260.92</v>
      </c>
      <c r="W18" s="43">
        <v>5270.21</v>
      </c>
      <c r="X18" s="49">
        <f t="shared" si="5"/>
        <v>5861.5436696005418</v>
      </c>
      <c r="Y18" s="48">
        <v>1.3174999999999999</v>
      </c>
    </row>
    <row r="19" spans="2:25" x14ac:dyDescent="0.2">
      <c r="B19" s="47">
        <v>44151</v>
      </c>
      <c r="C19" s="46">
        <v>7113</v>
      </c>
      <c r="D19" s="45">
        <v>7113</v>
      </c>
      <c r="E19" s="44">
        <f t="shared" si="0"/>
        <v>7113</v>
      </c>
      <c r="F19" s="46">
        <v>7128.5</v>
      </c>
      <c r="G19" s="45">
        <v>7128.5</v>
      </c>
      <c r="H19" s="44">
        <f t="shared" si="1"/>
        <v>7128.5</v>
      </c>
      <c r="I19" s="46">
        <v>7132.5</v>
      </c>
      <c r="J19" s="45">
        <v>7132.5</v>
      </c>
      <c r="K19" s="44">
        <f t="shared" si="2"/>
        <v>7132.5</v>
      </c>
      <c r="L19" s="46">
        <v>7124</v>
      </c>
      <c r="M19" s="45">
        <v>7124</v>
      </c>
      <c r="N19" s="44">
        <f t="shared" si="3"/>
        <v>7124</v>
      </c>
      <c r="O19" s="46">
        <v>7129.5</v>
      </c>
      <c r="P19" s="45">
        <v>7129.5</v>
      </c>
      <c r="Q19" s="44">
        <f t="shared" si="4"/>
        <v>7129.5</v>
      </c>
      <c r="R19" s="52">
        <v>7113</v>
      </c>
      <c r="S19" s="51">
        <v>1.3169999999999999</v>
      </c>
      <c r="T19" s="51">
        <v>1.1834</v>
      </c>
      <c r="U19" s="50">
        <v>104.91</v>
      </c>
      <c r="V19" s="43">
        <v>5400.91</v>
      </c>
      <c r="W19" s="43">
        <v>5408.57</v>
      </c>
      <c r="X19" s="49">
        <f t="shared" si="5"/>
        <v>6010.6472874767614</v>
      </c>
      <c r="Y19" s="48">
        <v>1.3180000000000001</v>
      </c>
    </row>
    <row r="20" spans="2:25" x14ac:dyDescent="0.2">
      <c r="B20" s="47">
        <v>44152</v>
      </c>
      <c r="C20" s="46">
        <v>7050</v>
      </c>
      <c r="D20" s="45">
        <v>7050</v>
      </c>
      <c r="E20" s="44">
        <f t="shared" si="0"/>
        <v>7050</v>
      </c>
      <c r="F20" s="46">
        <v>7071</v>
      </c>
      <c r="G20" s="45">
        <v>7071</v>
      </c>
      <c r="H20" s="44">
        <f t="shared" si="1"/>
        <v>7071</v>
      </c>
      <c r="I20" s="46">
        <v>7077.5</v>
      </c>
      <c r="J20" s="45">
        <v>7077.5</v>
      </c>
      <c r="K20" s="44">
        <f t="shared" si="2"/>
        <v>7077.5</v>
      </c>
      <c r="L20" s="46">
        <v>7077.5</v>
      </c>
      <c r="M20" s="45">
        <v>7077.5</v>
      </c>
      <c r="N20" s="44">
        <f t="shared" si="3"/>
        <v>7077.5</v>
      </c>
      <c r="O20" s="46">
        <v>7082.5</v>
      </c>
      <c r="P20" s="45">
        <v>7082.5</v>
      </c>
      <c r="Q20" s="44">
        <f t="shared" si="4"/>
        <v>7082.5</v>
      </c>
      <c r="R20" s="52">
        <v>7050</v>
      </c>
      <c r="S20" s="51">
        <v>1.3259000000000001</v>
      </c>
      <c r="T20" s="51">
        <v>1.1880999999999999</v>
      </c>
      <c r="U20" s="50">
        <v>104.24</v>
      </c>
      <c r="V20" s="43">
        <v>5317.14</v>
      </c>
      <c r="W20" s="43">
        <v>5328.96</v>
      </c>
      <c r="X20" s="49">
        <f t="shared" si="5"/>
        <v>5933.8439525292488</v>
      </c>
      <c r="Y20" s="48">
        <v>1.3269</v>
      </c>
    </row>
    <row r="21" spans="2:25" x14ac:dyDescent="0.2">
      <c r="B21" s="47">
        <v>44153</v>
      </c>
      <c r="C21" s="46">
        <v>7083</v>
      </c>
      <c r="D21" s="45">
        <v>7083</v>
      </c>
      <c r="E21" s="44">
        <f t="shared" si="0"/>
        <v>7083</v>
      </c>
      <c r="F21" s="46">
        <v>7101.5</v>
      </c>
      <c r="G21" s="45">
        <v>7101.5</v>
      </c>
      <c r="H21" s="44">
        <f t="shared" si="1"/>
        <v>7101.5</v>
      </c>
      <c r="I21" s="46">
        <v>7108</v>
      </c>
      <c r="J21" s="45">
        <v>7108</v>
      </c>
      <c r="K21" s="44">
        <f t="shared" si="2"/>
        <v>7108</v>
      </c>
      <c r="L21" s="46">
        <v>7108</v>
      </c>
      <c r="M21" s="45">
        <v>7108</v>
      </c>
      <c r="N21" s="44">
        <f t="shared" si="3"/>
        <v>7108</v>
      </c>
      <c r="O21" s="46">
        <v>7108</v>
      </c>
      <c r="P21" s="45">
        <v>7108</v>
      </c>
      <c r="Q21" s="44">
        <f t="shared" si="4"/>
        <v>7108</v>
      </c>
      <c r="R21" s="52">
        <v>7083</v>
      </c>
      <c r="S21" s="51">
        <v>1.3277000000000001</v>
      </c>
      <c r="T21" s="51">
        <v>1.1869000000000001</v>
      </c>
      <c r="U21" s="50">
        <v>103.92</v>
      </c>
      <c r="V21" s="43">
        <v>5334.79</v>
      </c>
      <c r="W21" s="43">
        <v>5344.7</v>
      </c>
      <c r="X21" s="49">
        <f t="shared" si="5"/>
        <v>5967.646811020305</v>
      </c>
      <c r="Y21" s="48">
        <v>1.3287</v>
      </c>
    </row>
    <row r="22" spans="2:25" x14ac:dyDescent="0.2">
      <c r="B22" s="47">
        <v>44154</v>
      </c>
      <c r="C22" s="46">
        <v>7028</v>
      </c>
      <c r="D22" s="45">
        <v>7028</v>
      </c>
      <c r="E22" s="44">
        <f t="shared" si="0"/>
        <v>7028</v>
      </c>
      <c r="F22" s="46">
        <v>7046.5</v>
      </c>
      <c r="G22" s="45">
        <v>7046.5</v>
      </c>
      <c r="H22" s="44">
        <f t="shared" si="1"/>
        <v>7046.5</v>
      </c>
      <c r="I22" s="46">
        <v>7055</v>
      </c>
      <c r="J22" s="45">
        <v>7055</v>
      </c>
      <c r="K22" s="44">
        <f t="shared" si="2"/>
        <v>7055</v>
      </c>
      <c r="L22" s="46">
        <v>7058</v>
      </c>
      <c r="M22" s="45">
        <v>7058</v>
      </c>
      <c r="N22" s="44">
        <f t="shared" si="3"/>
        <v>7058</v>
      </c>
      <c r="O22" s="46">
        <v>7063</v>
      </c>
      <c r="P22" s="45">
        <v>7063</v>
      </c>
      <c r="Q22" s="44">
        <f t="shared" si="4"/>
        <v>7063</v>
      </c>
      <c r="R22" s="52">
        <v>7028</v>
      </c>
      <c r="S22" s="51">
        <v>1.3232999999999999</v>
      </c>
      <c r="T22" s="51">
        <v>1.1836</v>
      </c>
      <c r="U22" s="50">
        <v>104.04</v>
      </c>
      <c r="V22" s="43">
        <v>5310.97</v>
      </c>
      <c r="W22" s="43">
        <v>5320.92</v>
      </c>
      <c r="X22" s="49">
        <f t="shared" si="5"/>
        <v>5937.8168300101388</v>
      </c>
      <c r="Y22" s="48">
        <v>1.3243</v>
      </c>
    </row>
    <row r="23" spans="2:25" x14ac:dyDescent="0.2">
      <c r="B23" s="47">
        <v>44155</v>
      </c>
      <c r="C23" s="46">
        <v>7178.5</v>
      </c>
      <c r="D23" s="45">
        <v>7178.5</v>
      </c>
      <c r="E23" s="44">
        <f t="shared" si="0"/>
        <v>7178.5</v>
      </c>
      <c r="F23" s="46">
        <v>7195</v>
      </c>
      <c r="G23" s="45">
        <v>7195</v>
      </c>
      <c r="H23" s="44">
        <f t="shared" si="1"/>
        <v>7195</v>
      </c>
      <c r="I23" s="46">
        <v>7191.5</v>
      </c>
      <c r="J23" s="45">
        <v>7191.5</v>
      </c>
      <c r="K23" s="44">
        <f t="shared" si="2"/>
        <v>7191.5</v>
      </c>
      <c r="L23" s="46">
        <v>7183.5</v>
      </c>
      <c r="M23" s="45">
        <v>7183.5</v>
      </c>
      <c r="N23" s="44">
        <f t="shared" si="3"/>
        <v>7183.5</v>
      </c>
      <c r="O23" s="46">
        <v>7188.5</v>
      </c>
      <c r="P23" s="45">
        <v>7188.5</v>
      </c>
      <c r="Q23" s="44">
        <f t="shared" si="4"/>
        <v>7188.5</v>
      </c>
      <c r="R23" s="52">
        <v>7178.5</v>
      </c>
      <c r="S23" s="51">
        <v>1.3274999999999999</v>
      </c>
      <c r="T23" s="51">
        <v>1.1872</v>
      </c>
      <c r="U23" s="50">
        <v>103.8</v>
      </c>
      <c r="V23" s="43">
        <v>5407.53</v>
      </c>
      <c r="W23" s="43">
        <v>5415.88</v>
      </c>
      <c r="X23" s="49">
        <f t="shared" si="5"/>
        <v>6046.5801886792451</v>
      </c>
      <c r="Y23" s="48">
        <v>1.3285</v>
      </c>
    </row>
    <row r="24" spans="2:25" x14ac:dyDescent="0.2">
      <c r="B24" s="47">
        <v>44158</v>
      </c>
      <c r="C24" s="46">
        <v>7215.5</v>
      </c>
      <c r="D24" s="45">
        <v>7215.5</v>
      </c>
      <c r="E24" s="44">
        <f t="shared" si="0"/>
        <v>7215.5</v>
      </c>
      <c r="F24" s="46">
        <v>7233.5</v>
      </c>
      <c r="G24" s="45">
        <v>7233.5</v>
      </c>
      <c r="H24" s="44">
        <f t="shared" si="1"/>
        <v>7233.5</v>
      </c>
      <c r="I24" s="46">
        <v>7230</v>
      </c>
      <c r="J24" s="45">
        <v>7230</v>
      </c>
      <c r="K24" s="44">
        <f t="shared" si="2"/>
        <v>7230</v>
      </c>
      <c r="L24" s="46">
        <v>7221</v>
      </c>
      <c r="M24" s="45">
        <v>7221</v>
      </c>
      <c r="N24" s="44">
        <f t="shared" si="3"/>
        <v>7221</v>
      </c>
      <c r="O24" s="46">
        <v>7221</v>
      </c>
      <c r="P24" s="45">
        <v>7221</v>
      </c>
      <c r="Q24" s="44">
        <f t="shared" si="4"/>
        <v>7221</v>
      </c>
      <c r="R24" s="52">
        <v>7215.5</v>
      </c>
      <c r="S24" s="51">
        <v>1.3392999999999999</v>
      </c>
      <c r="T24" s="51">
        <v>1.1902999999999999</v>
      </c>
      <c r="U24" s="50">
        <v>103.73</v>
      </c>
      <c r="V24" s="43">
        <v>5387.52</v>
      </c>
      <c r="W24" s="43">
        <v>5396.93</v>
      </c>
      <c r="X24" s="49">
        <f t="shared" si="5"/>
        <v>6061.9171637402342</v>
      </c>
      <c r="Y24" s="48">
        <v>1.3403</v>
      </c>
    </row>
    <row r="25" spans="2:25" x14ac:dyDescent="0.2">
      <c r="B25" s="47">
        <v>44159</v>
      </c>
      <c r="C25" s="46">
        <v>7302</v>
      </c>
      <c r="D25" s="45">
        <v>7302</v>
      </c>
      <c r="E25" s="44">
        <f t="shared" si="0"/>
        <v>7302</v>
      </c>
      <c r="F25" s="46">
        <v>7314</v>
      </c>
      <c r="G25" s="45">
        <v>7314</v>
      </c>
      <c r="H25" s="44">
        <f t="shared" si="1"/>
        <v>7314</v>
      </c>
      <c r="I25" s="46">
        <v>7316</v>
      </c>
      <c r="J25" s="45">
        <v>7316</v>
      </c>
      <c r="K25" s="44">
        <f t="shared" si="2"/>
        <v>7316</v>
      </c>
      <c r="L25" s="46">
        <v>7311</v>
      </c>
      <c r="M25" s="45">
        <v>7311</v>
      </c>
      <c r="N25" s="44">
        <f t="shared" si="3"/>
        <v>7311</v>
      </c>
      <c r="O25" s="46">
        <v>7315</v>
      </c>
      <c r="P25" s="45">
        <v>7315</v>
      </c>
      <c r="Q25" s="44">
        <f t="shared" si="4"/>
        <v>7315</v>
      </c>
      <c r="R25" s="52">
        <v>7302</v>
      </c>
      <c r="S25" s="51">
        <v>1.3324</v>
      </c>
      <c r="T25" s="51">
        <v>1.1869000000000001</v>
      </c>
      <c r="U25" s="50">
        <v>104.53</v>
      </c>
      <c r="V25" s="43">
        <v>5480.34</v>
      </c>
      <c r="W25" s="43">
        <v>5485.23</v>
      </c>
      <c r="X25" s="49">
        <f t="shared" si="5"/>
        <v>6152.1610919201275</v>
      </c>
      <c r="Y25" s="48">
        <v>1.3333999999999999</v>
      </c>
    </row>
    <row r="26" spans="2:25" x14ac:dyDescent="0.2">
      <c r="B26" s="47">
        <v>44160</v>
      </c>
      <c r="C26" s="46">
        <v>7238.5</v>
      </c>
      <c r="D26" s="45">
        <v>7238.5</v>
      </c>
      <c r="E26" s="44">
        <f t="shared" si="0"/>
        <v>7238.5</v>
      </c>
      <c r="F26" s="46">
        <v>7257.5</v>
      </c>
      <c r="G26" s="45">
        <v>7257.5</v>
      </c>
      <c r="H26" s="44">
        <f t="shared" si="1"/>
        <v>7257.5</v>
      </c>
      <c r="I26" s="46">
        <v>7261</v>
      </c>
      <c r="J26" s="45">
        <v>7261</v>
      </c>
      <c r="K26" s="44">
        <f t="shared" si="2"/>
        <v>7261</v>
      </c>
      <c r="L26" s="46">
        <v>7259</v>
      </c>
      <c r="M26" s="45">
        <v>7259</v>
      </c>
      <c r="N26" s="44">
        <f t="shared" si="3"/>
        <v>7259</v>
      </c>
      <c r="O26" s="46">
        <v>7262</v>
      </c>
      <c r="P26" s="45">
        <v>7262</v>
      </c>
      <c r="Q26" s="44">
        <f t="shared" si="4"/>
        <v>7262</v>
      </c>
      <c r="R26" s="52">
        <v>7238.5</v>
      </c>
      <c r="S26" s="51">
        <v>1.3349</v>
      </c>
      <c r="T26" s="51">
        <v>1.1895</v>
      </c>
      <c r="U26" s="50">
        <v>104.41</v>
      </c>
      <c r="V26" s="43">
        <v>5422.5</v>
      </c>
      <c r="W26" s="43">
        <v>5432.67</v>
      </c>
      <c r="X26" s="49">
        <f t="shared" si="5"/>
        <v>6085.3299705758718</v>
      </c>
      <c r="Y26" s="48">
        <v>1.3359000000000001</v>
      </c>
    </row>
    <row r="27" spans="2:25" x14ac:dyDescent="0.2">
      <c r="B27" s="47">
        <v>44161</v>
      </c>
      <c r="C27" s="46">
        <v>7356.5</v>
      </c>
      <c r="D27" s="45">
        <v>7356.5</v>
      </c>
      <c r="E27" s="44">
        <f t="shared" si="0"/>
        <v>7356.5</v>
      </c>
      <c r="F27" s="46">
        <v>7370.5</v>
      </c>
      <c r="G27" s="45">
        <v>7370.5</v>
      </c>
      <c r="H27" s="44">
        <f t="shared" si="1"/>
        <v>7370.5</v>
      </c>
      <c r="I27" s="46">
        <v>7375</v>
      </c>
      <c r="J27" s="45">
        <v>7375</v>
      </c>
      <c r="K27" s="44">
        <f t="shared" si="2"/>
        <v>7375</v>
      </c>
      <c r="L27" s="46">
        <v>7373</v>
      </c>
      <c r="M27" s="45">
        <v>7373</v>
      </c>
      <c r="N27" s="44">
        <f t="shared" si="3"/>
        <v>7373</v>
      </c>
      <c r="O27" s="46">
        <v>7376</v>
      </c>
      <c r="P27" s="45">
        <v>7376</v>
      </c>
      <c r="Q27" s="44">
        <f t="shared" si="4"/>
        <v>7376</v>
      </c>
      <c r="R27" s="52">
        <v>7356.5</v>
      </c>
      <c r="S27" s="51">
        <v>1.3348</v>
      </c>
      <c r="T27" s="51">
        <v>1.1896</v>
      </c>
      <c r="U27" s="50">
        <v>104.26</v>
      </c>
      <c r="V27" s="43">
        <v>5511.31</v>
      </c>
      <c r="W27" s="43">
        <v>5517.67</v>
      </c>
      <c r="X27" s="49">
        <f t="shared" si="5"/>
        <v>6184.0114324142569</v>
      </c>
      <c r="Y27" s="48">
        <v>1.3358000000000001</v>
      </c>
    </row>
    <row r="28" spans="2:25" x14ac:dyDescent="0.2">
      <c r="B28" s="47">
        <v>44162</v>
      </c>
      <c r="C28" s="46">
        <v>7462</v>
      </c>
      <c r="D28" s="45">
        <v>7462</v>
      </c>
      <c r="E28" s="44">
        <f t="shared" si="0"/>
        <v>7462</v>
      </c>
      <c r="F28" s="46">
        <v>7476.5</v>
      </c>
      <c r="G28" s="45">
        <v>7476.5</v>
      </c>
      <c r="H28" s="44">
        <f t="shared" si="1"/>
        <v>7476.5</v>
      </c>
      <c r="I28" s="46">
        <v>7471.5</v>
      </c>
      <c r="J28" s="45">
        <v>7471.5</v>
      </c>
      <c r="K28" s="44">
        <f t="shared" si="2"/>
        <v>7471.5</v>
      </c>
      <c r="L28" s="46">
        <v>7459.5</v>
      </c>
      <c r="M28" s="45">
        <v>7459.5</v>
      </c>
      <c r="N28" s="44">
        <f t="shared" si="3"/>
        <v>7459.5</v>
      </c>
      <c r="O28" s="46">
        <v>7462.5</v>
      </c>
      <c r="P28" s="45">
        <v>7462.5</v>
      </c>
      <c r="Q28" s="44">
        <f t="shared" si="4"/>
        <v>7462.5</v>
      </c>
      <c r="R28" s="52">
        <v>7462</v>
      </c>
      <c r="S28" s="51">
        <v>1.3329</v>
      </c>
      <c r="T28" s="51">
        <v>1.1924999999999999</v>
      </c>
      <c r="U28" s="50">
        <v>104.16</v>
      </c>
      <c r="V28" s="43">
        <v>5598.32</v>
      </c>
      <c r="W28" s="43">
        <v>5604.57</v>
      </c>
      <c r="X28" s="49">
        <f t="shared" si="5"/>
        <v>6257.442348008386</v>
      </c>
      <c r="Y28" s="48">
        <v>1.3340000000000001</v>
      </c>
    </row>
    <row r="29" spans="2:25" x14ac:dyDescent="0.2">
      <c r="B29" s="47">
        <v>44165</v>
      </c>
      <c r="C29" s="46">
        <v>7674.5</v>
      </c>
      <c r="D29" s="45">
        <v>7674.5</v>
      </c>
      <c r="E29" s="44">
        <f t="shared" si="0"/>
        <v>7674.5</v>
      </c>
      <c r="F29" s="46">
        <v>7681</v>
      </c>
      <c r="G29" s="45">
        <v>7681</v>
      </c>
      <c r="H29" s="44">
        <f t="shared" si="1"/>
        <v>7681</v>
      </c>
      <c r="I29" s="46">
        <v>7666</v>
      </c>
      <c r="J29" s="45">
        <v>7666</v>
      </c>
      <c r="K29" s="44">
        <f t="shared" si="2"/>
        <v>7666</v>
      </c>
      <c r="L29" s="46">
        <v>7654</v>
      </c>
      <c r="M29" s="45">
        <v>7654</v>
      </c>
      <c r="N29" s="44">
        <f t="shared" si="3"/>
        <v>7654</v>
      </c>
      <c r="O29" s="46">
        <v>7654</v>
      </c>
      <c r="P29" s="45">
        <v>7654</v>
      </c>
      <c r="Q29" s="44">
        <f t="shared" si="4"/>
        <v>7654</v>
      </c>
      <c r="R29" s="52">
        <v>7674.5</v>
      </c>
      <c r="S29" s="51">
        <v>1.3327</v>
      </c>
      <c r="T29" s="51">
        <v>1.1976</v>
      </c>
      <c r="U29" s="50">
        <v>104.13</v>
      </c>
      <c r="V29" s="43">
        <v>5758.61</v>
      </c>
      <c r="W29" s="43">
        <v>5758.3</v>
      </c>
      <c r="X29" s="49">
        <f t="shared" si="5"/>
        <v>6408.2331329325316</v>
      </c>
      <c r="Y29" s="48">
        <v>1.3339000000000001</v>
      </c>
    </row>
    <row r="30" spans="2:25" s="10" customFormat="1" x14ac:dyDescent="0.2">
      <c r="B30" s="42" t="s">
        <v>11</v>
      </c>
      <c r="C30" s="41">
        <f>ROUND(AVERAGE(C9:C29),2)</f>
        <v>7063.43</v>
      </c>
      <c r="D30" s="40">
        <f>ROUND(AVERAGE(D9:D29),2)</f>
        <v>7063.43</v>
      </c>
      <c r="E30" s="39">
        <f>ROUND(AVERAGE(C30:D30),2)</f>
        <v>7063.43</v>
      </c>
      <c r="F30" s="41">
        <f>ROUND(AVERAGE(F9:F29),2)</f>
        <v>7078.19</v>
      </c>
      <c r="G30" s="40">
        <f>ROUND(AVERAGE(G9:G29),2)</f>
        <v>7078.19</v>
      </c>
      <c r="H30" s="39">
        <f>ROUND(AVERAGE(F30:G30),2)</f>
        <v>7078.19</v>
      </c>
      <c r="I30" s="41">
        <f>ROUND(AVERAGE(I9:I29),2)</f>
        <v>7083.19</v>
      </c>
      <c r="J30" s="40">
        <f>ROUND(AVERAGE(J9:J29),2)</f>
        <v>7083.19</v>
      </c>
      <c r="K30" s="39">
        <f>ROUND(AVERAGE(I30:J30),2)</f>
        <v>7083.19</v>
      </c>
      <c r="L30" s="41">
        <f>ROUND(AVERAGE(L9:L29),2)</f>
        <v>7081.26</v>
      </c>
      <c r="M30" s="40">
        <f>ROUND(AVERAGE(M9:M29),2)</f>
        <v>7081.26</v>
      </c>
      <c r="N30" s="39">
        <f>ROUND(AVERAGE(L30:M30),2)</f>
        <v>7081.26</v>
      </c>
      <c r="O30" s="41">
        <f>ROUND(AVERAGE(O9:O29),2)</f>
        <v>7085.24</v>
      </c>
      <c r="P30" s="40">
        <f>ROUND(AVERAGE(P9:P29),2)</f>
        <v>7085.24</v>
      </c>
      <c r="Q30" s="39">
        <f>ROUND(AVERAGE(O30:P30),2)</f>
        <v>7085.24</v>
      </c>
      <c r="R30" s="38">
        <f>ROUND(AVERAGE(R9:R29),2)</f>
        <v>7063.43</v>
      </c>
      <c r="S30" s="37">
        <f>ROUND(AVERAGE(S9:S29),4)</f>
        <v>1.3209</v>
      </c>
      <c r="T30" s="36">
        <f>ROUND(AVERAGE(T9:T29),4)</f>
        <v>1.1839999999999999</v>
      </c>
      <c r="U30" s="175">
        <f>ROUND(AVERAGE(U9:U29),2)</f>
        <v>104.43</v>
      </c>
      <c r="V30" s="35">
        <f>AVERAGE(V9:V29)</f>
        <v>5346.35380952381</v>
      </c>
      <c r="W30" s="35">
        <f>AVERAGE(W9:W29)</f>
        <v>5353.6338095238088</v>
      </c>
      <c r="X30" s="35">
        <f>AVERAGE(X9:X29)</f>
        <v>5965.0679505173803</v>
      </c>
      <c r="Y30" s="34">
        <f>AVERAGE(Y9:Y29)</f>
        <v>1.3218952380952382</v>
      </c>
    </row>
    <row r="31" spans="2:25" s="5" customFormat="1" x14ac:dyDescent="0.2">
      <c r="B31" s="33" t="s">
        <v>12</v>
      </c>
      <c r="C31" s="32">
        <f t="shared" ref="C31:Y31" si="6">MAX(C9:C29)</f>
        <v>7674.5</v>
      </c>
      <c r="D31" s="31">
        <f t="shared" si="6"/>
        <v>7674.5</v>
      </c>
      <c r="E31" s="30">
        <f t="shared" si="6"/>
        <v>7674.5</v>
      </c>
      <c r="F31" s="32">
        <f t="shared" si="6"/>
        <v>7681</v>
      </c>
      <c r="G31" s="31">
        <f t="shared" si="6"/>
        <v>7681</v>
      </c>
      <c r="H31" s="30">
        <f t="shared" si="6"/>
        <v>7681</v>
      </c>
      <c r="I31" s="32">
        <f t="shared" si="6"/>
        <v>7666</v>
      </c>
      <c r="J31" s="31">
        <f t="shared" si="6"/>
        <v>7666</v>
      </c>
      <c r="K31" s="30">
        <f t="shared" si="6"/>
        <v>7666</v>
      </c>
      <c r="L31" s="32">
        <f t="shared" si="6"/>
        <v>7654</v>
      </c>
      <c r="M31" s="31">
        <f t="shared" si="6"/>
        <v>7654</v>
      </c>
      <c r="N31" s="30">
        <f t="shared" si="6"/>
        <v>7654</v>
      </c>
      <c r="O31" s="32">
        <f t="shared" si="6"/>
        <v>7654</v>
      </c>
      <c r="P31" s="31">
        <f t="shared" si="6"/>
        <v>7654</v>
      </c>
      <c r="Q31" s="30">
        <f t="shared" si="6"/>
        <v>7654</v>
      </c>
      <c r="R31" s="29">
        <f t="shared" si="6"/>
        <v>7674.5</v>
      </c>
      <c r="S31" s="28">
        <f t="shared" si="6"/>
        <v>1.3392999999999999</v>
      </c>
      <c r="T31" s="27">
        <f t="shared" si="6"/>
        <v>1.1976</v>
      </c>
      <c r="U31" s="26">
        <f t="shared" si="6"/>
        <v>105.5</v>
      </c>
      <c r="V31" s="25">
        <f t="shared" si="6"/>
        <v>5758.61</v>
      </c>
      <c r="W31" s="25">
        <f t="shared" si="6"/>
        <v>5758.3</v>
      </c>
      <c r="X31" s="25">
        <f t="shared" si="6"/>
        <v>6408.2331329325316</v>
      </c>
      <c r="Y31" s="24">
        <f t="shared" si="6"/>
        <v>1.3403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6712.5</v>
      </c>
      <c r="D32" s="21">
        <f t="shared" si="7"/>
        <v>6712.5</v>
      </c>
      <c r="E32" s="20">
        <f t="shared" si="7"/>
        <v>6712.5</v>
      </c>
      <c r="F32" s="22">
        <f t="shared" si="7"/>
        <v>6725</v>
      </c>
      <c r="G32" s="21">
        <f t="shared" si="7"/>
        <v>6725</v>
      </c>
      <c r="H32" s="20">
        <f t="shared" si="7"/>
        <v>6725</v>
      </c>
      <c r="I32" s="22">
        <f t="shared" si="7"/>
        <v>6736.5</v>
      </c>
      <c r="J32" s="21">
        <f t="shared" si="7"/>
        <v>6736.5</v>
      </c>
      <c r="K32" s="20">
        <f t="shared" si="7"/>
        <v>6736.5</v>
      </c>
      <c r="L32" s="22">
        <f t="shared" si="7"/>
        <v>6741.5</v>
      </c>
      <c r="M32" s="21">
        <f t="shared" si="7"/>
        <v>6741.5</v>
      </c>
      <c r="N32" s="20">
        <f t="shared" si="7"/>
        <v>6741.5</v>
      </c>
      <c r="O32" s="22">
        <f t="shared" si="7"/>
        <v>6749.5</v>
      </c>
      <c r="P32" s="21">
        <f t="shared" si="7"/>
        <v>6749.5</v>
      </c>
      <c r="Q32" s="20">
        <f t="shared" si="7"/>
        <v>6749.5</v>
      </c>
      <c r="R32" s="19">
        <f t="shared" si="7"/>
        <v>6712.5</v>
      </c>
      <c r="S32" s="18">
        <f t="shared" si="7"/>
        <v>1.2926</v>
      </c>
      <c r="T32" s="17">
        <f t="shared" si="7"/>
        <v>1.1646000000000001</v>
      </c>
      <c r="U32" s="16">
        <f t="shared" si="7"/>
        <v>103.35</v>
      </c>
      <c r="V32" s="15">
        <f t="shared" si="7"/>
        <v>5174.45</v>
      </c>
      <c r="W32" s="15">
        <f t="shared" si="7"/>
        <v>5180.08</v>
      </c>
      <c r="X32" s="15">
        <f t="shared" si="7"/>
        <v>5739.1304347826081</v>
      </c>
      <c r="Y32" s="14">
        <f t="shared" si="7"/>
        <v>1.2935000000000001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44137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44137</v>
      </c>
      <c r="C9" s="46">
        <v>1510.5</v>
      </c>
      <c r="D9" s="45">
        <v>1510.5</v>
      </c>
      <c r="E9" s="44">
        <f t="shared" ref="E9:E29" si="0">AVERAGE(C9:D9)</f>
        <v>1510.5</v>
      </c>
      <c r="F9" s="46">
        <v>1530</v>
      </c>
      <c r="G9" s="45">
        <v>1530</v>
      </c>
      <c r="H9" s="44">
        <f t="shared" ref="H9:H29" si="1">AVERAGE(F9:G9)</f>
        <v>1530</v>
      </c>
      <c r="I9" s="46">
        <v>1528.5</v>
      </c>
      <c r="J9" s="45">
        <v>1528.5</v>
      </c>
      <c r="K9" s="44">
        <f t="shared" ref="K9:K29" si="2">AVERAGE(I9:J9)</f>
        <v>1528.5</v>
      </c>
      <c r="L9" s="52">
        <v>1510.5</v>
      </c>
      <c r="M9" s="51">
        <v>1.2926</v>
      </c>
      <c r="N9" s="53">
        <v>1.1646000000000001</v>
      </c>
      <c r="O9" s="50">
        <v>104.67</v>
      </c>
      <c r="P9" s="43">
        <v>1168.57</v>
      </c>
      <c r="Q9" s="43">
        <v>1182.8399999999999</v>
      </c>
      <c r="R9" s="49">
        <f t="shared" ref="R9:R29" si="3">L9/N9</f>
        <v>1297.0118495620814</v>
      </c>
      <c r="S9" s="48">
        <v>1.2935000000000001</v>
      </c>
    </row>
    <row r="10" spans="1:19" x14ac:dyDescent="0.2">
      <c r="B10" s="47">
        <v>44138</v>
      </c>
      <c r="C10" s="46">
        <v>1510.5</v>
      </c>
      <c r="D10" s="45">
        <v>1510.5</v>
      </c>
      <c r="E10" s="44">
        <f t="shared" si="0"/>
        <v>1510.5</v>
      </c>
      <c r="F10" s="46">
        <v>1530</v>
      </c>
      <c r="G10" s="45">
        <v>1530</v>
      </c>
      <c r="H10" s="44">
        <f t="shared" si="1"/>
        <v>1530</v>
      </c>
      <c r="I10" s="46">
        <v>1528.5</v>
      </c>
      <c r="J10" s="45">
        <v>1528.5</v>
      </c>
      <c r="K10" s="44">
        <f t="shared" si="2"/>
        <v>1528.5</v>
      </c>
      <c r="L10" s="52">
        <v>1510.5</v>
      </c>
      <c r="M10" s="51">
        <v>1.2987</v>
      </c>
      <c r="N10" s="51">
        <v>1.1698999999999999</v>
      </c>
      <c r="O10" s="50">
        <v>104.69</v>
      </c>
      <c r="P10" s="43">
        <v>1163.0899999999999</v>
      </c>
      <c r="Q10" s="43">
        <v>1177.29</v>
      </c>
      <c r="R10" s="49">
        <f t="shared" si="3"/>
        <v>1291.1359945294471</v>
      </c>
      <c r="S10" s="48">
        <v>1.2996000000000001</v>
      </c>
    </row>
    <row r="11" spans="1:19" x14ac:dyDescent="0.2">
      <c r="B11" s="47">
        <v>44139</v>
      </c>
      <c r="C11" s="46">
        <v>1541</v>
      </c>
      <c r="D11" s="45">
        <v>1541</v>
      </c>
      <c r="E11" s="44">
        <f t="shared" si="0"/>
        <v>1541</v>
      </c>
      <c r="F11" s="46">
        <v>1560</v>
      </c>
      <c r="G11" s="45">
        <v>1560</v>
      </c>
      <c r="H11" s="44">
        <f t="shared" si="1"/>
        <v>1560</v>
      </c>
      <c r="I11" s="46">
        <v>1558.5</v>
      </c>
      <c r="J11" s="45">
        <v>1558.5</v>
      </c>
      <c r="K11" s="44">
        <f t="shared" si="2"/>
        <v>1558.5</v>
      </c>
      <c r="L11" s="52">
        <v>1541</v>
      </c>
      <c r="M11" s="51">
        <v>1.3041</v>
      </c>
      <c r="N11" s="51">
        <v>1.1718999999999999</v>
      </c>
      <c r="O11" s="50">
        <v>104.38</v>
      </c>
      <c r="P11" s="43">
        <v>1181.6600000000001</v>
      </c>
      <c r="Q11" s="43">
        <v>1195.4000000000001</v>
      </c>
      <c r="R11" s="49">
        <f t="shared" si="3"/>
        <v>1314.9586142162302</v>
      </c>
      <c r="S11" s="48">
        <v>1.3049999999999999</v>
      </c>
    </row>
    <row r="12" spans="1:19" x14ac:dyDescent="0.2">
      <c r="B12" s="47">
        <v>44140</v>
      </c>
      <c r="C12" s="46">
        <v>1541.5</v>
      </c>
      <c r="D12" s="45">
        <v>1541.5</v>
      </c>
      <c r="E12" s="44">
        <f t="shared" si="0"/>
        <v>1541.5</v>
      </c>
      <c r="F12" s="46">
        <v>1560</v>
      </c>
      <c r="G12" s="45">
        <v>1560</v>
      </c>
      <c r="H12" s="44">
        <f t="shared" si="1"/>
        <v>1560</v>
      </c>
      <c r="I12" s="46">
        <v>1558.5</v>
      </c>
      <c r="J12" s="45">
        <v>1558.5</v>
      </c>
      <c r="K12" s="44">
        <f t="shared" si="2"/>
        <v>1558.5</v>
      </c>
      <c r="L12" s="52">
        <v>1541.5</v>
      </c>
      <c r="M12" s="51">
        <v>1.3084</v>
      </c>
      <c r="N12" s="51">
        <v>1.1845000000000001</v>
      </c>
      <c r="O12" s="50">
        <v>103.81</v>
      </c>
      <c r="P12" s="43">
        <v>1178.1600000000001</v>
      </c>
      <c r="Q12" s="43">
        <v>1191.57</v>
      </c>
      <c r="R12" s="49">
        <f t="shared" si="3"/>
        <v>1301.3929928239763</v>
      </c>
      <c r="S12" s="48">
        <v>1.3091999999999999</v>
      </c>
    </row>
    <row r="13" spans="1:19" x14ac:dyDescent="0.2">
      <c r="B13" s="47">
        <v>44141</v>
      </c>
      <c r="C13" s="46">
        <v>1555.5</v>
      </c>
      <c r="D13" s="45">
        <v>1555.5</v>
      </c>
      <c r="E13" s="44">
        <f t="shared" si="0"/>
        <v>1555.5</v>
      </c>
      <c r="F13" s="46">
        <v>1580</v>
      </c>
      <c r="G13" s="45">
        <v>1580</v>
      </c>
      <c r="H13" s="44">
        <f t="shared" si="1"/>
        <v>1580</v>
      </c>
      <c r="I13" s="46">
        <v>1580.5</v>
      </c>
      <c r="J13" s="45">
        <v>1580.5</v>
      </c>
      <c r="K13" s="44">
        <f t="shared" si="2"/>
        <v>1580.5</v>
      </c>
      <c r="L13" s="52">
        <v>1555.5</v>
      </c>
      <c r="M13" s="51">
        <v>1.3120000000000001</v>
      </c>
      <c r="N13" s="51">
        <v>1.1875</v>
      </c>
      <c r="O13" s="50">
        <v>103.35</v>
      </c>
      <c r="P13" s="43">
        <v>1185.5899999999999</v>
      </c>
      <c r="Q13" s="43">
        <v>1203.53</v>
      </c>
      <c r="R13" s="49">
        <f t="shared" si="3"/>
        <v>1309.8947368421052</v>
      </c>
      <c r="S13" s="48">
        <v>1.3128</v>
      </c>
    </row>
    <row r="14" spans="1:19" x14ac:dyDescent="0.2">
      <c r="B14" s="47">
        <v>44144</v>
      </c>
      <c r="C14" s="46">
        <v>1606</v>
      </c>
      <c r="D14" s="45">
        <v>1606</v>
      </c>
      <c r="E14" s="44">
        <f t="shared" si="0"/>
        <v>1606</v>
      </c>
      <c r="F14" s="46">
        <v>1630</v>
      </c>
      <c r="G14" s="45">
        <v>1630</v>
      </c>
      <c r="H14" s="44">
        <f t="shared" si="1"/>
        <v>1630</v>
      </c>
      <c r="I14" s="46">
        <v>1630.5</v>
      </c>
      <c r="J14" s="45">
        <v>1630.5</v>
      </c>
      <c r="K14" s="44">
        <f t="shared" si="2"/>
        <v>1630.5</v>
      </c>
      <c r="L14" s="52">
        <v>1606</v>
      </c>
      <c r="M14" s="51">
        <v>1.3169999999999999</v>
      </c>
      <c r="N14" s="51">
        <v>1.1894</v>
      </c>
      <c r="O14" s="50">
        <v>104.97</v>
      </c>
      <c r="P14" s="43">
        <v>1219.44</v>
      </c>
      <c r="Q14" s="43">
        <v>1236.9100000000001</v>
      </c>
      <c r="R14" s="49">
        <f t="shared" si="3"/>
        <v>1350.2606356145957</v>
      </c>
      <c r="S14" s="48">
        <v>1.3178000000000001</v>
      </c>
    </row>
    <row r="15" spans="1:19" x14ac:dyDescent="0.2">
      <c r="B15" s="47">
        <v>44145</v>
      </c>
      <c r="C15" s="46">
        <v>1606.5</v>
      </c>
      <c r="D15" s="45">
        <v>1606.5</v>
      </c>
      <c r="E15" s="44">
        <f t="shared" si="0"/>
        <v>1606.5</v>
      </c>
      <c r="F15" s="46">
        <v>1630</v>
      </c>
      <c r="G15" s="45">
        <v>1630</v>
      </c>
      <c r="H15" s="44">
        <f t="shared" si="1"/>
        <v>1630</v>
      </c>
      <c r="I15" s="46">
        <v>1630.5</v>
      </c>
      <c r="J15" s="45">
        <v>1630.5</v>
      </c>
      <c r="K15" s="44">
        <f t="shared" si="2"/>
        <v>1630.5</v>
      </c>
      <c r="L15" s="52">
        <v>1606.5</v>
      </c>
      <c r="M15" s="51">
        <v>1.3250999999999999</v>
      </c>
      <c r="N15" s="51">
        <v>1.181</v>
      </c>
      <c r="O15" s="50">
        <v>105.29</v>
      </c>
      <c r="P15" s="43">
        <v>1212.3599999999999</v>
      </c>
      <c r="Q15" s="43">
        <v>1229.26</v>
      </c>
      <c r="R15" s="49">
        <f t="shared" si="3"/>
        <v>1360.2878916172735</v>
      </c>
      <c r="S15" s="48">
        <v>1.3260000000000001</v>
      </c>
    </row>
    <row r="16" spans="1:19" x14ac:dyDescent="0.2">
      <c r="B16" s="47">
        <v>44146</v>
      </c>
      <c r="C16" s="46">
        <v>1606.5</v>
      </c>
      <c r="D16" s="45">
        <v>1606.5</v>
      </c>
      <c r="E16" s="44">
        <f t="shared" si="0"/>
        <v>1606.5</v>
      </c>
      <c r="F16" s="46">
        <v>1630</v>
      </c>
      <c r="G16" s="45">
        <v>1630</v>
      </c>
      <c r="H16" s="44">
        <f t="shared" si="1"/>
        <v>1630</v>
      </c>
      <c r="I16" s="46">
        <v>1630.5</v>
      </c>
      <c r="J16" s="45">
        <v>1630.5</v>
      </c>
      <c r="K16" s="44">
        <f t="shared" si="2"/>
        <v>1630.5</v>
      </c>
      <c r="L16" s="52">
        <v>1606.5</v>
      </c>
      <c r="M16" s="51">
        <v>1.3227</v>
      </c>
      <c r="N16" s="51">
        <v>1.1774</v>
      </c>
      <c r="O16" s="50">
        <v>105.5</v>
      </c>
      <c r="P16" s="43">
        <v>1214.56</v>
      </c>
      <c r="Q16" s="43">
        <v>1231.49</v>
      </c>
      <c r="R16" s="49">
        <f t="shared" si="3"/>
        <v>1364.4470868014268</v>
      </c>
      <c r="S16" s="48">
        <v>1.3236000000000001</v>
      </c>
    </row>
    <row r="17" spans="2:19" x14ac:dyDescent="0.2">
      <c r="B17" s="47">
        <v>44147</v>
      </c>
      <c r="C17" s="46">
        <v>1607.5</v>
      </c>
      <c r="D17" s="45">
        <v>1607.5</v>
      </c>
      <c r="E17" s="44">
        <f t="shared" si="0"/>
        <v>1607.5</v>
      </c>
      <c r="F17" s="46">
        <v>1630</v>
      </c>
      <c r="G17" s="45">
        <v>1630</v>
      </c>
      <c r="H17" s="44">
        <f t="shared" si="1"/>
        <v>1630</v>
      </c>
      <c r="I17" s="46">
        <v>1630</v>
      </c>
      <c r="J17" s="45">
        <v>1630</v>
      </c>
      <c r="K17" s="44">
        <f t="shared" si="2"/>
        <v>1630</v>
      </c>
      <c r="L17" s="52">
        <v>1607.5</v>
      </c>
      <c r="M17" s="51">
        <v>1.3142</v>
      </c>
      <c r="N17" s="51">
        <v>1.1798</v>
      </c>
      <c r="O17" s="50">
        <v>105.34</v>
      </c>
      <c r="P17" s="43">
        <v>1223.18</v>
      </c>
      <c r="Q17" s="43">
        <v>1239.45</v>
      </c>
      <c r="R17" s="49">
        <f t="shared" si="3"/>
        <v>1362.519071028988</v>
      </c>
      <c r="S17" s="48">
        <v>1.3150999999999999</v>
      </c>
    </row>
    <row r="18" spans="2:19" x14ac:dyDescent="0.2">
      <c r="B18" s="47">
        <v>44148</v>
      </c>
      <c r="C18" s="46">
        <v>1608</v>
      </c>
      <c r="D18" s="45">
        <v>1608</v>
      </c>
      <c r="E18" s="44">
        <f t="shared" si="0"/>
        <v>1608</v>
      </c>
      <c r="F18" s="46">
        <v>1630</v>
      </c>
      <c r="G18" s="45">
        <v>1630</v>
      </c>
      <c r="H18" s="44">
        <f t="shared" si="1"/>
        <v>1630</v>
      </c>
      <c r="I18" s="46">
        <v>1630.5</v>
      </c>
      <c r="J18" s="45">
        <v>1630.5</v>
      </c>
      <c r="K18" s="44">
        <f t="shared" si="2"/>
        <v>1630.5</v>
      </c>
      <c r="L18" s="52">
        <v>1608</v>
      </c>
      <c r="M18" s="51">
        <v>1.3165</v>
      </c>
      <c r="N18" s="51">
        <v>1.1816</v>
      </c>
      <c r="O18" s="50">
        <v>104.88</v>
      </c>
      <c r="P18" s="43">
        <v>1221.42</v>
      </c>
      <c r="Q18" s="43">
        <v>1237.19</v>
      </c>
      <c r="R18" s="49">
        <f t="shared" si="3"/>
        <v>1360.8666215301287</v>
      </c>
      <c r="S18" s="48">
        <v>1.3174999999999999</v>
      </c>
    </row>
    <row r="19" spans="2:19" x14ac:dyDescent="0.2">
      <c r="B19" s="47">
        <v>44151</v>
      </c>
      <c r="C19" s="46">
        <v>1608</v>
      </c>
      <c r="D19" s="45">
        <v>1608</v>
      </c>
      <c r="E19" s="44">
        <f t="shared" si="0"/>
        <v>1608</v>
      </c>
      <c r="F19" s="46">
        <v>1630</v>
      </c>
      <c r="G19" s="45">
        <v>1630</v>
      </c>
      <c r="H19" s="44">
        <f t="shared" si="1"/>
        <v>1630</v>
      </c>
      <c r="I19" s="46">
        <v>1630</v>
      </c>
      <c r="J19" s="45">
        <v>1630</v>
      </c>
      <c r="K19" s="44">
        <f t="shared" si="2"/>
        <v>1630</v>
      </c>
      <c r="L19" s="52">
        <v>1608</v>
      </c>
      <c r="M19" s="51">
        <v>1.3169999999999999</v>
      </c>
      <c r="N19" s="51">
        <v>1.1834</v>
      </c>
      <c r="O19" s="50">
        <v>104.91</v>
      </c>
      <c r="P19" s="43">
        <v>1220.96</v>
      </c>
      <c r="Q19" s="43">
        <v>1236.72</v>
      </c>
      <c r="R19" s="49">
        <f t="shared" si="3"/>
        <v>1358.7966875105628</v>
      </c>
      <c r="S19" s="48">
        <v>1.3180000000000001</v>
      </c>
    </row>
    <row r="20" spans="2:19" x14ac:dyDescent="0.2">
      <c r="B20" s="47">
        <v>44152</v>
      </c>
      <c r="C20" s="46">
        <v>1628</v>
      </c>
      <c r="D20" s="45">
        <v>1628</v>
      </c>
      <c r="E20" s="44">
        <f t="shared" si="0"/>
        <v>1628</v>
      </c>
      <c r="F20" s="46">
        <v>1650</v>
      </c>
      <c r="G20" s="45">
        <v>1650</v>
      </c>
      <c r="H20" s="44">
        <f t="shared" si="1"/>
        <v>1650</v>
      </c>
      <c r="I20" s="46">
        <v>1650</v>
      </c>
      <c r="J20" s="45">
        <v>1650</v>
      </c>
      <c r="K20" s="44">
        <f t="shared" si="2"/>
        <v>1650</v>
      </c>
      <c r="L20" s="52">
        <v>1628</v>
      </c>
      <c r="M20" s="51">
        <v>1.3259000000000001</v>
      </c>
      <c r="N20" s="51">
        <v>1.1880999999999999</v>
      </c>
      <c r="O20" s="50">
        <v>104.24</v>
      </c>
      <c r="P20" s="43">
        <v>1227.8499999999999</v>
      </c>
      <c r="Q20" s="43">
        <v>1243.5</v>
      </c>
      <c r="R20" s="49">
        <f t="shared" si="3"/>
        <v>1370.25502903796</v>
      </c>
      <c r="S20" s="48">
        <v>1.3269</v>
      </c>
    </row>
    <row r="21" spans="2:19" x14ac:dyDescent="0.2">
      <c r="B21" s="47">
        <v>44153</v>
      </c>
      <c r="C21" s="46">
        <v>1653</v>
      </c>
      <c r="D21" s="45">
        <v>1653</v>
      </c>
      <c r="E21" s="44">
        <f t="shared" si="0"/>
        <v>1653</v>
      </c>
      <c r="F21" s="46">
        <v>1675</v>
      </c>
      <c r="G21" s="45">
        <v>1675</v>
      </c>
      <c r="H21" s="44">
        <f t="shared" si="1"/>
        <v>1675</v>
      </c>
      <c r="I21" s="46">
        <v>1675</v>
      </c>
      <c r="J21" s="45">
        <v>1675</v>
      </c>
      <c r="K21" s="44">
        <f t="shared" si="2"/>
        <v>1675</v>
      </c>
      <c r="L21" s="52">
        <v>1653</v>
      </c>
      <c r="M21" s="51">
        <v>1.3277000000000001</v>
      </c>
      <c r="N21" s="51">
        <v>1.1869000000000001</v>
      </c>
      <c r="O21" s="50">
        <v>103.92</v>
      </c>
      <c r="P21" s="43">
        <v>1245.01</v>
      </c>
      <c r="Q21" s="43">
        <v>1260.6300000000001</v>
      </c>
      <c r="R21" s="49">
        <f t="shared" si="3"/>
        <v>1392.7036818603083</v>
      </c>
      <c r="S21" s="48">
        <v>1.3287</v>
      </c>
    </row>
    <row r="22" spans="2:19" x14ac:dyDescent="0.2">
      <c r="B22" s="47">
        <v>44154</v>
      </c>
      <c r="C22" s="46">
        <v>1644</v>
      </c>
      <c r="D22" s="45">
        <v>1644</v>
      </c>
      <c r="E22" s="44">
        <f t="shared" si="0"/>
        <v>1644</v>
      </c>
      <c r="F22" s="46">
        <v>1665</v>
      </c>
      <c r="G22" s="45">
        <v>1665</v>
      </c>
      <c r="H22" s="44">
        <f t="shared" si="1"/>
        <v>1665</v>
      </c>
      <c r="I22" s="46">
        <v>1665</v>
      </c>
      <c r="J22" s="45">
        <v>1665</v>
      </c>
      <c r="K22" s="44">
        <f t="shared" si="2"/>
        <v>1665</v>
      </c>
      <c r="L22" s="52">
        <v>1644</v>
      </c>
      <c r="M22" s="51">
        <v>1.3232999999999999</v>
      </c>
      <c r="N22" s="51">
        <v>1.1836</v>
      </c>
      <c r="O22" s="50">
        <v>104.04</v>
      </c>
      <c r="P22" s="43">
        <v>1242.3499999999999</v>
      </c>
      <c r="Q22" s="43">
        <v>1257.27</v>
      </c>
      <c r="R22" s="49">
        <f t="shared" si="3"/>
        <v>1388.9827644474485</v>
      </c>
      <c r="S22" s="48">
        <v>1.3243</v>
      </c>
    </row>
    <row r="23" spans="2:19" x14ac:dyDescent="0.2">
      <c r="B23" s="47">
        <v>44155</v>
      </c>
      <c r="C23" s="46">
        <v>1644</v>
      </c>
      <c r="D23" s="45">
        <v>1644</v>
      </c>
      <c r="E23" s="44">
        <f t="shared" si="0"/>
        <v>1644</v>
      </c>
      <c r="F23" s="46">
        <v>1665</v>
      </c>
      <c r="G23" s="45">
        <v>1665</v>
      </c>
      <c r="H23" s="44">
        <f t="shared" si="1"/>
        <v>1665</v>
      </c>
      <c r="I23" s="46">
        <v>1665</v>
      </c>
      <c r="J23" s="45">
        <v>1665</v>
      </c>
      <c r="K23" s="44">
        <f t="shared" si="2"/>
        <v>1665</v>
      </c>
      <c r="L23" s="52">
        <v>1644</v>
      </c>
      <c r="M23" s="51">
        <v>1.3274999999999999</v>
      </c>
      <c r="N23" s="51">
        <v>1.1872</v>
      </c>
      <c r="O23" s="50">
        <v>103.8</v>
      </c>
      <c r="P23" s="43">
        <v>1238.42</v>
      </c>
      <c r="Q23" s="43">
        <v>1253.29</v>
      </c>
      <c r="R23" s="49">
        <f t="shared" si="3"/>
        <v>1384.7708894878706</v>
      </c>
      <c r="S23" s="48">
        <v>1.3285</v>
      </c>
    </row>
    <row r="24" spans="2:19" x14ac:dyDescent="0.2">
      <c r="B24" s="47">
        <v>44158</v>
      </c>
      <c r="C24" s="46">
        <v>1644.5</v>
      </c>
      <c r="D24" s="45">
        <v>1644.5</v>
      </c>
      <c r="E24" s="44">
        <f t="shared" si="0"/>
        <v>1644.5</v>
      </c>
      <c r="F24" s="46">
        <v>1665</v>
      </c>
      <c r="G24" s="45">
        <v>1665</v>
      </c>
      <c r="H24" s="44">
        <f t="shared" si="1"/>
        <v>1665</v>
      </c>
      <c r="I24" s="46">
        <v>1665</v>
      </c>
      <c r="J24" s="45">
        <v>1665</v>
      </c>
      <c r="K24" s="44">
        <f t="shared" si="2"/>
        <v>1665</v>
      </c>
      <c r="L24" s="52">
        <v>1644.5</v>
      </c>
      <c r="M24" s="51">
        <v>1.3392999999999999</v>
      </c>
      <c r="N24" s="51">
        <v>1.1902999999999999</v>
      </c>
      <c r="O24" s="50">
        <v>103.73</v>
      </c>
      <c r="P24" s="43">
        <v>1227.8800000000001</v>
      </c>
      <c r="Q24" s="43">
        <v>1242.26</v>
      </c>
      <c r="R24" s="49">
        <f t="shared" si="3"/>
        <v>1381.5844745022264</v>
      </c>
      <c r="S24" s="48">
        <v>1.3403</v>
      </c>
    </row>
    <row r="25" spans="2:19" x14ac:dyDescent="0.2">
      <c r="B25" s="47">
        <v>44159</v>
      </c>
      <c r="C25" s="46">
        <v>1640</v>
      </c>
      <c r="D25" s="45">
        <v>1640</v>
      </c>
      <c r="E25" s="44">
        <f t="shared" si="0"/>
        <v>1640</v>
      </c>
      <c r="F25" s="46">
        <v>1660</v>
      </c>
      <c r="G25" s="45">
        <v>1660</v>
      </c>
      <c r="H25" s="44">
        <f t="shared" si="1"/>
        <v>1660</v>
      </c>
      <c r="I25" s="46">
        <v>1660</v>
      </c>
      <c r="J25" s="45">
        <v>1660</v>
      </c>
      <c r="K25" s="44">
        <f t="shared" si="2"/>
        <v>1660</v>
      </c>
      <c r="L25" s="52">
        <v>1640</v>
      </c>
      <c r="M25" s="51">
        <v>1.3324</v>
      </c>
      <c r="N25" s="51">
        <v>1.1869000000000001</v>
      </c>
      <c r="O25" s="50">
        <v>104.53</v>
      </c>
      <c r="P25" s="43">
        <v>1230.8599999999999</v>
      </c>
      <c r="Q25" s="43">
        <v>1244.94</v>
      </c>
      <c r="R25" s="49">
        <f t="shared" si="3"/>
        <v>1381.7507793411407</v>
      </c>
      <c r="S25" s="48">
        <v>1.3333999999999999</v>
      </c>
    </row>
    <row r="26" spans="2:19" x14ac:dyDescent="0.2">
      <c r="B26" s="47">
        <v>44160</v>
      </c>
      <c r="C26" s="46">
        <v>1640</v>
      </c>
      <c r="D26" s="45">
        <v>1640</v>
      </c>
      <c r="E26" s="44">
        <f t="shared" si="0"/>
        <v>1640</v>
      </c>
      <c r="F26" s="46">
        <v>1660</v>
      </c>
      <c r="G26" s="45">
        <v>1660</v>
      </c>
      <c r="H26" s="44">
        <f t="shared" si="1"/>
        <v>1660</v>
      </c>
      <c r="I26" s="46">
        <v>1660</v>
      </c>
      <c r="J26" s="45">
        <v>1660</v>
      </c>
      <c r="K26" s="44">
        <f t="shared" si="2"/>
        <v>1660</v>
      </c>
      <c r="L26" s="52">
        <v>1640</v>
      </c>
      <c r="M26" s="51">
        <v>1.3349</v>
      </c>
      <c r="N26" s="51">
        <v>1.1895</v>
      </c>
      <c r="O26" s="50">
        <v>104.41</v>
      </c>
      <c r="P26" s="43">
        <v>1228.56</v>
      </c>
      <c r="Q26" s="43">
        <v>1242.6099999999999</v>
      </c>
      <c r="R26" s="49">
        <f t="shared" si="3"/>
        <v>1378.7305590584278</v>
      </c>
      <c r="S26" s="48">
        <v>1.3359000000000001</v>
      </c>
    </row>
    <row r="27" spans="2:19" x14ac:dyDescent="0.2">
      <c r="B27" s="47">
        <v>44161</v>
      </c>
      <c r="C27" s="46">
        <v>1641</v>
      </c>
      <c r="D27" s="45">
        <v>1641</v>
      </c>
      <c r="E27" s="44">
        <f t="shared" si="0"/>
        <v>1641</v>
      </c>
      <c r="F27" s="46">
        <v>1660</v>
      </c>
      <c r="G27" s="45">
        <v>1660</v>
      </c>
      <c r="H27" s="44">
        <f t="shared" si="1"/>
        <v>1660</v>
      </c>
      <c r="I27" s="46">
        <v>1660</v>
      </c>
      <c r="J27" s="45">
        <v>1660</v>
      </c>
      <c r="K27" s="44">
        <f t="shared" si="2"/>
        <v>1660</v>
      </c>
      <c r="L27" s="52">
        <v>1641</v>
      </c>
      <c r="M27" s="51">
        <v>1.3348</v>
      </c>
      <c r="N27" s="51">
        <v>1.1896</v>
      </c>
      <c r="O27" s="50">
        <v>104.26</v>
      </c>
      <c r="P27" s="43">
        <v>1229.4000000000001</v>
      </c>
      <c r="Q27" s="43">
        <v>1242.7</v>
      </c>
      <c r="R27" s="49">
        <f t="shared" si="3"/>
        <v>1379.4552790854068</v>
      </c>
      <c r="S27" s="48">
        <v>1.3358000000000001</v>
      </c>
    </row>
    <row r="28" spans="2:19" x14ac:dyDescent="0.2">
      <c r="B28" s="47">
        <v>44162</v>
      </c>
      <c r="C28" s="46">
        <v>1646.5</v>
      </c>
      <c r="D28" s="45">
        <v>1646.5</v>
      </c>
      <c r="E28" s="44">
        <f t="shared" si="0"/>
        <v>1646.5</v>
      </c>
      <c r="F28" s="46">
        <v>1665</v>
      </c>
      <c r="G28" s="45">
        <v>1665</v>
      </c>
      <c r="H28" s="44">
        <f t="shared" si="1"/>
        <v>1665</v>
      </c>
      <c r="I28" s="46">
        <v>1665</v>
      </c>
      <c r="J28" s="45">
        <v>1665</v>
      </c>
      <c r="K28" s="44">
        <f t="shared" si="2"/>
        <v>1665</v>
      </c>
      <c r="L28" s="52">
        <v>1646.5</v>
      </c>
      <c r="M28" s="51">
        <v>1.3329</v>
      </c>
      <c r="N28" s="51">
        <v>1.1924999999999999</v>
      </c>
      <c r="O28" s="50">
        <v>104.16</v>
      </c>
      <c r="P28" s="43">
        <v>1235.28</v>
      </c>
      <c r="Q28" s="43">
        <v>1248.1300000000001</v>
      </c>
      <c r="R28" s="49">
        <f t="shared" si="3"/>
        <v>1380.7127882599582</v>
      </c>
      <c r="S28" s="48">
        <v>1.3340000000000001</v>
      </c>
    </row>
    <row r="29" spans="2:19" x14ac:dyDescent="0.2">
      <c r="B29" s="47">
        <v>44165</v>
      </c>
      <c r="C29" s="46">
        <v>1662</v>
      </c>
      <c r="D29" s="45">
        <v>1662</v>
      </c>
      <c r="E29" s="44">
        <f t="shared" si="0"/>
        <v>1662</v>
      </c>
      <c r="F29" s="46">
        <v>1680</v>
      </c>
      <c r="G29" s="45">
        <v>1680</v>
      </c>
      <c r="H29" s="44">
        <f t="shared" si="1"/>
        <v>1680</v>
      </c>
      <c r="I29" s="46">
        <v>1680</v>
      </c>
      <c r="J29" s="45">
        <v>1680</v>
      </c>
      <c r="K29" s="44">
        <f t="shared" si="2"/>
        <v>1680</v>
      </c>
      <c r="L29" s="52">
        <v>1662</v>
      </c>
      <c r="M29" s="51">
        <v>1.3327</v>
      </c>
      <c r="N29" s="51">
        <v>1.1976</v>
      </c>
      <c r="O29" s="50">
        <v>104.13</v>
      </c>
      <c r="P29" s="43">
        <v>1247.0899999999999</v>
      </c>
      <c r="Q29" s="43">
        <v>1259.46</v>
      </c>
      <c r="R29" s="49">
        <f t="shared" si="3"/>
        <v>1387.7755511022044</v>
      </c>
      <c r="S29" s="48">
        <v>1.3339000000000001</v>
      </c>
    </row>
    <row r="30" spans="2:19" s="10" customFormat="1" x14ac:dyDescent="0.2">
      <c r="B30" s="42" t="s">
        <v>11</v>
      </c>
      <c r="C30" s="41">
        <f>ROUND(AVERAGE(C9:C29),2)</f>
        <v>1606.88</v>
      </c>
      <c r="D30" s="40">
        <f>ROUND(AVERAGE(D9:D29),2)</f>
        <v>1606.88</v>
      </c>
      <c r="E30" s="39">
        <f>ROUND(AVERAGE(C30:D30),2)</f>
        <v>1606.88</v>
      </c>
      <c r="F30" s="41">
        <f>ROUND(AVERAGE(F9:F29),2)</f>
        <v>1627.86</v>
      </c>
      <c r="G30" s="40">
        <f>ROUND(AVERAGE(G9:G29),2)</f>
        <v>1627.86</v>
      </c>
      <c r="H30" s="39">
        <f>ROUND(AVERAGE(F30:G30),2)</f>
        <v>1627.86</v>
      </c>
      <c r="I30" s="41">
        <f>ROUND(AVERAGE(I9:I29),2)</f>
        <v>1627.69</v>
      </c>
      <c r="J30" s="40">
        <f>ROUND(AVERAGE(J9:J29),2)</f>
        <v>1627.69</v>
      </c>
      <c r="K30" s="39">
        <f>ROUND(AVERAGE(I30:J30),2)</f>
        <v>1627.69</v>
      </c>
      <c r="L30" s="38">
        <f>ROUND(AVERAGE(L9:L29),2)</f>
        <v>1606.88</v>
      </c>
      <c r="M30" s="37">
        <f>ROUND(AVERAGE(M9:M29),4)</f>
        <v>1.3209</v>
      </c>
      <c r="N30" s="36">
        <f>ROUND(AVERAGE(N9:N29),4)</f>
        <v>1.1839999999999999</v>
      </c>
      <c r="O30" s="175">
        <f>ROUND(AVERAGE(O9:O29),2)</f>
        <v>104.43</v>
      </c>
      <c r="P30" s="35">
        <f>AVERAGE(P9:P29)</f>
        <v>1216.2709523809526</v>
      </c>
      <c r="Q30" s="35">
        <f>AVERAGE(Q9:Q29)</f>
        <v>1231.2590476190476</v>
      </c>
      <c r="R30" s="35">
        <f>AVERAGE(R9:R29)</f>
        <v>1357.06161801237</v>
      </c>
      <c r="S30" s="34">
        <f>AVERAGE(S9:S29)</f>
        <v>1.3218952380952382</v>
      </c>
    </row>
    <row r="31" spans="2:19" s="5" customFormat="1" x14ac:dyDescent="0.2">
      <c r="B31" s="33" t="s">
        <v>12</v>
      </c>
      <c r="C31" s="32">
        <f t="shared" ref="C31:S31" si="4">MAX(C9:C29)</f>
        <v>1662</v>
      </c>
      <c r="D31" s="31">
        <f t="shared" si="4"/>
        <v>1662</v>
      </c>
      <c r="E31" s="30">
        <f t="shared" si="4"/>
        <v>1662</v>
      </c>
      <c r="F31" s="32">
        <f t="shared" si="4"/>
        <v>1680</v>
      </c>
      <c r="G31" s="31">
        <f t="shared" si="4"/>
        <v>1680</v>
      </c>
      <c r="H31" s="30">
        <f t="shared" si="4"/>
        <v>1680</v>
      </c>
      <c r="I31" s="32">
        <f t="shared" si="4"/>
        <v>1680</v>
      </c>
      <c r="J31" s="31">
        <f t="shared" si="4"/>
        <v>1680</v>
      </c>
      <c r="K31" s="30">
        <f t="shared" si="4"/>
        <v>1680</v>
      </c>
      <c r="L31" s="29">
        <f t="shared" si="4"/>
        <v>1662</v>
      </c>
      <c r="M31" s="28">
        <f t="shared" si="4"/>
        <v>1.3392999999999999</v>
      </c>
      <c r="N31" s="27">
        <f t="shared" si="4"/>
        <v>1.1976</v>
      </c>
      <c r="O31" s="26">
        <f t="shared" si="4"/>
        <v>105.5</v>
      </c>
      <c r="P31" s="25">
        <f t="shared" si="4"/>
        <v>1247.0899999999999</v>
      </c>
      <c r="Q31" s="25">
        <f t="shared" si="4"/>
        <v>1260.6300000000001</v>
      </c>
      <c r="R31" s="25">
        <f t="shared" si="4"/>
        <v>1392.7036818603083</v>
      </c>
      <c r="S31" s="24">
        <f t="shared" si="4"/>
        <v>1.3403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1510.5</v>
      </c>
      <c r="D32" s="21">
        <f t="shared" si="5"/>
        <v>1510.5</v>
      </c>
      <c r="E32" s="20">
        <f t="shared" si="5"/>
        <v>1510.5</v>
      </c>
      <c r="F32" s="22">
        <f t="shared" si="5"/>
        <v>1530</v>
      </c>
      <c r="G32" s="21">
        <f t="shared" si="5"/>
        <v>1530</v>
      </c>
      <c r="H32" s="20">
        <f t="shared" si="5"/>
        <v>1530</v>
      </c>
      <c r="I32" s="22">
        <f t="shared" si="5"/>
        <v>1528.5</v>
      </c>
      <c r="J32" s="21">
        <f t="shared" si="5"/>
        <v>1528.5</v>
      </c>
      <c r="K32" s="20">
        <f t="shared" si="5"/>
        <v>1528.5</v>
      </c>
      <c r="L32" s="19">
        <f t="shared" si="5"/>
        <v>1510.5</v>
      </c>
      <c r="M32" s="18">
        <f t="shared" si="5"/>
        <v>1.2926</v>
      </c>
      <c r="N32" s="17">
        <f t="shared" si="5"/>
        <v>1.1646000000000001</v>
      </c>
      <c r="O32" s="16">
        <f t="shared" si="5"/>
        <v>103.35</v>
      </c>
      <c r="P32" s="15">
        <f t="shared" si="5"/>
        <v>1163.0899999999999</v>
      </c>
      <c r="Q32" s="15">
        <f t="shared" si="5"/>
        <v>1177.29</v>
      </c>
      <c r="R32" s="15">
        <f t="shared" si="5"/>
        <v>1291.1359945294471</v>
      </c>
      <c r="S32" s="14">
        <f t="shared" si="5"/>
        <v>1.2935000000000001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44137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44137</v>
      </c>
      <c r="C9" s="46">
        <v>1693.5</v>
      </c>
      <c r="D9" s="45">
        <v>1693.5</v>
      </c>
      <c r="E9" s="44">
        <f t="shared" ref="E9:E29" si="0">AVERAGE(C9:D9)</f>
        <v>1693.5</v>
      </c>
      <c r="F9" s="46">
        <v>1721.5</v>
      </c>
      <c r="G9" s="45">
        <v>1721.5</v>
      </c>
      <c r="H9" s="44">
        <f t="shared" ref="H9:H29" si="1">AVERAGE(F9:G9)</f>
        <v>1721.5</v>
      </c>
      <c r="I9" s="46">
        <v>1745.5</v>
      </c>
      <c r="J9" s="45">
        <v>1745.5</v>
      </c>
      <c r="K9" s="44">
        <f t="shared" ref="K9:K29" si="2">AVERAGE(I9:J9)</f>
        <v>1745.5</v>
      </c>
      <c r="L9" s="52">
        <v>1693.5</v>
      </c>
      <c r="M9" s="51">
        <v>1.2926</v>
      </c>
      <c r="N9" s="53">
        <v>1.1646000000000001</v>
      </c>
      <c r="O9" s="50">
        <v>104.67</v>
      </c>
      <c r="P9" s="43">
        <v>1310.1500000000001</v>
      </c>
      <c r="Q9" s="43">
        <v>1330.89</v>
      </c>
      <c r="R9" s="49">
        <f t="shared" ref="R9:R29" si="3">L9/N9</f>
        <v>1454.1473467284904</v>
      </c>
      <c r="S9" s="48">
        <v>1.2935000000000001</v>
      </c>
    </row>
    <row r="10" spans="1:19" x14ac:dyDescent="0.2">
      <c r="B10" s="47">
        <v>44138</v>
      </c>
      <c r="C10" s="46">
        <v>1698.5</v>
      </c>
      <c r="D10" s="45">
        <v>1698.5</v>
      </c>
      <c r="E10" s="44">
        <f t="shared" si="0"/>
        <v>1698.5</v>
      </c>
      <c r="F10" s="46">
        <v>1726.5</v>
      </c>
      <c r="G10" s="45">
        <v>1726.5</v>
      </c>
      <c r="H10" s="44">
        <f t="shared" si="1"/>
        <v>1726.5</v>
      </c>
      <c r="I10" s="46">
        <v>1750</v>
      </c>
      <c r="J10" s="45">
        <v>1750</v>
      </c>
      <c r="K10" s="44">
        <f t="shared" si="2"/>
        <v>1750</v>
      </c>
      <c r="L10" s="52">
        <v>1698.5</v>
      </c>
      <c r="M10" s="51">
        <v>1.2987</v>
      </c>
      <c r="N10" s="51">
        <v>1.1698999999999999</v>
      </c>
      <c r="O10" s="50">
        <v>104.69</v>
      </c>
      <c r="P10" s="43">
        <v>1307.8499999999999</v>
      </c>
      <c r="Q10" s="43">
        <v>1328.49</v>
      </c>
      <c r="R10" s="49">
        <f t="shared" si="3"/>
        <v>1451.833490041884</v>
      </c>
      <c r="S10" s="48">
        <v>1.2996000000000001</v>
      </c>
    </row>
    <row r="11" spans="1:19" x14ac:dyDescent="0.2">
      <c r="B11" s="47">
        <v>44139</v>
      </c>
      <c r="C11" s="46">
        <v>1705</v>
      </c>
      <c r="D11" s="45">
        <v>1705</v>
      </c>
      <c r="E11" s="44">
        <f t="shared" si="0"/>
        <v>1705</v>
      </c>
      <c r="F11" s="46">
        <v>1735</v>
      </c>
      <c r="G11" s="45">
        <v>1735</v>
      </c>
      <c r="H11" s="44">
        <f t="shared" si="1"/>
        <v>1735</v>
      </c>
      <c r="I11" s="46">
        <v>1758.5</v>
      </c>
      <c r="J11" s="45">
        <v>1758.5</v>
      </c>
      <c r="K11" s="44">
        <f t="shared" si="2"/>
        <v>1758.5</v>
      </c>
      <c r="L11" s="52">
        <v>1705</v>
      </c>
      <c r="M11" s="51">
        <v>1.3041</v>
      </c>
      <c r="N11" s="51">
        <v>1.1718999999999999</v>
      </c>
      <c r="O11" s="50">
        <v>104.38</v>
      </c>
      <c r="P11" s="43">
        <v>1307.42</v>
      </c>
      <c r="Q11" s="43">
        <v>1329.5</v>
      </c>
      <c r="R11" s="49">
        <f t="shared" si="3"/>
        <v>1454.9022954176978</v>
      </c>
      <c r="S11" s="48">
        <v>1.3049999999999999</v>
      </c>
    </row>
    <row r="12" spans="1:19" x14ac:dyDescent="0.2">
      <c r="B12" s="47">
        <v>44140</v>
      </c>
      <c r="C12" s="46">
        <v>1708.5</v>
      </c>
      <c r="D12" s="45">
        <v>1708.5</v>
      </c>
      <c r="E12" s="44">
        <f t="shared" si="0"/>
        <v>1708.5</v>
      </c>
      <c r="F12" s="46">
        <v>1737.5</v>
      </c>
      <c r="G12" s="45">
        <v>1737.5</v>
      </c>
      <c r="H12" s="44">
        <f t="shared" si="1"/>
        <v>1737.5</v>
      </c>
      <c r="I12" s="46">
        <v>1760.5</v>
      </c>
      <c r="J12" s="45">
        <v>1760.5</v>
      </c>
      <c r="K12" s="44">
        <f t="shared" si="2"/>
        <v>1760.5</v>
      </c>
      <c r="L12" s="52">
        <v>1708.5</v>
      </c>
      <c r="M12" s="51">
        <v>1.3084</v>
      </c>
      <c r="N12" s="51">
        <v>1.1845000000000001</v>
      </c>
      <c r="O12" s="50">
        <v>103.81</v>
      </c>
      <c r="P12" s="43">
        <v>1305.79</v>
      </c>
      <c r="Q12" s="43">
        <v>1327.15</v>
      </c>
      <c r="R12" s="49">
        <f t="shared" si="3"/>
        <v>1442.3807513718868</v>
      </c>
      <c r="S12" s="48">
        <v>1.3091999999999999</v>
      </c>
    </row>
    <row r="13" spans="1:19" x14ac:dyDescent="0.2">
      <c r="B13" s="47">
        <v>44141</v>
      </c>
      <c r="C13" s="46">
        <v>1730.5</v>
      </c>
      <c r="D13" s="45">
        <v>1730.5</v>
      </c>
      <c r="E13" s="44">
        <f t="shared" si="0"/>
        <v>1730.5</v>
      </c>
      <c r="F13" s="46">
        <v>1755</v>
      </c>
      <c r="G13" s="45">
        <v>1755</v>
      </c>
      <c r="H13" s="44">
        <f t="shared" si="1"/>
        <v>1755</v>
      </c>
      <c r="I13" s="46">
        <v>1777.5</v>
      </c>
      <c r="J13" s="45">
        <v>1777.5</v>
      </c>
      <c r="K13" s="44">
        <f t="shared" si="2"/>
        <v>1777.5</v>
      </c>
      <c r="L13" s="52">
        <v>1730.5</v>
      </c>
      <c r="M13" s="51">
        <v>1.3120000000000001</v>
      </c>
      <c r="N13" s="51">
        <v>1.1875</v>
      </c>
      <c r="O13" s="50">
        <v>103.35</v>
      </c>
      <c r="P13" s="43">
        <v>1318.98</v>
      </c>
      <c r="Q13" s="43">
        <v>1336.84</v>
      </c>
      <c r="R13" s="49">
        <f t="shared" si="3"/>
        <v>1457.2631578947369</v>
      </c>
      <c r="S13" s="48">
        <v>1.3128</v>
      </c>
    </row>
    <row r="14" spans="1:19" x14ac:dyDescent="0.2">
      <c r="B14" s="47">
        <v>44144</v>
      </c>
      <c r="C14" s="46">
        <v>1737.5</v>
      </c>
      <c r="D14" s="45">
        <v>1737.5</v>
      </c>
      <c r="E14" s="44">
        <f t="shared" si="0"/>
        <v>1737.5</v>
      </c>
      <c r="F14" s="46">
        <v>1762</v>
      </c>
      <c r="G14" s="45">
        <v>1762</v>
      </c>
      <c r="H14" s="44">
        <f t="shared" si="1"/>
        <v>1762</v>
      </c>
      <c r="I14" s="46">
        <v>1783.5</v>
      </c>
      <c r="J14" s="45">
        <v>1783.5</v>
      </c>
      <c r="K14" s="44">
        <f t="shared" si="2"/>
        <v>1783.5</v>
      </c>
      <c r="L14" s="52">
        <v>1737.5</v>
      </c>
      <c r="M14" s="51">
        <v>1.3169999999999999</v>
      </c>
      <c r="N14" s="51">
        <v>1.1894</v>
      </c>
      <c r="O14" s="50">
        <v>104.97</v>
      </c>
      <c r="P14" s="43">
        <v>1319.29</v>
      </c>
      <c r="Q14" s="43">
        <v>1337.08</v>
      </c>
      <c r="R14" s="49">
        <f t="shared" si="3"/>
        <v>1460.8205818059525</v>
      </c>
      <c r="S14" s="48">
        <v>1.3178000000000001</v>
      </c>
    </row>
    <row r="15" spans="1:19" x14ac:dyDescent="0.2">
      <c r="B15" s="47">
        <v>44145</v>
      </c>
      <c r="C15" s="46">
        <v>1740</v>
      </c>
      <c r="D15" s="45">
        <v>1740</v>
      </c>
      <c r="E15" s="44">
        <f t="shared" si="0"/>
        <v>1740</v>
      </c>
      <c r="F15" s="46">
        <v>1765</v>
      </c>
      <c r="G15" s="45">
        <v>1765</v>
      </c>
      <c r="H15" s="44">
        <f t="shared" si="1"/>
        <v>1765</v>
      </c>
      <c r="I15" s="46">
        <v>1786.5</v>
      </c>
      <c r="J15" s="45">
        <v>1786.5</v>
      </c>
      <c r="K15" s="44">
        <f t="shared" si="2"/>
        <v>1786.5</v>
      </c>
      <c r="L15" s="52">
        <v>1740</v>
      </c>
      <c r="M15" s="51">
        <v>1.3250999999999999</v>
      </c>
      <c r="N15" s="51">
        <v>1.181</v>
      </c>
      <c r="O15" s="50">
        <v>105.29</v>
      </c>
      <c r="P15" s="43">
        <v>1313.11</v>
      </c>
      <c r="Q15" s="43">
        <v>1331.07</v>
      </c>
      <c r="R15" s="49">
        <f t="shared" si="3"/>
        <v>1473.3276883996612</v>
      </c>
      <c r="S15" s="48">
        <v>1.3260000000000001</v>
      </c>
    </row>
    <row r="16" spans="1:19" x14ac:dyDescent="0.2">
      <c r="B16" s="47">
        <v>44146</v>
      </c>
      <c r="C16" s="46">
        <v>1744</v>
      </c>
      <c r="D16" s="45">
        <v>1744</v>
      </c>
      <c r="E16" s="44">
        <f t="shared" si="0"/>
        <v>1744</v>
      </c>
      <c r="F16" s="46">
        <v>1768.5</v>
      </c>
      <c r="G16" s="45">
        <v>1768.5</v>
      </c>
      <c r="H16" s="44">
        <f t="shared" si="1"/>
        <v>1768.5</v>
      </c>
      <c r="I16" s="46">
        <v>1789.5</v>
      </c>
      <c r="J16" s="45">
        <v>1789.5</v>
      </c>
      <c r="K16" s="44">
        <f t="shared" si="2"/>
        <v>1789.5</v>
      </c>
      <c r="L16" s="52">
        <v>1744</v>
      </c>
      <c r="M16" s="51">
        <v>1.3227</v>
      </c>
      <c r="N16" s="51">
        <v>1.1774</v>
      </c>
      <c r="O16" s="50">
        <v>105.5</v>
      </c>
      <c r="P16" s="43">
        <v>1318.52</v>
      </c>
      <c r="Q16" s="43">
        <v>1336.13</v>
      </c>
      <c r="R16" s="49">
        <f t="shared" si="3"/>
        <v>1481.2298284355359</v>
      </c>
      <c r="S16" s="48">
        <v>1.3236000000000001</v>
      </c>
    </row>
    <row r="17" spans="2:19" x14ac:dyDescent="0.2">
      <c r="B17" s="47">
        <v>44147</v>
      </c>
      <c r="C17" s="46">
        <v>1751</v>
      </c>
      <c r="D17" s="45">
        <v>1751</v>
      </c>
      <c r="E17" s="44">
        <f t="shared" si="0"/>
        <v>1751</v>
      </c>
      <c r="F17" s="46">
        <v>1770</v>
      </c>
      <c r="G17" s="45">
        <v>1770</v>
      </c>
      <c r="H17" s="44">
        <f t="shared" si="1"/>
        <v>1770</v>
      </c>
      <c r="I17" s="46">
        <v>1791</v>
      </c>
      <c r="J17" s="45">
        <v>1791</v>
      </c>
      <c r="K17" s="44">
        <f t="shared" si="2"/>
        <v>1791</v>
      </c>
      <c r="L17" s="52">
        <v>1751</v>
      </c>
      <c r="M17" s="51">
        <v>1.3142</v>
      </c>
      <c r="N17" s="51">
        <v>1.1798</v>
      </c>
      <c r="O17" s="50">
        <v>105.34</v>
      </c>
      <c r="P17" s="43">
        <v>1332.37</v>
      </c>
      <c r="Q17" s="43">
        <v>1345.91</v>
      </c>
      <c r="R17" s="49">
        <f t="shared" si="3"/>
        <v>1484.1498559077811</v>
      </c>
      <c r="S17" s="48">
        <v>1.3150999999999999</v>
      </c>
    </row>
    <row r="18" spans="2:19" x14ac:dyDescent="0.2">
      <c r="B18" s="47">
        <v>44148</v>
      </c>
      <c r="C18" s="46">
        <v>1753.5</v>
      </c>
      <c r="D18" s="45">
        <v>1753.5</v>
      </c>
      <c r="E18" s="44">
        <f t="shared" si="0"/>
        <v>1753.5</v>
      </c>
      <c r="F18" s="46">
        <v>1770</v>
      </c>
      <c r="G18" s="45">
        <v>1770</v>
      </c>
      <c r="H18" s="44">
        <f t="shared" si="1"/>
        <v>1770</v>
      </c>
      <c r="I18" s="46">
        <v>1794</v>
      </c>
      <c r="J18" s="45">
        <v>1794</v>
      </c>
      <c r="K18" s="44">
        <f t="shared" si="2"/>
        <v>1794</v>
      </c>
      <c r="L18" s="52">
        <v>1753.5</v>
      </c>
      <c r="M18" s="51">
        <v>1.3165</v>
      </c>
      <c r="N18" s="51">
        <v>1.1816</v>
      </c>
      <c r="O18" s="50">
        <v>104.88</v>
      </c>
      <c r="P18" s="43">
        <v>1331.94</v>
      </c>
      <c r="Q18" s="43">
        <v>1343.45</v>
      </c>
      <c r="R18" s="49">
        <f t="shared" si="3"/>
        <v>1484.004739336493</v>
      </c>
      <c r="S18" s="48">
        <v>1.3174999999999999</v>
      </c>
    </row>
    <row r="19" spans="2:19" x14ac:dyDescent="0.2">
      <c r="B19" s="47">
        <v>44151</v>
      </c>
      <c r="C19" s="46">
        <v>1767</v>
      </c>
      <c r="D19" s="45">
        <v>1767</v>
      </c>
      <c r="E19" s="44">
        <f t="shared" si="0"/>
        <v>1767</v>
      </c>
      <c r="F19" s="46">
        <v>1785</v>
      </c>
      <c r="G19" s="45">
        <v>1785</v>
      </c>
      <c r="H19" s="44">
        <f t="shared" si="1"/>
        <v>1785</v>
      </c>
      <c r="I19" s="46">
        <v>1809</v>
      </c>
      <c r="J19" s="45">
        <v>1809</v>
      </c>
      <c r="K19" s="44">
        <f t="shared" si="2"/>
        <v>1809</v>
      </c>
      <c r="L19" s="52">
        <v>1767</v>
      </c>
      <c r="M19" s="51">
        <v>1.3169999999999999</v>
      </c>
      <c r="N19" s="51">
        <v>1.1834</v>
      </c>
      <c r="O19" s="50">
        <v>104.91</v>
      </c>
      <c r="P19" s="43">
        <v>1341.69</v>
      </c>
      <c r="Q19" s="43">
        <v>1354.32</v>
      </c>
      <c r="R19" s="49">
        <f t="shared" si="3"/>
        <v>1493.1553151935102</v>
      </c>
      <c r="S19" s="48">
        <v>1.3180000000000001</v>
      </c>
    </row>
    <row r="20" spans="2:19" x14ac:dyDescent="0.2">
      <c r="B20" s="47">
        <v>44152</v>
      </c>
      <c r="C20" s="46">
        <v>1767</v>
      </c>
      <c r="D20" s="45">
        <v>1767</v>
      </c>
      <c r="E20" s="44">
        <f t="shared" si="0"/>
        <v>1767</v>
      </c>
      <c r="F20" s="46">
        <v>1785</v>
      </c>
      <c r="G20" s="45">
        <v>1785</v>
      </c>
      <c r="H20" s="44">
        <f t="shared" si="1"/>
        <v>1785</v>
      </c>
      <c r="I20" s="46">
        <v>1809</v>
      </c>
      <c r="J20" s="45">
        <v>1809</v>
      </c>
      <c r="K20" s="44">
        <f t="shared" si="2"/>
        <v>1809</v>
      </c>
      <c r="L20" s="52">
        <v>1767</v>
      </c>
      <c r="M20" s="51">
        <v>1.3259000000000001</v>
      </c>
      <c r="N20" s="51">
        <v>1.1880999999999999</v>
      </c>
      <c r="O20" s="50">
        <v>104.24</v>
      </c>
      <c r="P20" s="43">
        <v>1332.68</v>
      </c>
      <c r="Q20" s="43">
        <v>1345.24</v>
      </c>
      <c r="R20" s="49">
        <f t="shared" si="3"/>
        <v>1487.2485481020117</v>
      </c>
      <c r="S20" s="48">
        <v>1.3269</v>
      </c>
    </row>
    <row r="21" spans="2:19" x14ac:dyDescent="0.2">
      <c r="B21" s="47">
        <v>44153</v>
      </c>
      <c r="C21" s="46">
        <v>1775</v>
      </c>
      <c r="D21" s="45">
        <v>1775</v>
      </c>
      <c r="E21" s="44">
        <f t="shared" si="0"/>
        <v>1775</v>
      </c>
      <c r="F21" s="46">
        <v>1787</v>
      </c>
      <c r="G21" s="45">
        <v>1787</v>
      </c>
      <c r="H21" s="44">
        <f t="shared" si="1"/>
        <v>1787</v>
      </c>
      <c r="I21" s="46">
        <v>1811</v>
      </c>
      <c r="J21" s="45">
        <v>1811</v>
      </c>
      <c r="K21" s="44">
        <f t="shared" si="2"/>
        <v>1811</v>
      </c>
      <c r="L21" s="52">
        <v>1775</v>
      </c>
      <c r="M21" s="51">
        <v>1.3277000000000001</v>
      </c>
      <c r="N21" s="51">
        <v>1.1869000000000001</v>
      </c>
      <c r="O21" s="50">
        <v>103.92</v>
      </c>
      <c r="P21" s="43">
        <v>1336.9</v>
      </c>
      <c r="Q21" s="43">
        <v>1344.92</v>
      </c>
      <c r="R21" s="49">
        <f t="shared" si="3"/>
        <v>1495.4924593478809</v>
      </c>
      <c r="S21" s="48">
        <v>1.3287</v>
      </c>
    </row>
    <row r="22" spans="2:19" x14ac:dyDescent="0.2">
      <c r="B22" s="47">
        <v>44154</v>
      </c>
      <c r="C22" s="46">
        <v>1786</v>
      </c>
      <c r="D22" s="45">
        <v>1786</v>
      </c>
      <c r="E22" s="44">
        <f t="shared" si="0"/>
        <v>1786</v>
      </c>
      <c r="F22" s="46">
        <v>1810</v>
      </c>
      <c r="G22" s="45">
        <v>1810</v>
      </c>
      <c r="H22" s="44">
        <f t="shared" si="1"/>
        <v>1810</v>
      </c>
      <c r="I22" s="46">
        <v>1833.5</v>
      </c>
      <c r="J22" s="45">
        <v>1833.5</v>
      </c>
      <c r="K22" s="44">
        <f t="shared" si="2"/>
        <v>1833.5</v>
      </c>
      <c r="L22" s="52">
        <v>1786</v>
      </c>
      <c r="M22" s="51">
        <v>1.3232999999999999</v>
      </c>
      <c r="N22" s="51">
        <v>1.1836</v>
      </c>
      <c r="O22" s="50">
        <v>104.04</v>
      </c>
      <c r="P22" s="43">
        <v>1349.66</v>
      </c>
      <c r="Q22" s="43">
        <v>1366.76</v>
      </c>
      <c r="R22" s="49">
        <f t="shared" si="3"/>
        <v>1508.9557282865833</v>
      </c>
      <c r="S22" s="48">
        <v>1.3243</v>
      </c>
    </row>
    <row r="23" spans="2:19" x14ac:dyDescent="0.2">
      <c r="B23" s="47">
        <v>44155</v>
      </c>
      <c r="C23" s="46">
        <v>1793.5</v>
      </c>
      <c r="D23" s="45">
        <v>1793.5</v>
      </c>
      <c r="E23" s="44">
        <f t="shared" si="0"/>
        <v>1793.5</v>
      </c>
      <c r="F23" s="46">
        <v>1817.5</v>
      </c>
      <c r="G23" s="45">
        <v>1817.5</v>
      </c>
      <c r="H23" s="44">
        <f t="shared" si="1"/>
        <v>1817.5</v>
      </c>
      <c r="I23" s="46">
        <v>1841</v>
      </c>
      <c r="J23" s="45">
        <v>1841</v>
      </c>
      <c r="K23" s="44">
        <f t="shared" si="2"/>
        <v>1841</v>
      </c>
      <c r="L23" s="52">
        <v>1793.5</v>
      </c>
      <c r="M23" s="51">
        <v>1.3274999999999999</v>
      </c>
      <c r="N23" s="51">
        <v>1.1872</v>
      </c>
      <c r="O23" s="50">
        <v>103.8</v>
      </c>
      <c r="P23" s="43">
        <v>1351.04</v>
      </c>
      <c r="Q23" s="43">
        <v>1368.08</v>
      </c>
      <c r="R23" s="49">
        <f t="shared" si="3"/>
        <v>1510.6974393530998</v>
      </c>
      <c r="S23" s="48">
        <v>1.3285</v>
      </c>
    </row>
    <row r="24" spans="2:19" x14ac:dyDescent="0.2">
      <c r="B24" s="47">
        <v>44158</v>
      </c>
      <c r="C24" s="46">
        <v>1802</v>
      </c>
      <c r="D24" s="45">
        <v>1802</v>
      </c>
      <c r="E24" s="44">
        <f t="shared" si="0"/>
        <v>1802</v>
      </c>
      <c r="F24" s="46">
        <v>1825</v>
      </c>
      <c r="G24" s="45">
        <v>1825</v>
      </c>
      <c r="H24" s="44">
        <f t="shared" si="1"/>
        <v>1825</v>
      </c>
      <c r="I24" s="46">
        <v>1847</v>
      </c>
      <c r="J24" s="45">
        <v>1847</v>
      </c>
      <c r="K24" s="44">
        <f t="shared" si="2"/>
        <v>1847</v>
      </c>
      <c r="L24" s="52">
        <v>1802</v>
      </c>
      <c r="M24" s="51">
        <v>1.3392999999999999</v>
      </c>
      <c r="N24" s="51">
        <v>1.1902999999999999</v>
      </c>
      <c r="O24" s="50">
        <v>103.73</v>
      </c>
      <c r="P24" s="43">
        <v>1345.48</v>
      </c>
      <c r="Q24" s="43">
        <v>1361.64</v>
      </c>
      <c r="R24" s="49">
        <f t="shared" si="3"/>
        <v>1513.9040578005545</v>
      </c>
      <c r="S24" s="48">
        <v>1.3403</v>
      </c>
    </row>
    <row r="25" spans="2:19" x14ac:dyDescent="0.2">
      <c r="B25" s="47">
        <v>44159</v>
      </c>
      <c r="C25" s="46">
        <v>1788.5</v>
      </c>
      <c r="D25" s="45">
        <v>1788.5</v>
      </c>
      <c r="E25" s="44">
        <f t="shared" si="0"/>
        <v>1788.5</v>
      </c>
      <c r="F25" s="46">
        <v>1810</v>
      </c>
      <c r="G25" s="45">
        <v>1810</v>
      </c>
      <c r="H25" s="44">
        <f t="shared" si="1"/>
        <v>1810</v>
      </c>
      <c r="I25" s="46">
        <v>1832</v>
      </c>
      <c r="J25" s="45">
        <v>1832</v>
      </c>
      <c r="K25" s="44">
        <f t="shared" si="2"/>
        <v>1832</v>
      </c>
      <c r="L25" s="52">
        <v>1788.5</v>
      </c>
      <c r="M25" s="51">
        <v>1.3324</v>
      </c>
      <c r="N25" s="51">
        <v>1.1869000000000001</v>
      </c>
      <c r="O25" s="50">
        <v>104.53</v>
      </c>
      <c r="P25" s="43">
        <v>1342.31</v>
      </c>
      <c r="Q25" s="43">
        <v>1357.43</v>
      </c>
      <c r="R25" s="49">
        <f t="shared" si="3"/>
        <v>1506.8666273485551</v>
      </c>
      <c r="S25" s="48">
        <v>1.3333999999999999</v>
      </c>
    </row>
    <row r="26" spans="2:19" x14ac:dyDescent="0.2">
      <c r="B26" s="47">
        <v>44160</v>
      </c>
      <c r="C26" s="46">
        <v>1788.5</v>
      </c>
      <c r="D26" s="45">
        <v>1788.5</v>
      </c>
      <c r="E26" s="44">
        <f t="shared" si="0"/>
        <v>1788.5</v>
      </c>
      <c r="F26" s="46">
        <v>1810</v>
      </c>
      <c r="G26" s="45">
        <v>1810</v>
      </c>
      <c r="H26" s="44">
        <f t="shared" si="1"/>
        <v>1810</v>
      </c>
      <c r="I26" s="46">
        <v>1831.5</v>
      </c>
      <c r="J26" s="45">
        <v>1831.5</v>
      </c>
      <c r="K26" s="44">
        <f t="shared" si="2"/>
        <v>1831.5</v>
      </c>
      <c r="L26" s="52">
        <v>1788.5</v>
      </c>
      <c r="M26" s="51">
        <v>1.3349</v>
      </c>
      <c r="N26" s="51">
        <v>1.1895</v>
      </c>
      <c r="O26" s="50">
        <v>104.41</v>
      </c>
      <c r="P26" s="43">
        <v>1339.8</v>
      </c>
      <c r="Q26" s="43">
        <v>1354.89</v>
      </c>
      <c r="R26" s="49">
        <f t="shared" si="3"/>
        <v>1503.572929802438</v>
      </c>
      <c r="S26" s="48">
        <v>1.3359000000000001</v>
      </c>
    </row>
    <row r="27" spans="2:19" x14ac:dyDescent="0.2">
      <c r="B27" s="47">
        <v>44161</v>
      </c>
      <c r="C27" s="46">
        <v>1789.5</v>
      </c>
      <c r="D27" s="45">
        <v>1789.5</v>
      </c>
      <c r="E27" s="44">
        <f t="shared" si="0"/>
        <v>1789.5</v>
      </c>
      <c r="F27" s="46">
        <v>1810</v>
      </c>
      <c r="G27" s="45">
        <v>1810</v>
      </c>
      <c r="H27" s="44">
        <f t="shared" si="1"/>
        <v>1810</v>
      </c>
      <c r="I27" s="46">
        <v>1831.5</v>
      </c>
      <c r="J27" s="45">
        <v>1831.5</v>
      </c>
      <c r="K27" s="44">
        <f t="shared" si="2"/>
        <v>1831.5</v>
      </c>
      <c r="L27" s="52">
        <v>1789.5</v>
      </c>
      <c r="M27" s="51">
        <v>1.3348</v>
      </c>
      <c r="N27" s="51">
        <v>1.1896</v>
      </c>
      <c r="O27" s="50">
        <v>104.26</v>
      </c>
      <c r="P27" s="43">
        <v>1340.65</v>
      </c>
      <c r="Q27" s="43">
        <v>1354.99</v>
      </c>
      <c r="R27" s="49">
        <f t="shared" si="3"/>
        <v>1504.2871553463349</v>
      </c>
      <c r="S27" s="48">
        <v>1.3358000000000001</v>
      </c>
    </row>
    <row r="28" spans="2:19" x14ac:dyDescent="0.2">
      <c r="B28" s="47">
        <v>44162</v>
      </c>
      <c r="C28" s="46">
        <v>1789.5</v>
      </c>
      <c r="D28" s="45">
        <v>1789.5</v>
      </c>
      <c r="E28" s="44">
        <f t="shared" si="0"/>
        <v>1789.5</v>
      </c>
      <c r="F28" s="46">
        <v>1810</v>
      </c>
      <c r="G28" s="45">
        <v>1810</v>
      </c>
      <c r="H28" s="44">
        <f t="shared" si="1"/>
        <v>1810</v>
      </c>
      <c r="I28" s="46">
        <v>1831.5</v>
      </c>
      <c r="J28" s="45">
        <v>1831.5</v>
      </c>
      <c r="K28" s="44">
        <f t="shared" si="2"/>
        <v>1831.5</v>
      </c>
      <c r="L28" s="52">
        <v>1789.5</v>
      </c>
      <c r="M28" s="51">
        <v>1.3329</v>
      </c>
      <c r="N28" s="51">
        <v>1.1924999999999999</v>
      </c>
      <c r="O28" s="50">
        <v>104.16</v>
      </c>
      <c r="P28" s="43">
        <v>1342.56</v>
      </c>
      <c r="Q28" s="43">
        <v>1356.82</v>
      </c>
      <c r="R28" s="49">
        <f t="shared" si="3"/>
        <v>1500.6289308176101</v>
      </c>
      <c r="S28" s="48">
        <v>1.3340000000000001</v>
      </c>
    </row>
    <row r="29" spans="2:19" x14ac:dyDescent="0.2">
      <c r="B29" s="47">
        <v>44165</v>
      </c>
      <c r="C29" s="46">
        <v>1795</v>
      </c>
      <c r="D29" s="45">
        <v>1795</v>
      </c>
      <c r="E29" s="44">
        <f t="shared" si="0"/>
        <v>1795</v>
      </c>
      <c r="F29" s="46">
        <v>1815</v>
      </c>
      <c r="G29" s="45">
        <v>1815</v>
      </c>
      <c r="H29" s="44">
        <f t="shared" si="1"/>
        <v>1815</v>
      </c>
      <c r="I29" s="46">
        <v>1836.5</v>
      </c>
      <c r="J29" s="45">
        <v>1836.5</v>
      </c>
      <c r="K29" s="44">
        <f t="shared" si="2"/>
        <v>1836.5</v>
      </c>
      <c r="L29" s="52">
        <v>1795</v>
      </c>
      <c r="M29" s="51">
        <v>1.3327</v>
      </c>
      <c r="N29" s="51">
        <v>1.1976</v>
      </c>
      <c r="O29" s="50">
        <v>104.13</v>
      </c>
      <c r="P29" s="43">
        <v>1346.89</v>
      </c>
      <c r="Q29" s="43">
        <v>1360.67</v>
      </c>
      <c r="R29" s="49">
        <f t="shared" si="3"/>
        <v>1498.8309953239814</v>
      </c>
      <c r="S29" s="48">
        <v>1.3339000000000001</v>
      </c>
    </row>
    <row r="30" spans="2:19" s="10" customFormat="1" x14ac:dyDescent="0.2">
      <c r="B30" s="42" t="s">
        <v>11</v>
      </c>
      <c r="C30" s="41">
        <f>ROUND(AVERAGE(C9:C29),2)</f>
        <v>1757.31</v>
      </c>
      <c r="D30" s="40">
        <f>ROUND(AVERAGE(D9:D29),2)</f>
        <v>1757.31</v>
      </c>
      <c r="E30" s="39">
        <f>ROUND(AVERAGE(C30:D30),2)</f>
        <v>1757.31</v>
      </c>
      <c r="F30" s="41">
        <f>ROUND(AVERAGE(F9:F29),2)</f>
        <v>1779.79</v>
      </c>
      <c r="G30" s="40">
        <f>ROUND(AVERAGE(G9:G29),2)</f>
        <v>1779.79</v>
      </c>
      <c r="H30" s="39">
        <f>ROUND(AVERAGE(F30:G30),2)</f>
        <v>1779.79</v>
      </c>
      <c r="I30" s="41">
        <f>ROUND(AVERAGE(I9:I29),2)</f>
        <v>1802.38</v>
      </c>
      <c r="J30" s="40">
        <f>ROUND(AVERAGE(J9:J29),2)</f>
        <v>1802.38</v>
      </c>
      <c r="K30" s="39">
        <f>ROUND(AVERAGE(I30:J30),2)</f>
        <v>1802.38</v>
      </c>
      <c r="L30" s="38">
        <f>ROUND(AVERAGE(L9:L29),2)</f>
        <v>1757.31</v>
      </c>
      <c r="M30" s="37">
        <f>ROUND(AVERAGE(M9:M29),4)</f>
        <v>1.3209</v>
      </c>
      <c r="N30" s="36">
        <f>ROUND(AVERAGE(N9:N29),4)</f>
        <v>1.1839999999999999</v>
      </c>
      <c r="O30" s="175">
        <f>ROUND(AVERAGE(O9:O29),2)</f>
        <v>104.43</v>
      </c>
      <c r="P30" s="35">
        <f>AVERAGE(P9:P29)</f>
        <v>1330.2419047619051</v>
      </c>
      <c r="Q30" s="35">
        <f>AVERAGE(Q9:Q29)</f>
        <v>1346.2985714285717</v>
      </c>
      <c r="R30" s="35">
        <f>AVERAGE(R9:R29)</f>
        <v>1484.1761867648893</v>
      </c>
      <c r="S30" s="34">
        <f>AVERAGE(S9:S29)</f>
        <v>1.3218952380952382</v>
      </c>
    </row>
    <row r="31" spans="2:19" s="5" customFormat="1" x14ac:dyDescent="0.2">
      <c r="B31" s="33" t="s">
        <v>12</v>
      </c>
      <c r="C31" s="32">
        <f t="shared" ref="C31:S31" si="4">MAX(C9:C29)</f>
        <v>1802</v>
      </c>
      <c r="D31" s="31">
        <f t="shared" si="4"/>
        <v>1802</v>
      </c>
      <c r="E31" s="30">
        <f t="shared" si="4"/>
        <v>1802</v>
      </c>
      <c r="F31" s="32">
        <f t="shared" si="4"/>
        <v>1825</v>
      </c>
      <c r="G31" s="31">
        <f t="shared" si="4"/>
        <v>1825</v>
      </c>
      <c r="H31" s="30">
        <f t="shared" si="4"/>
        <v>1825</v>
      </c>
      <c r="I31" s="32">
        <f t="shared" si="4"/>
        <v>1847</v>
      </c>
      <c r="J31" s="31">
        <f t="shared" si="4"/>
        <v>1847</v>
      </c>
      <c r="K31" s="30">
        <f t="shared" si="4"/>
        <v>1847</v>
      </c>
      <c r="L31" s="29">
        <f t="shared" si="4"/>
        <v>1802</v>
      </c>
      <c r="M31" s="28">
        <f t="shared" si="4"/>
        <v>1.3392999999999999</v>
      </c>
      <c r="N31" s="27">
        <f t="shared" si="4"/>
        <v>1.1976</v>
      </c>
      <c r="O31" s="26">
        <f t="shared" si="4"/>
        <v>105.5</v>
      </c>
      <c r="P31" s="25">
        <f t="shared" si="4"/>
        <v>1351.04</v>
      </c>
      <c r="Q31" s="25">
        <f t="shared" si="4"/>
        <v>1368.08</v>
      </c>
      <c r="R31" s="25">
        <f t="shared" si="4"/>
        <v>1513.9040578005545</v>
      </c>
      <c r="S31" s="24">
        <f t="shared" si="4"/>
        <v>1.3403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1693.5</v>
      </c>
      <c r="D32" s="21">
        <f t="shared" si="5"/>
        <v>1693.5</v>
      </c>
      <c r="E32" s="20">
        <f t="shared" si="5"/>
        <v>1693.5</v>
      </c>
      <c r="F32" s="22">
        <f t="shared" si="5"/>
        <v>1721.5</v>
      </c>
      <c r="G32" s="21">
        <f t="shared" si="5"/>
        <v>1721.5</v>
      </c>
      <c r="H32" s="20">
        <f t="shared" si="5"/>
        <v>1721.5</v>
      </c>
      <c r="I32" s="22">
        <f t="shared" si="5"/>
        <v>1745.5</v>
      </c>
      <c r="J32" s="21">
        <f t="shared" si="5"/>
        <v>1745.5</v>
      </c>
      <c r="K32" s="20">
        <f t="shared" si="5"/>
        <v>1745.5</v>
      </c>
      <c r="L32" s="19">
        <f t="shared" si="5"/>
        <v>1693.5</v>
      </c>
      <c r="M32" s="18">
        <f t="shared" si="5"/>
        <v>1.2926</v>
      </c>
      <c r="N32" s="17">
        <f t="shared" si="5"/>
        <v>1.1646000000000001</v>
      </c>
      <c r="O32" s="16">
        <f t="shared" si="5"/>
        <v>103.35</v>
      </c>
      <c r="P32" s="15">
        <f t="shared" si="5"/>
        <v>1305.79</v>
      </c>
      <c r="Q32" s="15">
        <f t="shared" si="5"/>
        <v>1327.15</v>
      </c>
      <c r="R32" s="15">
        <f t="shared" si="5"/>
        <v>1442.3807513718868</v>
      </c>
      <c r="S32" s="14">
        <f t="shared" si="5"/>
        <v>1.2935000000000001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5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44137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44137</v>
      </c>
      <c r="C9" s="46">
        <v>1834.5</v>
      </c>
      <c r="D9" s="45">
        <v>1834.5</v>
      </c>
      <c r="E9" s="44">
        <f t="shared" ref="E9:E29" si="0">AVERAGE(C9:D9)</f>
        <v>1834.5</v>
      </c>
      <c r="F9" s="46">
        <v>1839.5</v>
      </c>
      <c r="G9" s="45">
        <v>1839.5</v>
      </c>
      <c r="H9" s="44">
        <f t="shared" ref="H9:H29" si="1">AVERAGE(F9:G9)</f>
        <v>1839.5</v>
      </c>
      <c r="I9" s="46">
        <v>1882</v>
      </c>
      <c r="J9" s="45">
        <v>1882</v>
      </c>
      <c r="K9" s="44">
        <f t="shared" ref="K9:K29" si="2">AVERAGE(I9:J9)</f>
        <v>1882</v>
      </c>
      <c r="L9" s="46">
        <v>1939</v>
      </c>
      <c r="M9" s="45">
        <v>1939</v>
      </c>
      <c r="N9" s="44">
        <f t="shared" ref="N9:N29" si="3">AVERAGE(L9:M9)</f>
        <v>1939</v>
      </c>
      <c r="O9" s="46">
        <v>2006.5</v>
      </c>
      <c r="P9" s="45">
        <v>2006.5</v>
      </c>
      <c r="Q9" s="44">
        <f t="shared" ref="Q9:Q29" si="4">AVERAGE(O9:P9)</f>
        <v>2006.5</v>
      </c>
      <c r="R9" s="52">
        <v>1834.5</v>
      </c>
      <c r="S9" s="51">
        <v>1.2926</v>
      </c>
      <c r="T9" s="53">
        <v>1.1646000000000001</v>
      </c>
      <c r="U9" s="50">
        <v>104.67</v>
      </c>
      <c r="V9" s="43">
        <v>1419.23</v>
      </c>
      <c r="W9" s="43">
        <v>1422.11</v>
      </c>
      <c r="X9" s="49">
        <f t="shared" ref="X9:X29" si="5">R9/T9</f>
        <v>1575.2189592993302</v>
      </c>
      <c r="Y9" s="48">
        <v>1.2935000000000001</v>
      </c>
    </row>
    <row r="10" spans="1:25" x14ac:dyDescent="0.2">
      <c r="B10" s="47">
        <v>44138</v>
      </c>
      <c r="C10" s="46">
        <v>1891</v>
      </c>
      <c r="D10" s="45">
        <v>1891</v>
      </c>
      <c r="E10" s="44">
        <f t="shared" si="0"/>
        <v>1891</v>
      </c>
      <c r="F10" s="46">
        <v>1891</v>
      </c>
      <c r="G10" s="45">
        <v>1891</v>
      </c>
      <c r="H10" s="44">
        <f t="shared" si="1"/>
        <v>1891</v>
      </c>
      <c r="I10" s="46">
        <v>1926</v>
      </c>
      <c r="J10" s="45">
        <v>1926</v>
      </c>
      <c r="K10" s="44">
        <f t="shared" si="2"/>
        <v>1926</v>
      </c>
      <c r="L10" s="46">
        <v>1980</v>
      </c>
      <c r="M10" s="45">
        <v>1980</v>
      </c>
      <c r="N10" s="44">
        <f t="shared" si="3"/>
        <v>1980</v>
      </c>
      <c r="O10" s="46">
        <v>2042</v>
      </c>
      <c r="P10" s="45">
        <v>2042</v>
      </c>
      <c r="Q10" s="44">
        <f t="shared" si="4"/>
        <v>2042</v>
      </c>
      <c r="R10" s="52">
        <v>1891</v>
      </c>
      <c r="S10" s="51">
        <v>1.2987</v>
      </c>
      <c r="T10" s="51">
        <v>1.1698999999999999</v>
      </c>
      <c r="U10" s="50">
        <v>104.69</v>
      </c>
      <c r="V10" s="43">
        <v>1456.07</v>
      </c>
      <c r="W10" s="43">
        <v>1455.06</v>
      </c>
      <c r="X10" s="49">
        <f t="shared" si="5"/>
        <v>1616.3774681596719</v>
      </c>
      <c r="Y10" s="48">
        <v>1.2996000000000001</v>
      </c>
    </row>
    <row r="11" spans="1:25" x14ac:dyDescent="0.2">
      <c r="B11" s="47">
        <v>44139</v>
      </c>
      <c r="C11" s="46">
        <v>1877</v>
      </c>
      <c r="D11" s="45">
        <v>1877</v>
      </c>
      <c r="E11" s="44">
        <f t="shared" si="0"/>
        <v>1877</v>
      </c>
      <c r="F11" s="46">
        <v>1885.5</v>
      </c>
      <c r="G11" s="45">
        <v>1885.5</v>
      </c>
      <c r="H11" s="44">
        <f t="shared" si="1"/>
        <v>1885.5</v>
      </c>
      <c r="I11" s="46">
        <v>1924</v>
      </c>
      <c r="J11" s="45">
        <v>1924</v>
      </c>
      <c r="K11" s="44">
        <f t="shared" si="2"/>
        <v>1924</v>
      </c>
      <c r="L11" s="46">
        <v>1976</v>
      </c>
      <c r="M11" s="45">
        <v>1976</v>
      </c>
      <c r="N11" s="44">
        <f t="shared" si="3"/>
        <v>1976</v>
      </c>
      <c r="O11" s="46">
        <v>2037</v>
      </c>
      <c r="P11" s="45">
        <v>2037</v>
      </c>
      <c r="Q11" s="44">
        <f t="shared" si="4"/>
        <v>2037</v>
      </c>
      <c r="R11" s="52">
        <v>1877</v>
      </c>
      <c r="S11" s="51">
        <v>1.3041</v>
      </c>
      <c r="T11" s="51">
        <v>1.1718999999999999</v>
      </c>
      <c r="U11" s="50">
        <v>104.38</v>
      </c>
      <c r="V11" s="43">
        <v>1439.31</v>
      </c>
      <c r="W11" s="43">
        <v>1444.83</v>
      </c>
      <c r="X11" s="49">
        <f t="shared" si="5"/>
        <v>1601.6724976533835</v>
      </c>
      <c r="Y11" s="48">
        <v>1.3049999999999999</v>
      </c>
    </row>
    <row r="12" spans="1:25" x14ac:dyDescent="0.2">
      <c r="B12" s="47">
        <v>44140</v>
      </c>
      <c r="C12" s="46">
        <v>1885.5</v>
      </c>
      <c r="D12" s="45">
        <v>1885.5</v>
      </c>
      <c r="E12" s="44">
        <f t="shared" si="0"/>
        <v>1885.5</v>
      </c>
      <c r="F12" s="46">
        <v>1896.5</v>
      </c>
      <c r="G12" s="45">
        <v>1896.5</v>
      </c>
      <c r="H12" s="44">
        <f t="shared" si="1"/>
        <v>1896.5</v>
      </c>
      <c r="I12" s="46">
        <v>1938.5</v>
      </c>
      <c r="J12" s="45">
        <v>1938.5</v>
      </c>
      <c r="K12" s="44">
        <f t="shared" si="2"/>
        <v>1938.5</v>
      </c>
      <c r="L12" s="46">
        <v>1991</v>
      </c>
      <c r="M12" s="45">
        <v>1991</v>
      </c>
      <c r="N12" s="44">
        <f t="shared" si="3"/>
        <v>1991</v>
      </c>
      <c r="O12" s="46">
        <v>2052</v>
      </c>
      <c r="P12" s="45">
        <v>2052</v>
      </c>
      <c r="Q12" s="44">
        <f t="shared" si="4"/>
        <v>2052</v>
      </c>
      <c r="R12" s="52">
        <v>1885.5</v>
      </c>
      <c r="S12" s="51">
        <v>1.3084</v>
      </c>
      <c r="T12" s="51">
        <v>1.1845000000000001</v>
      </c>
      <c r="U12" s="50">
        <v>103.81</v>
      </c>
      <c r="V12" s="43">
        <v>1441.07</v>
      </c>
      <c r="W12" s="43">
        <v>1448.59</v>
      </c>
      <c r="X12" s="49">
        <f t="shared" si="5"/>
        <v>1591.8108906711691</v>
      </c>
      <c r="Y12" s="48">
        <v>1.3091999999999999</v>
      </c>
    </row>
    <row r="13" spans="1:25" x14ac:dyDescent="0.2">
      <c r="B13" s="47">
        <v>44141</v>
      </c>
      <c r="C13" s="46">
        <v>1891.5</v>
      </c>
      <c r="D13" s="45">
        <v>1891.5</v>
      </c>
      <c r="E13" s="44">
        <f t="shared" si="0"/>
        <v>1891.5</v>
      </c>
      <c r="F13" s="46">
        <v>1904</v>
      </c>
      <c r="G13" s="45">
        <v>1904</v>
      </c>
      <c r="H13" s="44">
        <f t="shared" si="1"/>
        <v>1904</v>
      </c>
      <c r="I13" s="46">
        <v>1948</v>
      </c>
      <c r="J13" s="45">
        <v>1948</v>
      </c>
      <c r="K13" s="44">
        <f t="shared" si="2"/>
        <v>1948</v>
      </c>
      <c r="L13" s="46">
        <v>2003</v>
      </c>
      <c r="M13" s="45">
        <v>2003</v>
      </c>
      <c r="N13" s="44">
        <f t="shared" si="3"/>
        <v>2003</v>
      </c>
      <c r="O13" s="46">
        <v>2063</v>
      </c>
      <c r="P13" s="45">
        <v>2063</v>
      </c>
      <c r="Q13" s="44">
        <f t="shared" si="4"/>
        <v>2063</v>
      </c>
      <c r="R13" s="52">
        <v>1891.5</v>
      </c>
      <c r="S13" s="51">
        <v>1.3120000000000001</v>
      </c>
      <c r="T13" s="51">
        <v>1.1875</v>
      </c>
      <c r="U13" s="50">
        <v>103.35</v>
      </c>
      <c r="V13" s="43">
        <v>1441.69</v>
      </c>
      <c r="W13" s="43">
        <v>1450.34</v>
      </c>
      <c r="X13" s="49">
        <f t="shared" si="5"/>
        <v>1592.8421052631579</v>
      </c>
      <c r="Y13" s="48">
        <v>1.3128</v>
      </c>
    </row>
    <row r="14" spans="1:25" x14ac:dyDescent="0.2">
      <c r="B14" s="47">
        <v>44144</v>
      </c>
      <c r="C14" s="46">
        <v>1913</v>
      </c>
      <c r="D14" s="45">
        <v>1913</v>
      </c>
      <c r="E14" s="44">
        <f t="shared" si="0"/>
        <v>1913</v>
      </c>
      <c r="F14" s="46">
        <v>1930</v>
      </c>
      <c r="G14" s="45">
        <v>1930</v>
      </c>
      <c r="H14" s="44">
        <f t="shared" si="1"/>
        <v>1930</v>
      </c>
      <c r="I14" s="46">
        <v>1974</v>
      </c>
      <c r="J14" s="45">
        <v>1974</v>
      </c>
      <c r="K14" s="44">
        <f t="shared" si="2"/>
        <v>1974</v>
      </c>
      <c r="L14" s="46">
        <v>2027.5</v>
      </c>
      <c r="M14" s="45">
        <v>2027.5</v>
      </c>
      <c r="N14" s="44">
        <f t="shared" si="3"/>
        <v>2027.5</v>
      </c>
      <c r="O14" s="46">
        <v>2087.5</v>
      </c>
      <c r="P14" s="45">
        <v>2087.5</v>
      </c>
      <c r="Q14" s="44">
        <f t="shared" si="4"/>
        <v>2087.5</v>
      </c>
      <c r="R14" s="52">
        <v>1913</v>
      </c>
      <c r="S14" s="51">
        <v>1.3169999999999999</v>
      </c>
      <c r="T14" s="51">
        <v>1.1894</v>
      </c>
      <c r="U14" s="50">
        <v>104.97</v>
      </c>
      <c r="V14" s="43">
        <v>1452.54</v>
      </c>
      <c r="W14" s="43">
        <v>1464.56</v>
      </c>
      <c r="X14" s="49">
        <f t="shared" si="5"/>
        <v>1608.3739700689423</v>
      </c>
      <c r="Y14" s="48">
        <v>1.3178000000000001</v>
      </c>
    </row>
    <row r="15" spans="1:25" x14ac:dyDescent="0.2">
      <c r="B15" s="47">
        <v>44145</v>
      </c>
      <c r="C15" s="46">
        <v>1880</v>
      </c>
      <c r="D15" s="45">
        <v>1880</v>
      </c>
      <c r="E15" s="44">
        <f t="shared" si="0"/>
        <v>1880</v>
      </c>
      <c r="F15" s="46">
        <v>1900</v>
      </c>
      <c r="G15" s="45">
        <v>1900</v>
      </c>
      <c r="H15" s="44">
        <f t="shared" si="1"/>
        <v>1900</v>
      </c>
      <c r="I15" s="46">
        <v>1942.5</v>
      </c>
      <c r="J15" s="45">
        <v>1942.5</v>
      </c>
      <c r="K15" s="44">
        <f t="shared" si="2"/>
        <v>1942.5</v>
      </c>
      <c r="L15" s="46">
        <v>1997.5</v>
      </c>
      <c r="M15" s="45">
        <v>1997.5</v>
      </c>
      <c r="N15" s="44">
        <f t="shared" si="3"/>
        <v>1997.5</v>
      </c>
      <c r="O15" s="46">
        <v>2057.5</v>
      </c>
      <c r="P15" s="45">
        <v>2057.5</v>
      </c>
      <c r="Q15" s="44">
        <f t="shared" si="4"/>
        <v>2057.5</v>
      </c>
      <c r="R15" s="52">
        <v>1880</v>
      </c>
      <c r="S15" s="51">
        <v>1.3250999999999999</v>
      </c>
      <c r="T15" s="51">
        <v>1.181</v>
      </c>
      <c r="U15" s="50">
        <v>105.29</v>
      </c>
      <c r="V15" s="43">
        <v>1418.76</v>
      </c>
      <c r="W15" s="43">
        <v>1432.88</v>
      </c>
      <c r="X15" s="49">
        <f t="shared" si="5"/>
        <v>1591.8712955122776</v>
      </c>
      <c r="Y15" s="48">
        <v>1.3260000000000001</v>
      </c>
    </row>
    <row r="16" spans="1:25" x14ac:dyDescent="0.2">
      <c r="B16" s="47">
        <v>44146</v>
      </c>
      <c r="C16" s="46">
        <v>1905</v>
      </c>
      <c r="D16" s="45">
        <v>1905</v>
      </c>
      <c r="E16" s="44">
        <f t="shared" si="0"/>
        <v>1905</v>
      </c>
      <c r="F16" s="46">
        <v>1923.5</v>
      </c>
      <c r="G16" s="45">
        <v>1923.5</v>
      </c>
      <c r="H16" s="44">
        <f t="shared" si="1"/>
        <v>1923.5</v>
      </c>
      <c r="I16" s="46">
        <v>1964.5</v>
      </c>
      <c r="J16" s="45">
        <v>1964.5</v>
      </c>
      <c r="K16" s="44">
        <f t="shared" si="2"/>
        <v>1964.5</v>
      </c>
      <c r="L16" s="46">
        <v>2020.5</v>
      </c>
      <c r="M16" s="45">
        <v>2020.5</v>
      </c>
      <c r="N16" s="44">
        <f t="shared" si="3"/>
        <v>2020.5</v>
      </c>
      <c r="O16" s="46">
        <v>2080.5</v>
      </c>
      <c r="P16" s="45">
        <v>2080.5</v>
      </c>
      <c r="Q16" s="44">
        <f t="shared" si="4"/>
        <v>2080.5</v>
      </c>
      <c r="R16" s="52">
        <v>1905</v>
      </c>
      <c r="S16" s="51">
        <v>1.3227</v>
      </c>
      <c r="T16" s="51">
        <v>1.1774</v>
      </c>
      <c r="U16" s="50">
        <v>105.5</v>
      </c>
      <c r="V16" s="43">
        <v>1440.24</v>
      </c>
      <c r="W16" s="43">
        <v>1453.23</v>
      </c>
      <c r="X16" s="49">
        <f t="shared" si="5"/>
        <v>1617.9718022762017</v>
      </c>
      <c r="Y16" s="48">
        <v>1.3236000000000001</v>
      </c>
    </row>
    <row r="17" spans="2:25" x14ac:dyDescent="0.2">
      <c r="B17" s="47">
        <v>44147</v>
      </c>
      <c r="C17" s="46">
        <v>1904.5</v>
      </c>
      <c r="D17" s="45">
        <v>1904.5</v>
      </c>
      <c r="E17" s="44">
        <f t="shared" si="0"/>
        <v>1904.5</v>
      </c>
      <c r="F17" s="46">
        <v>1922.5</v>
      </c>
      <c r="G17" s="45">
        <v>1922.5</v>
      </c>
      <c r="H17" s="44">
        <f t="shared" si="1"/>
        <v>1922.5</v>
      </c>
      <c r="I17" s="46">
        <v>1962.5</v>
      </c>
      <c r="J17" s="45">
        <v>1962.5</v>
      </c>
      <c r="K17" s="44">
        <f t="shared" si="2"/>
        <v>1962.5</v>
      </c>
      <c r="L17" s="46">
        <v>2017.5</v>
      </c>
      <c r="M17" s="45">
        <v>2017.5</v>
      </c>
      <c r="N17" s="44">
        <f t="shared" si="3"/>
        <v>2017.5</v>
      </c>
      <c r="O17" s="46">
        <v>2073.5</v>
      </c>
      <c r="P17" s="45">
        <v>2073.5</v>
      </c>
      <c r="Q17" s="44">
        <f t="shared" si="4"/>
        <v>2073.5</v>
      </c>
      <c r="R17" s="52">
        <v>1904.5</v>
      </c>
      <c r="S17" s="51">
        <v>1.3142</v>
      </c>
      <c r="T17" s="51">
        <v>1.1798</v>
      </c>
      <c r="U17" s="50">
        <v>105.34</v>
      </c>
      <c r="V17" s="43">
        <v>1449.17</v>
      </c>
      <c r="W17" s="43">
        <v>1461.87</v>
      </c>
      <c r="X17" s="49">
        <f t="shared" si="5"/>
        <v>1614.2566536701136</v>
      </c>
      <c r="Y17" s="48">
        <v>1.3150999999999999</v>
      </c>
    </row>
    <row r="18" spans="2:25" x14ac:dyDescent="0.2">
      <c r="B18" s="47">
        <v>44148</v>
      </c>
      <c r="C18" s="46">
        <v>1918</v>
      </c>
      <c r="D18" s="45">
        <v>1918</v>
      </c>
      <c r="E18" s="44">
        <f t="shared" si="0"/>
        <v>1918</v>
      </c>
      <c r="F18" s="46">
        <v>1934.5</v>
      </c>
      <c r="G18" s="45">
        <v>1934.5</v>
      </c>
      <c r="H18" s="44">
        <f t="shared" si="1"/>
        <v>1934.5</v>
      </c>
      <c r="I18" s="46">
        <v>1971.5</v>
      </c>
      <c r="J18" s="45">
        <v>1971.5</v>
      </c>
      <c r="K18" s="44">
        <f t="shared" si="2"/>
        <v>1971.5</v>
      </c>
      <c r="L18" s="46">
        <v>2024.5</v>
      </c>
      <c r="M18" s="45">
        <v>2024.5</v>
      </c>
      <c r="N18" s="44">
        <f t="shared" si="3"/>
        <v>2024.5</v>
      </c>
      <c r="O18" s="46">
        <v>2080.5</v>
      </c>
      <c r="P18" s="45">
        <v>2080.5</v>
      </c>
      <c r="Q18" s="44">
        <f t="shared" si="4"/>
        <v>2080.5</v>
      </c>
      <c r="R18" s="52">
        <v>1918</v>
      </c>
      <c r="S18" s="51">
        <v>1.3165</v>
      </c>
      <c r="T18" s="51">
        <v>1.1816</v>
      </c>
      <c r="U18" s="50">
        <v>104.88</v>
      </c>
      <c r="V18" s="43">
        <v>1456.89</v>
      </c>
      <c r="W18" s="43">
        <v>1468.31</v>
      </c>
      <c r="X18" s="49">
        <f t="shared" si="5"/>
        <v>1623.2227488151659</v>
      </c>
      <c r="Y18" s="48">
        <v>1.3174999999999999</v>
      </c>
    </row>
    <row r="19" spans="2:25" x14ac:dyDescent="0.2">
      <c r="B19" s="47">
        <v>44151</v>
      </c>
      <c r="C19" s="46">
        <v>1933</v>
      </c>
      <c r="D19" s="45">
        <v>1933</v>
      </c>
      <c r="E19" s="44">
        <f t="shared" si="0"/>
        <v>1933</v>
      </c>
      <c r="F19" s="46">
        <v>1946.5</v>
      </c>
      <c r="G19" s="45">
        <v>1946.5</v>
      </c>
      <c r="H19" s="44">
        <f t="shared" si="1"/>
        <v>1946.5</v>
      </c>
      <c r="I19" s="46">
        <v>1978.5</v>
      </c>
      <c r="J19" s="45">
        <v>1978.5</v>
      </c>
      <c r="K19" s="44">
        <f t="shared" si="2"/>
        <v>1978.5</v>
      </c>
      <c r="L19" s="46">
        <v>2029.5</v>
      </c>
      <c r="M19" s="45">
        <v>2029.5</v>
      </c>
      <c r="N19" s="44">
        <f t="shared" si="3"/>
        <v>2029.5</v>
      </c>
      <c r="O19" s="46">
        <v>2085</v>
      </c>
      <c r="P19" s="45">
        <v>2085</v>
      </c>
      <c r="Q19" s="44">
        <f t="shared" si="4"/>
        <v>2085</v>
      </c>
      <c r="R19" s="52">
        <v>1933</v>
      </c>
      <c r="S19" s="51">
        <v>1.3169999999999999</v>
      </c>
      <c r="T19" s="51">
        <v>1.1834</v>
      </c>
      <c r="U19" s="50">
        <v>104.91</v>
      </c>
      <c r="V19" s="43">
        <v>1467.73</v>
      </c>
      <c r="W19" s="43">
        <v>1476.86</v>
      </c>
      <c r="X19" s="49">
        <f t="shared" si="5"/>
        <v>1633.4291025857699</v>
      </c>
      <c r="Y19" s="48">
        <v>1.3180000000000001</v>
      </c>
    </row>
    <row r="20" spans="2:25" x14ac:dyDescent="0.2">
      <c r="B20" s="47">
        <v>44152</v>
      </c>
      <c r="C20" s="46">
        <v>1944.5</v>
      </c>
      <c r="D20" s="45">
        <v>1944.5</v>
      </c>
      <c r="E20" s="44">
        <f t="shared" si="0"/>
        <v>1944.5</v>
      </c>
      <c r="F20" s="46">
        <v>1961</v>
      </c>
      <c r="G20" s="45">
        <v>1961</v>
      </c>
      <c r="H20" s="44">
        <f t="shared" si="1"/>
        <v>1961</v>
      </c>
      <c r="I20" s="46">
        <v>1989.5</v>
      </c>
      <c r="J20" s="45">
        <v>1989.5</v>
      </c>
      <c r="K20" s="44">
        <f t="shared" si="2"/>
        <v>1989.5</v>
      </c>
      <c r="L20" s="46">
        <v>2039</v>
      </c>
      <c r="M20" s="45">
        <v>2039</v>
      </c>
      <c r="N20" s="44">
        <f t="shared" si="3"/>
        <v>2039</v>
      </c>
      <c r="O20" s="46">
        <v>2090.5</v>
      </c>
      <c r="P20" s="45">
        <v>2090.5</v>
      </c>
      <c r="Q20" s="44">
        <f t="shared" si="4"/>
        <v>2090.5</v>
      </c>
      <c r="R20" s="52">
        <v>1944.5</v>
      </c>
      <c r="S20" s="51">
        <v>1.3259000000000001</v>
      </c>
      <c r="T20" s="51">
        <v>1.1880999999999999</v>
      </c>
      <c r="U20" s="50">
        <v>104.24</v>
      </c>
      <c r="V20" s="43">
        <v>1466.55</v>
      </c>
      <c r="W20" s="43">
        <v>1477.88</v>
      </c>
      <c r="X20" s="49">
        <f t="shared" si="5"/>
        <v>1636.6467469068261</v>
      </c>
      <c r="Y20" s="48">
        <v>1.3269</v>
      </c>
    </row>
    <row r="21" spans="2:25" x14ac:dyDescent="0.2">
      <c r="B21" s="47">
        <v>44153</v>
      </c>
      <c r="C21" s="46">
        <v>1978</v>
      </c>
      <c r="D21" s="45">
        <v>1978</v>
      </c>
      <c r="E21" s="44">
        <f t="shared" si="0"/>
        <v>1978</v>
      </c>
      <c r="F21" s="46">
        <v>1994</v>
      </c>
      <c r="G21" s="45">
        <v>1994</v>
      </c>
      <c r="H21" s="44">
        <f t="shared" si="1"/>
        <v>1994</v>
      </c>
      <c r="I21" s="46">
        <v>2011</v>
      </c>
      <c r="J21" s="45">
        <v>2011</v>
      </c>
      <c r="K21" s="44">
        <f t="shared" si="2"/>
        <v>2011</v>
      </c>
      <c r="L21" s="46">
        <v>2053</v>
      </c>
      <c r="M21" s="45">
        <v>2053</v>
      </c>
      <c r="N21" s="44">
        <f t="shared" si="3"/>
        <v>2053</v>
      </c>
      <c r="O21" s="46">
        <v>2100</v>
      </c>
      <c r="P21" s="45">
        <v>2100</v>
      </c>
      <c r="Q21" s="44">
        <f t="shared" si="4"/>
        <v>2100</v>
      </c>
      <c r="R21" s="52">
        <v>1978</v>
      </c>
      <c r="S21" s="51">
        <v>1.3277000000000001</v>
      </c>
      <c r="T21" s="51">
        <v>1.1869000000000001</v>
      </c>
      <c r="U21" s="50">
        <v>103.92</v>
      </c>
      <c r="V21" s="43">
        <v>1489.79</v>
      </c>
      <c r="W21" s="43">
        <v>1500.71</v>
      </c>
      <c r="X21" s="49">
        <f t="shared" si="5"/>
        <v>1666.5262448394978</v>
      </c>
      <c r="Y21" s="48">
        <v>1.3287</v>
      </c>
    </row>
    <row r="22" spans="2:25" x14ac:dyDescent="0.2">
      <c r="B22" s="47">
        <v>44154</v>
      </c>
      <c r="C22" s="46">
        <v>1983</v>
      </c>
      <c r="D22" s="45">
        <v>1983</v>
      </c>
      <c r="E22" s="44">
        <f t="shared" si="0"/>
        <v>1983</v>
      </c>
      <c r="F22" s="46">
        <v>1994.5</v>
      </c>
      <c r="G22" s="45">
        <v>1994.5</v>
      </c>
      <c r="H22" s="44">
        <f t="shared" si="1"/>
        <v>1994.5</v>
      </c>
      <c r="I22" s="46">
        <v>2013</v>
      </c>
      <c r="J22" s="45">
        <v>2013</v>
      </c>
      <c r="K22" s="44">
        <f t="shared" si="2"/>
        <v>2013</v>
      </c>
      <c r="L22" s="46">
        <v>2054</v>
      </c>
      <c r="M22" s="45">
        <v>2054</v>
      </c>
      <c r="N22" s="44">
        <f t="shared" si="3"/>
        <v>2054</v>
      </c>
      <c r="O22" s="46">
        <v>2099.5</v>
      </c>
      <c r="P22" s="45">
        <v>2099.5</v>
      </c>
      <c r="Q22" s="44">
        <f t="shared" si="4"/>
        <v>2099.5</v>
      </c>
      <c r="R22" s="52">
        <v>1983</v>
      </c>
      <c r="S22" s="51">
        <v>1.3232999999999999</v>
      </c>
      <c r="T22" s="51">
        <v>1.1836</v>
      </c>
      <c r="U22" s="50">
        <v>104.04</v>
      </c>
      <c r="V22" s="43">
        <v>1498.53</v>
      </c>
      <c r="W22" s="43">
        <v>1506.08</v>
      </c>
      <c r="X22" s="49">
        <f t="shared" si="5"/>
        <v>1675.3970936127071</v>
      </c>
      <c r="Y22" s="48">
        <v>1.3243</v>
      </c>
    </row>
    <row r="23" spans="2:25" x14ac:dyDescent="0.2">
      <c r="B23" s="47">
        <v>44155</v>
      </c>
      <c r="C23" s="46">
        <v>1984</v>
      </c>
      <c r="D23" s="45">
        <v>1984</v>
      </c>
      <c r="E23" s="44">
        <f t="shared" si="0"/>
        <v>1984</v>
      </c>
      <c r="F23" s="46">
        <v>1995.5</v>
      </c>
      <c r="G23" s="45">
        <v>1995.5</v>
      </c>
      <c r="H23" s="44">
        <f t="shared" si="1"/>
        <v>1995.5</v>
      </c>
      <c r="I23" s="46">
        <v>2014</v>
      </c>
      <c r="J23" s="45">
        <v>2014</v>
      </c>
      <c r="K23" s="44">
        <f t="shared" si="2"/>
        <v>2014</v>
      </c>
      <c r="L23" s="46">
        <v>2057</v>
      </c>
      <c r="M23" s="45">
        <v>2057</v>
      </c>
      <c r="N23" s="44">
        <f t="shared" si="3"/>
        <v>2057</v>
      </c>
      <c r="O23" s="46">
        <v>2102.5</v>
      </c>
      <c r="P23" s="45">
        <v>2102.5</v>
      </c>
      <c r="Q23" s="44">
        <f t="shared" si="4"/>
        <v>2102.5</v>
      </c>
      <c r="R23" s="52">
        <v>1984</v>
      </c>
      <c r="S23" s="51">
        <v>1.3274999999999999</v>
      </c>
      <c r="T23" s="51">
        <v>1.1872</v>
      </c>
      <c r="U23" s="50">
        <v>103.8</v>
      </c>
      <c r="V23" s="43">
        <v>1494.54</v>
      </c>
      <c r="W23" s="43">
        <v>1502.07</v>
      </c>
      <c r="X23" s="49">
        <f t="shared" si="5"/>
        <v>1671.1590296495956</v>
      </c>
      <c r="Y23" s="48">
        <v>1.3285</v>
      </c>
    </row>
    <row r="24" spans="2:25" x14ac:dyDescent="0.2">
      <c r="B24" s="47">
        <v>44158</v>
      </c>
      <c r="C24" s="46">
        <v>1969.5</v>
      </c>
      <c r="D24" s="45">
        <v>1969.5</v>
      </c>
      <c r="E24" s="44">
        <f t="shared" si="0"/>
        <v>1969.5</v>
      </c>
      <c r="F24" s="46">
        <v>1985.5</v>
      </c>
      <c r="G24" s="45">
        <v>1985.5</v>
      </c>
      <c r="H24" s="44">
        <f t="shared" si="1"/>
        <v>1985.5</v>
      </c>
      <c r="I24" s="46">
        <v>2006</v>
      </c>
      <c r="J24" s="45">
        <v>2006</v>
      </c>
      <c r="K24" s="44">
        <f t="shared" si="2"/>
        <v>2006</v>
      </c>
      <c r="L24" s="46">
        <v>2051</v>
      </c>
      <c r="M24" s="45">
        <v>2051</v>
      </c>
      <c r="N24" s="44">
        <f t="shared" si="3"/>
        <v>2051</v>
      </c>
      <c r="O24" s="46">
        <v>2096.5</v>
      </c>
      <c r="P24" s="45">
        <v>2096.5</v>
      </c>
      <c r="Q24" s="44">
        <f t="shared" si="4"/>
        <v>2096.5</v>
      </c>
      <c r="R24" s="52">
        <v>1969.5</v>
      </c>
      <c r="S24" s="51">
        <v>1.3392999999999999</v>
      </c>
      <c r="T24" s="51">
        <v>1.1902999999999999</v>
      </c>
      <c r="U24" s="50">
        <v>103.73</v>
      </c>
      <c r="V24" s="43">
        <v>1470.54</v>
      </c>
      <c r="W24" s="43">
        <v>1481.38</v>
      </c>
      <c r="X24" s="49">
        <f t="shared" si="5"/>
        <v>1654.6248844829036</v>
      </c>
      <c r="Y24" s="48">
        <v>1.3403</v>
      </c>
    </row>
    <row r="25" spans="2:25" x14ac:dyDescent="0.2">
      <c r="B25" s="47">
        <v>44159</v>
      </c>
      <c r="C25" s="46">
        <v>1964.5</v>
      </c>
      <c r="D25" s="45">
        <v>1964.5</v>
      </c>
      <c r="E25" s="44">
        <f t="shared" si="0"/>
        <v>1964.5</v>
      </c>
      <c r="F25" s="46">
        <v>1981</v>
      </c>
      <c r="G25" s="45">
        <v>1981</v>
      </c>
      <c r="H25" s="44">
        <f t="shared" si="1"/>
        <v>1981</v>
      </c>
      <c r="I25" s="46">
        <v>2005</v>
      </c>
      <c r="J25" s="45">
        <v>2005</v>
      </c>
      <c r="K25" s="44">
        <f t="shared" si="2"/>
        <v>2005</v>
      </c>
      <c r="L25" s="46">
        <v>2050</v>
      </c>
      <c r="M25" s="45">
        <v>2050</v>
      </c>
      <c r="N25" s="44">
        <f t="shared" si="3"/>
        <v>2050</v>
      </c>
      <c r="O25" s="46">
        <v>2096</v>
      </c>
      <c r="P25" s="45">
        <v>2096</v>
      </c>
      <c r="Q25" s="44">
        <f t="shared" si="4"/>
        <v>2096</v>
      </c>
      <c r="R25" s="52">
        <v>1964.5</v>
      </c>
      <c r="S25" s="51">
        <v>1.3324</v>
      </c>
      <c r="T25" s="51">
        <v>1.1869000000000001</v>
      </c>
      <c r="U25" s="50">
        <v>104.53</v>
      </c>
      <c r="V25" s="43">
        <v>1474.41</v>
      </c>
      <c r="W25" s="43">
        <v>1485.68</v>
      </c>
      <c r="X25" s="49">
        <f t="shared" si="5"/>
        <v>1655.1520768388236</v>
      </c>
      <c r="Y25" s="48">
        <v>1.3333999999999999</v>
      </c>
    </row>
    <row r="26" spans="2:25" x14ac:dyDescent="0.2">
      <c r="B26" s="47">
        <v>44160</v>
      </c>
      <c r="C26" s="46">
        <v>1967</v>
      </c>
      <c r="D26" s="45">
        <v>1967</v>
      </c>
      <c r="E26" s="44">
        <f t="shared" si="0"/>
        <v>1967</v>
      </c>
      <c r="F26" s="46">
        <v>1981.5</v>
      </c>
      <c r="G26" s="45">
        <v>1981.5</v>
      </c>
      <c r="H26" s="44">
        <f t="shared" si="1"/>
        <v>1981.5</v>
      </c>
      <c r="I26" s="46">
        <v>2004</v>
      </c>
      <c r="J26" s="45">
        <v>2004</v>
      </c>
      <c r="K26" s="44">
        <f t="shared" si="2"/>
        <v>2004</v>
      </c>
      <c r="L26" s="46">
        <v>2049</v>
      </c>
      <c r="M26" s="45">
        <v>2049</v>
      </c>
      <c r="N26" s="44">
        <f t="shared" si="3"/>
        <v>2049</v>
      </c>
      <c r="O26" s="46">
        <v>2095</v>
      </c>
      <c r="P26" s="45">
        <v>2095</v>
      </c>
      <c r="Q26" s="44">
        <f t="shared" si="4"/>
        <v>2095</v>
      </c>
      <c r="R26" s="52">
        <v>1967</v>
      </c>
      <c r="S26" s="51">
        <v>1.3349</v>
      </c>
      <c r="T26" s="51">
        <v>1.1895</v>
      </c>
      <c r="U26" s="50">
        <v>104.41</v>
      </c>
      <c r="V26" s="43">
        <v>1473.52</v>
      </c>
      <c r="W26" s="43">
        <v>1483.27</v>
      </c>
      <c r="X26" s="49">
        <f t="shared" si="5"/>
        <v>1653.635981504834</v>
      </c>
      <c r="Y26" s="48">
        <v>1.3359000000000001</v>
      </c>
    </row>
    <row r="27" spans="2:25" x14ac:dyDescent="0.2">
      <c r="B27" s="47">
        <v>44161</v>
      </c>
      <c r="C27" s="46">
        <v>1961.5</v>
      </c>
      <c r="D27" s="45">
        <v>1961.5</v>
      </c>
      <c r="E27" s="44">
        <f t="shared" si="0"/>
        <v>1961.5</v>
      </c>
      <c r="F27" s="46">
        <v>1978</v>
      </c>
      <c r="G27" s="45">
        <v>1978</v>
      </c>
      <c r="H27" s="44">
        <f t="shared" si="1"/>
        <v>1978</v>
      </c>
      <c r="I27" s="46">
        <v>1999</v>
      </c>
      <c r="J27" s="45">
        <v>1999</v>
      </c>
      <c r="K27" s="44">
        <f t="shared" si="2"/>
        <v>1999</v>
      </c>
      <c r="L27" s="46">
        <v>2041</v>
      </c>
      <c r="M27" s="45">
        <v>2041</v>
      </c>
      <c r="N27" s="44">
        <f t="shared" si="3"/>
        <v>2041</v>
      </c>
      <c r="O27" s="46">
        <v>2086</v>
      </c>
      <c r="P27" s="45">
        <v>2086</v>
      </c>
      <c r="Q27" s="44">
        <f t="shared" si="4"/>
        <v>2086</v>
      </c>
      <c r="R27" s="52">
        <v>1961.5</v>
      </c>
      <c r="S27" s="51">
        <v>1.3348</v>
      </c>
      <c r="T27" s="51">
        <v>1.1896</v>
      </c>
      <c r="U27" s="50">
        <v>104.26</v>
      </c>
      <c r="V27" s="43">
        <v>1469.51</v>
      </c>
      <c r="W27" s="43">
        <v>1480.76</v>
      </c>
      <c r="X27" s="49">
        <f t="shared" si="5"/>
        <v>1648.873570948218</v>
      </c>
      <c r="Y27" s="48">
        <v>1.3358000000000001</v>
      </c>
    </row>
    <row r="28" spans="2:25" x14ac:dyDescent="0.2">
      <c r="B28" s="47">
        <v>44162</v>
      </c>
      <c r="C28" s="46">
        <v>1975</v>
      </c>
      <c r="D28" s="45">
        <v>1975</v>
      </c>
      <c r="E28" s="44">
        <f t="shared" si="0"/>
        <v>1975</v>
      </c>
      <c r="F28" s="46">
        <v>1988.5</v>
      </c>
      <c r="G28" s="45">
        <v>1988.5</v>
      </c>
      <c r="H28" s="44">
        <f t="shared" si="1"/>
        <v>1988.5</v>
      </c>
      <c r="I28" s="46">
        <v>2010.5</v>
      </c>
      <c r="J28" s="45">
        <v>2010.5</v>
      </c>
      <c r="K28" s="44">
        <f t="shared" si="2"/>
        <v>2010.5</v>
      </c>
      <c r="L28" s="46">
        <v>2052.5</v>
      </c>
      <c r="M28" s="45">
        <v>2052.5</v>
      </c>
      <c r="N28" s="44">
        <f t="shared" si="3"/>
        <v>2052.5</v>
      </c>
      <c r="O28" s="46">
        <v>2097.5</v>
      </c>
      <c r="P28" s="45">
        <v>2097.5</v>
      </c>
      <c r="Q28" s="44">
        <f t="shared" si="4"/>
        <v>2097.5</v>
      </c>
      <c r="R28" s="52">
        <v>1975</v>
      </c>
      <c r="S28" s="51">
        <v>1.3329</v>
      </c>
      <c r="T28" s="51">
        <v>1.1924999999999999</v>
      </c>
      <c r="U28" s="50">
        <v>104.16</v>
      </c>
      <c r="V28" s="43">
        <v>1481.73</v>
      </c>
      <c r="W28" s="43">
        <v>1490.63</v>
      </c>
      <c r="X28" s="49">
        <f t="shared" si="5"/>
        <v>1656.1844863731658</v>
      </c>
      <c r="Y28" s="48">
        <v>1.3340000000000001</v>
      </c>
    </row>
    <row r="29" spans="2:25" x14ac:dyDescent="0.2">
      <c r="B29" s="47">
        <v>44165</v>
      </c>
      <c r="C29" s="46">
        <v>2014.5</v>
      </c>
      <c r="D29" s="45">
        <v>2014.5</v>
      </c>
      <c r="E29" s="44">
        <f t="shared" si="0"/>
        <v>2014.5</v>
      </c>
      <c r="F29" s="46">
        <v>2022.5</v>
      </c>
      <c r="G29" s="45">
        <v>2022.5</v>
      </c>
      <c r="H29" s="44">
        <f t="shared" si="1"/>
        <v>2022.5</v>
      </c>
      <c r="I29" s="46">
        <v>2042.5</v>
      </c>
      <c r="J29" s="45">
        <v>2042.5</v>
      </c>
      <c r="K29" s="44">
        <f t="shared" si="2"/>
        <v>2042.5</v>
      </c>
      <c r="L29" s="46">
        <v>2081.5</v>
      </c>
      <c r="M29" s="45">
        <v>2081.5</v>
      </c>
      <c r="N29" s="44">
        <f t="shared" si="3"/>
        <v>2081.5</v>
      </c>
      <c r="O29" s="46">
        <v>2125.5</v>
      </c>
      <c r="P29" s="45">
        <v>2125.5</v>
      </c>
      <c r="Q29" s="44">
        <f t="shared" si="4"/>
        <v>2125.5</v>
      </c>
      <c r="R29" s="52">
        <v>2014.5</v>
      </c>
      <c r="S29" s="51">
        <v>1.3327</v>
      </c>
      <c r="T29" s="51">
        <v>1.1976</v>
      </c>
      <c r="U29" s="50">
        <v>104.13</v>
      </c>
      <c r="V29" s="43">
        <v>1511.59</v>
      </c>
      <c r="W29" s="43">
        <v>1516.23</v>
      </c>
      <c r="X29" s="49">
        <f t="shared" si="5"/>
        <v>1682.1142284569139</v>
      </c>
      <c r="Y29" s="48">
        <v>1.3339000000000001</v>
      </c>
    </row>
    <row r="30" spans="2:25" s="10" customFormat="1" x14ac:dyDescent="0.2">
      <c r="B30" s="42" t="s">
        <v>11</v>
      </c>
      <c r="C30" s="41">
        <f>ROUND(AVERAGE(C9:C29),2)</f>
        <v>1932.12</v>
      </c>
      <c r="D30" s="40">
        <f>ROUND(AVERAGE(D9:D29),2)</f>
        <v>1932.12</v>
      </c>
      <c r="E30" s="39">
        <f>ROUND(AVERAGE(C30:D30),2)</f>
        <v>1932.12</v>
      </c>
      <c r="F30" s="41">
        <f>ROUND(AVERAGE(F9:F29),2)</f>
        <v>1945.5</v>
      </c>
      <c r="G30" s="40">
        <f>ROUND(AVERAGE(G9:G29),2)</f>
        <v>1945.5</v>
      </c>
      <c r="H30" s="39">
        <f>ROUND(AVERAGE(F30:G30),2)</f>
        <v>1945.5</v>
      </c>
      <c r="I30" s="41">
        <f>ROUND(AVERAGE(I9:I29),2)</f>
        <v>1976.5</v>
      </c>
      <c r="J30" s="40">
        <f>ROUND(AVERAGE(J9:J29),2)</f>
        <v>1976.5</v>
      </c>
      <c r="K30" s="39">
        <f>ROUND(AVERAGE(I30:J30),2)</f>
        <v>1976.5</v>
      </c>
      <c r="L30" s="41">
        <f>ROUND(AVERAGE(L9:L29),2)</f>
        <v>2025.43</v>
      </c>
      <c r="M30" s="40">
        <f>ROUND(AVERAGE(M9:M29),2)</f>
        <v>2025.43</v>
      </c>
      <c r="N30" s="39">
        <f>ROUND(AVERAGE(L30:M30),2)</f>
        <v>2025.43</v>
      </c>
      <c r="O30" s="41">
        <f>ROUND(AVERAGE(O9:O29),2)</f>
        <v>2078.7600000000002</v>
      </c>
      <c r="P30" s="40">
        <f>ROUND(AVERAGE(P9:P29),2)</f>
        <v>2078.7600000000002</v>
      </c>
      <c r="Q30" s="39">
        <f>ROUND(AVERAGE(O30:P30),2)</f>
        <v>2078.7600000000002</v>
      </c>
      <c r="R30" s="38">
        <f>ROUND(AVERAGE(R9:R29),2)</f>
        <v>1932.12</v>
      </c>
      <c r="S30" s="37">
        <f>ROUND(AVERAGE(S9:S29),4)</f>
        <v>1.3209</v>
      </c>
      <c r="T30" s="36">
        <f>ROUND(AVERAGE(T9:T29),4)</f>
        <v>1.1839999999999999</v>
      </c>
      <c r="U30" s="175">
        <f>ROUND(AVERAGE(U9:U29),2)</f>
        <v>104.43</v>
      </c>
      <c r="V30" s="35">
        <f>AVERAGE(V9:V29)</f>
        <v>1462.5433333333333</v>
      </c>
      <c r="W30" s="35">
        <f>AVERAGE(W9:W29)</f>
        <v>1471.5871428571427</v>
      </c>
      <c r="X30" s="35">
        <f>AVERAGE(X9:X29)</f>
        <v>1631.7791351232697</v>
      </c>
      <c r="Y30" s="34">
        <f>AVERAGE(Y9:Y29)</f>
        <v>1.3218952380952382</v>
      </c>
    </row>
    <row r="31" spans="2:25" s="5" customFormat="1" x14ac:dyDescent="0.2">
      <c r="B31" s="33" t="s">
        <v>12</v>
      </c>
      <c r="C31" s="32">
        <f t="shared" ref="C31:Y31" si="6">MAX(C9:C29)</f>
        <v>2014.5</v>
      </c>
      <c r="D31" s="31">
        <f t="shared" si="6"/>
        <v>2014.5</v>
      </c>
      <c r="E31" s="30">
        <f t="shared" si="6"/>
        <v>2014.5</v>
      </c>
      <c r="F31" s="32">
        <f t="shared" si="6"/>
        <v>2022.5</v>
      </c>
      <c r="G31" s="31">
        <f t="shared" si="6"/>
        <v>2022.5</v>
      </c>
      <c r="H31" s="30">
        <f t="shared" si="6"/>
        <v>2022.5</v>
      </c>
      <c r="I31" s="32">
        <f t="shared" si="6"/>
        <v>2042.5</v>
      </c>
      <c r="J31" s="31">
        <f t="shared" si="6"/>
        <v>2042.5</v>
      </c>
      <c r="K31" s="30">
        <f t="shared" si="6"/>
        <v>2042.5</v>
      </c>
      <c r="L31" s="32">
        <f t="shared" si="6"/>
        <v>2081.5</v>
      </c>
      <c r="M31" s="31">
        <f t="shared" si="6"/>
        <v>2081.5</v>
      </c>
      <c r="N31" s="30">
        <f t="shared" si="6"/>
        <v>2081.5</v>
      </c>
      <c r="O31" s="32">
        <f t="shared" si="6"/>
        <v>2125.5</v>
      </c>
      <c r="P31" s="31">
        <f t="shared" si="6"/>
        <v>2125.5</v>
      </c>
      <c r="Q31" s="30">
        <f t="shared" si="6"/>
        <v>2125.5</v>
      </c>
      <c r="R31" s="29">
        <f t="shared" si="6"/>
        <v>2014.5</v>
      </c>
      <c r="S31" s="28">
        <f t="shared" si="6"/>
        <v>1.3392999999999999</v>
      </c>
      <c r="T31" s="27">
        <f t="shared" si="6"/>
        <v>1.1976</v>
      </c>
      <c r="U31" s="26">
        <f t="shared" si="6"/>
        <v>105.5</v>
      </c>
      <c r="V31" s="25">
        <f t="shared" si="6"/>
        <v>1511.59</v>
      </c>
      <c r="W31" s="25">
        <f t="shared" si="6"/>
        <v>1516.23</v>
      </c>
      <c r="X31" s="25">
        <f t="shared" si="6"/>
        <v>1682.1142284569139</v>
      </c>
      <c r="Y31" s="24">
        <f t="shared" si="6"/>
        <v>1.3403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1834.5</v>
      </c>
      <c r="D32" s="21">
        <f t="shared" si="7"/>
        <v>1834.5</v>
      </c>
      <c r="E32" s="20">
        <f t="shared" si="7"/>
        <v>1834.5</v>
      </c>
      <c r="F32" s="22">
        <f t="shared" si="7"/>
        <v>1839.5</v>
      </c>
      <c r="G32" s="21">
        <f t="shared" si="7"/>
        <v>1839.5</v>
      </c>
      <c r="H32" s="20">
        <f t="shared" si="7"/>
        <v>1839.5</v>
      </c>
      <c r="I32" s="22">
        <f t="shared" si="7"/>
        <v>1882</v>
      </c>
      <c r="J32" s="21">
        <f t="shared" si="7"/>
        <v>1882</v>
      </c>
      <c r="K32" s="20">
        <f t="shared" si="7"/>
        <v>1882</v>
      </c>
      <c r="L32" s="22">
        <f t="shared" si="7"/>
        <v>1939</v>
      </c>
      <c r="M32" s="21">
        <f t="shared" si="7"/>
        <v>1939</v>
      </c>
      <c r="N32" s="20">
        <f t="shared" si="7"/>
        <v>1939</v>
      </c>
      <c r="O32" s="22">
        <f t="shared" si="7"/>
        <v>2006.5</v>
      </c>
      <c r="P32" s="21">
        <f t="shared" si="7"/>
        <v>2006.5</v>
      </c>
      <c r="Q32" s="20">
        <f t="shared" si="7"/>
        <v>2006.5</v>
      </c>
      <c r="R32" s="19">
        <f t="shared" si="7"/>
        <v>1834.5</v>
      </c>
      <c r="S32" s="18">
        <f t="shared" si="7"/>
        <v>1.2926</v>
      </c>
      <c r="T32" s="17">
        <f t="shared" si="7"/>
        <v>1.1646000000000001</v>
      </c>
      <c r="U32" s="16">
        <f t="shared" si="7"/>
        <v>103.35</v>
      </c>
      <c r="V32" s="15">
        <f t="shared" si="7"/>
        <v>1418.76</v>
      </c>
      <c r="W32" s="15">
        <f t="shared" si="7"/>
        <v>1422.11</v>
      </c>
      <c r="X32" s="15">
        <f t="shared" si="7"/>
        <v>1575.2189592993302</v>
      </c>
      <c r="Y32" s="14">
        <f t="shared" si="7"/>
        <v>1.2935000000000001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44137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44137</v>
      </c>
      <c r="C9" s="46">
        <v>2526</v>
      </c>
      <c r="D9" s="45">
        <v>2526</v>
      </c>
      <c r="E9" s="44">
        <f t="shared" ref="E9:E29" si="0">AVERAGE(C9:D9)</f>
        <v>2526</v>
      </c>
      <c r="F9" s="46">
        <v>2536.5</v>
      </c>
      <c r="G9" s="45">
        <v>2536.5</v>
      </c>
      <c r="H9" s="44">
        <f t="shared" ref="H9:H29" si="1">AVERAGE(F9:G9)</f>
        <v>2536.5</v>
      </c>
      <c r="I9" s="46">
        <v>2567</v>
      </c>
      <c r="J9" s="45">
        <v>2567</v>
      </c>
      <c r="K9" s="44">
        <f t="shared" ref="K9:K29" si="2">AVERAGE(I9:J9)</f>
        <v>2567</v>
      </c>
      <c r="L9" s="46">
        <v>2580.5</v>
      </c>
      <c r="M9" s="45">
        <v>2580.5</v>
      </c>
      <c r="N9" s="44">
        <f t="shared" ref="N9:N29" si="3">AVERAGE(L9:M9)</f>
        <v>2580.5</v>
      </c>
      <c r="O9" s="46">
        <v>2578.5</v>
      </c>
      <c r="P9" s="45">
        <v>2578.5</v>
      </c>
      <c r="Q9" s="44">
        <f t="shared" ref="Q9:Q29" si="4">AVERAGE(O9:P9)</f>
        <v>2578.5</v>
      </c>
      <c r="R9" s="52">
        <v>2526</v>
      </c>
      <c r="S9" s="51">
        <v>1.2926</v>
      </c>
      <c r="T9" s="53">
        <v>1.1646000000000001</v>
      </c>
      <c r="U9" s="50">
        <v>104.67</v>
      </c>
      <c r="V9" s="43">
        <v>1954.2</v>
      </c>
      <c r="W9" s="43">
        <v>1960.96</v>
      </c>
      <c r="X9" s="49">
        <f t="shared" ref="X9:X29" si="5">R9/T9</f>
        <v>2168.9850592478101</v>
      </c>
      <c r="Y9" s="48">
        <v>1.2935000000000001</v>
      </c>
    </row>
    <row r="10" spans="1:25" x14ac:dyDescent="0.2">
      <c r="B10" s="47">
        <v>44138</v>
      </c>
      <c r="C10" s="46">
        <v>2554.5</v>
      </c>
      <c r="D10" s="45">
        <v>2554.5</v>
      </c>
      <c r="E10" s="44">
        <f t="shared" si="0"/>
        <v>2554.5</v>
      </c>
      <c r="F10" s="46">
        <v>2569.5</v>
      </c>
      <c r="G10" s="45">
        <v>2569.5</v>
      </c>
      <c r="H10" s="44">
        <f t="shared" si="1"/>
        <v>2569.5</v>
      </c>
      <c r="I10" s="46">
        <v>2595</v>
      </c>
      <c r="J10" s="45">
        <v>2595</v>
      </c>
      <c r="K10" s="44">
        <f t="shared" si="2"/>
        <v>2595</v>
      </c>
      <c r="L10" s="46">
        <v>2607</v>
      </c>
      <c r="M10" s="45">
        <v>2607</v>
      </c>
      <c r="N10" s="44">
        <f t="shared" si="3"/>
        <v>2607</v>
      </c>
      <c r="O10" s="46">
        <v>2605</v>
      </c>
      <c r="P10" s="45">
        <v>2605</v>
      </c>
      <c r="Q10" s="44">
        <f t="shared" si="4"/>
        <v>2605</v>
      </c>
      <c r="R10" s="52">
        <v>2554.5</v>
      </c>
      <c r="S10" s="51">
        <v>1.2987</v>
      </c>
      <c r="T10" s="51">
        <v>1.1698999999999999</v>
      </c>
      <c r="U10" s="50">
        <v>104.69</v>
      </c>
      <c r="V10" s="43">
        <v>1966.97</v>
      </c>
      <c r="W10" s="43">
        <v>1977.15</v>
      </c>
      <c r="X10" s="49">
        <f t="shared" si="5"/>
        <v>2183.5199589708523</v>
      </c>
      <c r="Y10" s="48">
        <v>1.2996000000000001</v>
      </c>
    </row>
    <row r="11" spans="1:25" x14ac:dyDescent="0.2">
      <c r="B11" s="47">
        <v>44139</v>
      </c>
      <c r="C11" s="46">
        <v>2547.5</v>
      </c>
      <c r="D11" s="45">
        <v>2547.5</v>
      </c>
      <c r="E11" s="44">
        <f t="shared" si="0"/>
        <v>2547.5</v>
      </c>
      <c r="F11" s="46">
        <v>2557</v>
      </c>
      <c r="G11" s="45">
        <v>2557</v>
      </c>
      <c r="H11" s="44">
        <f t="shared" si="1"/>
        <v>2557</v>
      </c>
      <c r="I11" s="46">
        <v>2580.5</v>
      </c>
      <c r="J11" s="45">
        <v>2580.5</v>
      </c>
      <c r="K11" s="44">
        <f t="shared" si="2"/>
        <v>2580.5</v>
      </c>
      <c r="L11" s="46">
        <v>2593.5</v>
      </c>
      <c r="M11" s="45">
        <v>2593.5</v>
      </c>
      <c r="N11" s="44">
        <f t="shared" si="3"/>
        <v>2593.5</v>
      </c>
      <c r="O11" s="46">
        <v>2591.5</v>
      </c>
      <c r="P11" s="45">
        <v>2591.5</v>
      </c>
      <c r="Q11" s="44">
        <f t="shared" si="4"/>
        <v>2591.5</v>
      </c>
      <c r="R11" s="52">
        <v>2547.5</v>
      </c>
      <c r="S11" s="51">
        <v>1.3041</v>
      </c>
      <c r="T11" s="51">
        <v>1.1718999999999999</v>
      </c>
      <c r="U11" s="50">
        <v>104.38</v>
      </c>
      <c r="V11" s="43">
        <v>1953.45</v>
      </c>
      <c r="W11" s="43">
        <v>1959.39</v>
      </c>
      <c r="X11" s="49">
        <f t="shared" si="5"/>
        <v>2173.8202918337743</v>
      </c>
      <c r="Y11" s="48">
        <v>1.3049999999999999</v>
      </c>
    </row>
    <row r="12" spans="1:25" x14ac:dyDescent="0.2">
      <c r="B12" s="47">
        <v>44140</v>
      </c>
      <c r="C12" s="46">
        <v>2593.5</v>
      </c>
      <c r="D12" s="45">
        <v>2593.5</v>
      </c>
      <c r="E12" s="44">
        <f t="shared" si="0"/>
        <v>2593.5</v>
      </c>
      <c r="F12" s="46">
        <v>2604.5</v>
      </c>
      <c r="G12" s="45">
        <v>2604.5</v>
      </c>
      <c r="H12" s="44">
        <f t="shared" si="1"/>
        <v>2604.5</v>
      </c>
      <c r="I12" s="46">
        <v>2631.5</v>
      </c>
      <c r="J12" s="45">
        <v>2631.5</v>
      </c>
      <c r="K12" s="44">
        <f t="shared" si="2"/>
        <v>2631.5</v>
      </c>
      <c r="L12" s="46">
        <v>2643.5</v>
      </c>
      <c r="M12" s="45">
        <v>2643.5</v>
      </c>
      <c r="N12" s="44">
        <f t="shared" si="3"/>
        <v>2643.5</v>
      </c>
      <c r="O12" s="46">
        <v>2641.5</v>
      </c>
      <c r="P12" s="45">
        <v>2641.5</v>
      </c>
      <c r="Q12" s="44">
        <f t="shared" si="4"/>
        <v>2641.5</v>
      </c>
      <c r="R12" s="52">
        <v>2593.5</v>
      </c>
      <c r="S12" s="51">
        <v>1.3084</v>
      </c>
      <c r="T12" s="51">
        <v>1.1845000000000001</v>
      </c>
      <c r="U12" s="50">
        <v>103.81</v>
      </c>
      <c r="V12" s="43">
        <v>1982.19</v>
      </c>
      <c r="W12" s="43">
        <v>1989.38</v>
      </c>
      <c r="X12" s="49">
        <f t="shared" si="5"/>
        <v>2189.5314478682985</v>
      </c>
      <c r="Y12" s="48">
        <v>1.3091999999999999</v>
      </c>
    </row>
    <row r="13" spans="1:25" x14ac:dyDescent="0.2">
      <c r="B13" s="47">
        <v>44141</v>
      </c>
      <c r="C13" s="46">
        <v>2614.5</v>
      </c>
      <c r="D13" s="45">
        <v>2614.5</v>
      </c>
      <c r="E13" s="44">
        <f t="shared" si="0"/>
        <v>2614.5</v>
      </c>
      <c r="F13" s="46">
        <v>2624</v>
      </c>
      <c r="G13" s="45">
        <v>2624</v>
      </c>
      <c r="H13" s="44">
        <f t="shared" si="1"/>
        <v>2624</v>
      </c>
      <c r="I13" s="46">
        <v>2646</v>
      </c>
      <c r="J13" s="45">
        <v>2646</v>
      </c>
      <c r="K13" s="44">
        <f t="shared" si="2"/>
        <v>2646</v>
      </c>
      <c r="L13" s="46">
        <v>2654.5</v>
      </c>
      <c r="M13" s="45">
        <v>2654.5</v>
      </c>
      <c r="N13" s="44">
        <f t="shared" si="3"/>
        <v>2654.5</v>
      </c>
      <c r="O13" s="46">
        <v>2640.5</v>
      </c>
      <c r="P13" s="45">
        <v>2640.5</v>
      </c>
      <c r="Q13" s="44">
        <f t="shared" si="4"/>
        <v>2640.5</v>
      </c>
      <c r="R13" s="52">
        <v>2614.5</v>
      </c>
      <c r="S13" s="51">
        <v>1.3120000000000001</v>
      </c>
      <c r="T13" s="51">
        <v>1.1875</v>
      </c>
      <c r="U13" s="50">
        <v>103.35</v>
      </c>
      <c r="V13" s="43">
        <v>1992.76</v>
      </c>
      <c r="W13" s="43">
        <v>1998.78</v>
      </c>
      <c r="X13" s="49">
        <f t="shared" si="5"/>
        <v>2201.6842105263158</v>
      </c>
      <c r="Y13" s="48">
        <v>1.3128</v>
      </c>
    </row>
    <row r="14" spans="1:25" x14ac:dyDescent="0.2">
      <c r="B14" s="47">
        <v>44144</v>
      </c>
      <c r="C14" s="46">
        <v>2664.5</v>
      </c>
      <c r="D14" s="45">
        <v>2664.5</v>
      </c>
      <c r="E14" s="44">
        <f t="shared" si="0"/>
        <v>2664.5</v>
      </c>
      <c r="F14" s="46">
        <v>2677</v>
      </c>
      <c r="G14" s="45">
        <v>2677</v>
      </c>
      <c r="H14" s="44">
        <f t="shared" si="1"/>
        <v>2677</v>
      </c>
      <c r="I14" s="46">
        <v>2699</v>
      </c>
      <c r="J14" s="45">
        <v>2699</v>
      </c>
      <c r="K14" s="44">
        <f t="shared" si="2"/>
        <v>2699</v>
      </c>
      <c r="L14" s="46">
        <v>2703</v>
      </c>
      <c r="M14" s="45">
        <v>2703</v>
      </c>
      <c r="N14" s="44">
        <f t="shared" si="3"/>
        <v>2703</v>
      </c>
      <c r="O14" s="46">
        <v>2693</v>
      </c>
      <c r="P14" s="45">
        <v>2693</v>
      </c>
      <c r="Q14" s="44">
        <f t="shared" si="4"/>
        <v>2693</v>
      </c>
      <c r="R14" s="52">
        <v>2664.5</v>
      </c>
      <c r="S14" s="51">
        <v>1.3169999999999999</v>
      </c>
      <c r="T14" s="51">
        <v>1.1894</v>
      </c>
      <c r="U14" s="50">
        <v>104.97</v>
      </c>
      <c r="V14" s="43">
        <v>2023.16</v>
      </c>
      <c r="W14" s="43">
        <v>2031.42</v>
      </c>
      <c r="X14" s="49">
        <f t="shared" si="5"/>
        <v>2240.2051454514881</v>
      </c>
      <c r="Y14" s="48">
        <v>1.3178000000000001</v>
      </c>
    </row>
    <row r="15" spans="1:25" x14ac:dyDescent="0.2">
      <c r="B15" s="47">
        <v>44145</v>
      </c>
      <c r="C15" s="46">
        <v>2617.5</v>
      </c>
      <c r="D15" s="45">
        <v>2617.5</v>
      </c>
      <c r="E15" s="44">
        <f t="shared" si="0"/>
        <v>2617.5</v>
      </c>
      <c r="F15" s="46">
        <v>2634.5</v>
      </c>
      <c r="G15" s="45">
        <v>2634.5</v>
      </c>
      <c r="H15" s="44">
        <f t="shared" si="1"/>
        <v>2634.5</v>
      </c>
      <c r="I15" s="46">
        <v>2658</v>
      </c>
      <c r="J15" s="45">
        <v>2658</v>
      </c>
      <c r="K15" s="44">
        <f t="shared" si="2"/>
        <v>2658</v>
      </c>
      <c r="L15" s="46">
        <v>2660</v>
      </c>
      <c r="M15" s="45">
        <v>2660</v>
      </c>
      <c r="N15" s="44">
        <f t="shared" si="3"/>
        <v>2660</v>
      </c>
      <c r="O15" s="46">
        <v>2649</v>
      </c>
      <c r="P15" s="45">
        <v>2649</v>
      </c>
      <c r="Q15" s="44">
        <f t="shared" si="4"/>
        <v>2649</v>
      </c>
      <c r="R15" s="52">
        <v>2617.5</v>
      </c>
      <c r="S15" s="51">
        <v>1.3250999999999999</v>
      </c>
      <c r="T15" s="51">
        <v>1.181</v>
      </c>
      <c r="U15" s="50">
        <v>105.29</v>
      </c>
      <c r="V15" s="43">
        <v>1975.32</v>
      </c>
      <c r="W15" s="43">
        <v>1986.8</v>
      </c>
      <c r="X15" s="49">
        <f t="shared" si="5"/>
        <v>2216.342082980525</v>
      </c>
      <c r="Y15" s="48">
        <v>1.3260000000000001</v>
      </c>
    </row>
    <row r="16" spans="1:25" x14ac:dyDescent="0.2">
      <c r="B16" s="47">
        <v>44146</v>
      </c>
      <c r="C16" s="46">
        <v>2630.5</v>
      </c>
      <c r="D16" s="45">
        <v>2630.5</v>
      </c>
      <c r="E16" s="44">
        <f t="shared" si="0"/>
        <v>2630.5</v>
      </c>
      <c r="F16" s="46">
        <v>2647.5</v>
      </c>
      <c r="G16" s="45">
        <v>2647.5</v>
      </c>
      <c r="H16" s="44">
        <f t="shared" si="1"/>
        <v>2647.5</v>
      </c>
      <c r="I16" s="46">
        <v>2674.5</v>
      </c>
      <c r="J16" s="45">
        <v>2674.5</v>
      </c>
      <c r="K16" s="44">
        <f t="shared" si="2"/>
        <v>2674.5</v>
      </c>
      <c r="L16" s="46">
        <v>2679.5</v>
      </c>
      <c r="M16" s="45">
        <v>2679.5</v>
      </c>
      <c r="N16" s="44">
        <f t="shared" si="3"/>
        <v>2679.5</v>
      </c>
      <c r="O16" s="46">
        <v>2668.5</v>
      </c>
      <c r="P16" s="45">
        <v>2668.5</v>
      </c>
      <c r="Q16" s="44">
        <f t="shared" si="4"/>
        <v>2668.5</v>
      </c>
      <c r="R16" s="52">
        <v>2630.5</v>
      </c>
      <c r="S16" s="51">
        <v>1.3227</v>
      </c>
      <c r="T16" s="51">
        <v>1.1774</v>
      </c>
      <c r="U16" s="50">
        <v>105.5</v>
      </c>
      <c r="V16" s="43">
        <v>1988.74</v>
      </c>
      <c r="W16" s="43">
        <v>2000.23</v>
      </c>
      <c r="X16" s="49">
        <f t="shared" si="5"/>
        <v>2234.1600135892645</v>
      </c>
      <c r="Y16" s="48">
        <v>1.3236000000000001</v>
      </c>
    </row>
    <row r="17" spans="2:25" x14ac:dyDescent="0.2">
      <c r="B17" s="47">
        <v>44147</v>
      </c>
      <c r="C17" s="46">
        <v>2593</v>
      </c>
      <c r="D17" s="45">
        <v>2593</v>
      </c>
      <c r="E17" s="44">
        <f t="shared" si="0"/>
        <v>2593</v>
      </c>
      <c r="F17" s="46">
        <v>2608.5</v>
      </c>
      <c r="G17" s="45">
        <v>2608.5</v>
      </c>
      <c r="H17" s="44">
        <f t="shared" si="1"/>
        <v>2608.5</v>
      </c>
      <c r="I17" s="46">
        <v>2638</v>
      </c>
      <c r="J17" s="45">
        <v>2638</v>
      </c>
      <c r="K17" s="44">
        <f t="shared" si="2"/>
        <v>2638</v>
      </c>
      <c r="L17" s="46">
        <v>2644.5</v>
      </c>
      <c r="M17" s="45">
        <v>2644.5</v>
      </c>
      <c r="N17" s="44">
        <f t="shared" si="3"/>
        <v>2644.5</v>
      </c>
      <c r="O17" s="46">
        <v>2633.5</v>
      </c>
      <c r="P17" s="45">
        <v>2633.5</v>
      </c>
      <c r="Q17" s="44">
        <f t="shared" si="4"/>
        <v>2633.5</v>
      </c>
      <c r="R17" s="52">
        <v>2593</v>
      </c>
      <c r="S17" s="51">
        <v>1.3142</v>
      </c>
      <c r="T17" s="51">
        <v>1.1798</v>
      </c>
      <c r="U17" s="50">
        <v>105.34</v>
      </c>
      <c r="V17" s="43">
        <v>1973.06</v>
      </c>
      <c r="W17" s="43">
        <v>1983.5</v>
      </c>
      <c r="X17" s="49">
        <f t="shared" si="5"/>
        <v>2197.8301407018139</v>
      </c>
      <c r="Y17" s="48">
        <v>1.3150999999999999</v>
      </c>
    </row>
    <row r="18" spans="2:25" x14ac:dyDescent="0.2">
      <c r="B18" s="47">
        <v>44148</v>
      </c>
      <c r="C18" s="46">
        <v>2612.5</v>
      </c>
      <c r="D18" s="45">
        <v>2612.5</v>
      </c>
      <c r="E18" s="44">
        <f t="shared" si="0"/>
        <v>2612.5</v>
      </c>
      <c r="F18" s="46">
        <v>2626</v>
      </c>
      <c r="G18" s="45">
        <v>2626</v>
      </c>
      <c r="H18" s="44">
        <f t="shared" si="1"/>
        <v>2626</v>
      </c>
      <c r="I18" s="46">
        <v>2656</v>
      </c>
      <c r="J18" s="45">
        <v>2656</v>
      </c>
      <c r="K18" s="44">
        <f t="shared" si="2"/>
        <v>2656</v>
      </c>
      <c r="L18" s="46">
        <v>2659.5</v>
      </c>
      <c r="M18" s="45">
        <v>2659.5</v>
      </c>
      <c r="N18" s="44">
        <f t="shared" si="3"/>
        <v>2659.5</v>
      </c>
      <c r="O18" s="46">
        <v>2648.5</v>
      </c>
      <c r="P18" s="45">
        <v>2648.5</v>
      </c>
      <c r="Q18" s="44">
        <f t="shared" si="4"/>
        <v>2648.5</v>
      </c>
      <c r="R18" s="52">
        <v>2612.5</v>
      </c>
      <c r="S18" s="51">
        <v>1.3165</v>
      </c>
      <c r="T18" s="51">
        <v>1.1816</v>
      </c>
      <c r="U18" s="50">
        <v>104.88</v>
      </c>
      <c r="V18" s="43">
        <v>1984.43</v>
      </c>
      <c r="W18" s="43">
        <v>1993.17</v>
      </c>
      <c r="X18" s="49">
        <f t="shared" si="5"/>
        <v>2210.985104942451</v>
      </c>
      <c r="Y18" s="48">
        <v>1.3174999999999999</v>
      </c>
    </row>
    <row r="19" spans="2:25" x14ac:dyDescent="0.2">
      <c r="B19" s="47">
        <v>44151</v>
      </c>
      <c r="C19" s="46">
        <v>2653</v>
      </c>
      <c r="D19" s="45">
        <v>2653</v>
      </c>
      <c r="E19" s="44">
        <f t="shared" si="0"/>
        <v>2653</v>
      </c>
      <c r="F19" s="46">
        <v>2669.5</v>
      </c>
      <c r="G19" s="45">
        <v>2669.5</v>
      </c>
      <c r="H19" s="44">
        <f t="shared" si="1"/>
        <v>2669.5</v>
      </c>
      <c r="I19" s="46">
        <v>2694</v>
      </c>
      <c r="J19" s="45">
        <v>2694</v>
      </c>
      <c r="K19" s="44">
        <f t="shared" si="2"/>
        <v>2694</v>
      </c>
      <c r="L19" s="46">
        <v>2697.5</v>
      </c>
      <c r="M19" s="45">
        <v>2697.5</v>
      </c>
      <c r="N19" s="44">
        <f t="shared" si="3"/>
        <v>2697.5</v>
      </c>
      <c r="O19" s="46">
        <v>2682.5</v>
      </c>
      <c r="P19" s="45">
        <v>2682.5</v>
      </c>
      <c r="Q19" s="44">
        <f t="shared" si="4"/>
        <v>2682.5</v>
      </c>
      <c r="R19" s="52">
        <v>2653</v>
      </c>
      <c r="S19" s="51">
        <v>1.3169999999999999</v>
      </c>
      <c r="T19" s="51">
        <v>1.1834</v>
      </c>
      <c r="U19" s="50">
        <v>104.91</v>
      </c>
      <c r="V19" s="43">
        <v>2014.43</v>
      </c>
      <c r="W19" s="43">
        <v>2025.42</v>
      </c>
      <c r="X19" s="49">
        <f t="shared" si="5"/>
        <v>2241.8455298293052</v>
      </c>
      <c r="Y19" s="48">
        <v>1.3180000000000001</v>
      </c>
    </row>
    <row r="20" spans="2:25" x14ac:dyDescent="0.2">
      <c r="B20" s="47">
        <v>44152</v>
      </c>
      <c r="C20" s="46">
        <v>2663.5</v>
      </c>
      <c r="D20" s="45">
        <v>2663.5</v>
      </c>
      <c r="E20" s="44">
        <f t="shared" si="0"/>
        <v>2663.5</v>
      </c>
      <c r="F20" s="46">
        <v>2674.5</v>
      </c>
      <c r="G20" s="45">
        <v>2674.5</v>
      </c>
      <c r="H20" s="44">
        <f t="shared" si="1"/>
        <v>2674.5</v>
      </c>
      <c r="I20" s="46">
        <v>2699.5</v>
      </c>
      <c r="J20" s="45">
        <v>2699.5</v>
      </c>
      <c r="K20" s="44">
        <f t="shared" si="2"/>
        <v>2699.5</v>
      </c>
      <c r="L20" s="46">
        <v>2701.5</v>
      </c>
      <c r="M20" s="45">
        <v>2701.5</v>
      </c>
      <c r="N20" s="44">
        <f t="shared" si="3"/>
        <v>2701.5</v>
      </c>
      <c r="O20" s="46">
        <v>2686.5</v>
      </c>
      <c r="P20" s="45">
        <v>2686.5</v>
      </c>
      <c r="Q20" s="44">
        <f t="shared" si="4"/>
        <v>2686.5</v>
      </c>
      <c r="R20" s="52">
        <v>2663.5</v>
      </c>
      <c r="S20" s="51">
        <v>1.3259000000000001</v>
      </c>
      <c r="T20" s="51">
        <v>1.1880999999999999</v>
      </c>
      <c r="U20" s="50">
        <v>104.24</v>
      </c>
      <c r="V20" s="43">
        <v>2008.82</v>
      </c>
      <c r="W20" s="43">
        <v>2015.6</v>
      </c>
      <c r="X20" s="49">
        <f t="shared" si="5"/>
        <v>2241.8146620654829</v>
      </c>
      <c r="Y20" s="48">
        <v>1.3269</v>
      </c>
    </row>
    <row r="21" spans="2:25" x14ac:dyDescent="0.2">
      <c r="B21" s="47">
        <v>44153</v>
      </c>
      <c r="C21" s="46">
        <v>2732.5</v>
      </c>
      <c r="D21" s="45">
        <v>2732.5</v>
      </c>
      <c r="E21" s="44">
        <f t="shared" si="0"/>
        <v>2732.5</v>
      </c>
      <c r="F21" s="46">
        <v>2740.5</v>
      </c>
      <c r="G21" s="45">
        <v>2740.5</v>
      </c>
      <c r="H21" s="44">
        <f t="shared" si="1"/>
        <v>2740.5</v>
      </c>
      <c r="I21" s="46">
        <v>2761</v>
      </c>
      <c r="J21" s="45">
        <v>2761</v>
      </c>
      <c r="K21" s="44">
        <f t="shared" si="2"/>
        <v>2761</v>
      </c>
      <c r="L21" s="46">
        <v>2756</v>
      </c>
      <c r="M21" s="45">
        <v>2756</v>
      </c>
      <c r="N21" s="44">
        <f t="shared" si="3"/>
        <v>2756</v>
      </c>
      <c r="O21" s="46">
        <v>2738.5</v>
      </c>
      <c r="P21" s="45">
        <v>2738.5</v>
      </c>
      <c r="Q21" s="44">
        <f t="shared" si="4"/>
        <v>2738.5</v>
      </c>
      <c r="R21" s="52">
        <v>2732.5</v>
      </c>
      <c r="S21" s="51">
        <v>1.3277000000000001</v>
      </c>
      <c r="T21" s="51">
        <v>1.1869000000000001</v>
      </c>
      <c r="U21" s="50">
        <v>103.92</v>
      </c>
      <c r="V21" s="43">
        <v>2058.0700000000002</v>
      </c>
      <c r="W21" s="43">
        <v>2062.54</v>
      </c>
      <c r="X21" s="49">
        <f t="shared" si="5"/>
        <v>2302.2158564327237</v>
      </c>
      <c r="Y21" s="48">
        <v>1.3287</v>
      </c>
    </row>
    <row r="22" spans="2:25" x14ac:dyDescent="0.2">
      <c r="B22" s="47">
        <v>44154</v>
      </c>
      <c r="C22" s="46">
        <v>2721</v>
      </c>
      <c r="D22" s="45">
        <v>2721</v>
      </c>
      <c r="E22" s="44">
        <f t="shared" si="0"/>
        <v>2721</v>
      </c>
      <c r="F22" s="46">
        <v>2726.5</v>
      </c>
      <c r="G22" s="45">
        <v>2726.5</v>
      </c>
      <c r="H22" s="44">
        <f t="shared" si="1"/>
        <v>2726.5</v>
      </c>
      <c r="I22" s="46">
        <v>2745</v>
      </c>
      <c r="J22" s="45">
        <v>2745</v>
      </c>
      <c r="K22" s="44">
        <f t="shared" si="2"/>
        <v>2745</v>
      </c>
      <c r="L22" s="46">
        <v>2739.5</v>
      </c>
      <c r="M22" s="45">
        <v>2739.5</v>
      </c>
      <c r="N22" s="44">
        <f t="shared" si="3"/>
        <v>2739.5</v>
      </c>
      <c r="O22" s="46">
        <v>2723.5</v>
      </c>
      <c r="P22" s="45">
        <v>2723.5</v>
      </c>
      <c r="Q22" s="44">
        <f t="shared" si="4"/>
        <v>2723.5</v>
      </c>
      <c r="R22" s="52">
        <v>2721</v>
      </c>
      <c r="S22" s="51">
        <v>1.3232999999999999</v>
      </c>
      <c r="T22" s="51">
        <v>1.1836</v>
      </c>
      <c r="U22" s="50">
        <v>104.04</v>
      </c>
      <c r="V22" s="43">
        <v>2056.2199999999998</v>
      </c>
      <c r="W22" s="43">
        <v>2058.8200000000002</v>
      </c>
      <c r="X22" s="49">
        <f t="shared" si="5"/>
        <v>2298.9185535653937</v>
      </c>
      <c r="Y22" s="48">
        <v>1.3243</v>
      </c>
    </row>
    <row r="23" spans="2:25" x14ac:dyDescent="0.2">
      <c r="B23" s="47">
        <v>44155</v>
      </c>
      <c r="C23" s="46">
        <v>2787</v>
      </c>
      <c r="D23" s="45">
        <v>2787</v>
      </c>
      <c r="E23" s="44">
        <f t="shared" si="0"/>
        <v>2787</v>
      </c>
      <c r="F23" s="46">
        <v>2789</v>
      </c>
      <c r="G23" s="45">
        <v>2789</v>
      </c>
      <c r="H23" s="44">
        <f t="shared" si="1"/>
        <v>2789</v>
      </c>
      <c r="I23" s="46">
        <v>2802.5</v>
      </c>
      <c r="J23" s="45">
        <v>2802.5</v>
      </c>
      <c r="K23" s="44">
        <f t="shared" si="2"/>
        <v>2802.5</v>
      </c>
      <c r="L23" s="46">
        <v>2792.5</v>
      </c>
      <c r="M23" s="45">
        <v>2792.5</v>
      </c>
      <c r="N23" s="44">
        <f t="shared" si="3"/>
        <v>2792.5</v>
      </c>
      <c r="O23" s="46">
        <v>2776.5</v>
      </c>
      <c r="P23" s="45">
        <v>2776.5</v>
      </c>
      <c r="Q23" s="44">
        <f t="shared" si="4"/>
        <v>2776.5</v>
      </c>
      <c r="R23" s="52">
        <v>2787</v>
      </c>
      <c r="S23" s="51">
        <v>1.3274999999999999</v>
      </c>
      <c r="T23" s="51">
        <v>1.1872</v>
      </c>
      <c r="U23" s="50">
        <v>103.8</v>
      </c>
      <c r="V23" s="43">
        <v>2099.44</v>
      </c>
      <c r="W23" s="43">
        <v>2099.36</v>
      </c>
      <c r="X23" s="49">
        <f t="shared" si="5"/>
        <v>2347.5404312668461</v>
      </c>
      <c r="Y23" s="48">
        <v>1.3285</v>
      </c>
    </row>
    <row r="24" spans="2:25" x14ac:dyDescent="0.2">
      <c r="B24" s="47">
        <v>44158</v>
      </c>
      <c r="C24" s="46">
        <v>2756</v>
      </c>
      <c r="D24" s="45">
        <v>2756</v>
      </c>
      <c r="E24" s="44">
        <f t="shared" si="0"/>
        <v>2756</v>
      </c>
      <c r="F24" s="46">
        <v>2768</v>
      </c>
      <c r="G24" s="45">
        <v>2768</v>
      </c>
      <c r="H24" s="44">
        <f t="shared" si="1"/>
        <v>2768</v>
      </c>
      <c r="I24" s="46">
        <v>2780</v>
      </c>
      <c r="J24" s="45">
        <v>2780</v>
      </c>
      <c r="K24" s="44">
        <f t="shared" si="2"/>
        <v>2780</v>
      </c>
      <c r="L24" s="46">
        <v>2770</v>
      </c>
      <c r="M24" s="45">
        <v>2770</v>
      </c>
      <c r="N24" s="44">
        <f t="shared" si="3"/>
        <v>2770</v>
      </c>
      <c r="O24" s="46">
        <v>2754</v>
      </c>
      <c r="P24" s="45">
        <v>2754</v>
      </c>
      <c r="Q24" s="44">
        <f t="shared" si="4"/>
        <v>2754</v>
      </c>
      <c r="R24" s="52">
        <v>2756</v>
      </c>
      <c r="S24" s="51">
        <v>1.3392999999999999</v>
      </c>
      <c r="T24" s="51">
        <v>1.1902999999999999</v>
      </c>
      <c r="U24" s="50">
        <v>103.73</v>
      </c>
      <c r="V24" s="43">
        <v>2057.79</v>
      </c>
      <c r="W24" s="43">
        <v>2065.21</v>
      </c>
      <c r="X24" s="49">
        <f t="shared" si="5"/>
        <v>2315.3826766361422</v>
      </c>
      <c r="Y24" s="48">
        <v>1.3403</v>
      </c>
    </row>
    <row r="25" spans="2:25" x14ac:dyDescent="0.2">
      <c r="B25" s="47">
        <v>44159</v>
      </c>
      <c r="C25" s="46">
        <v>2745</v>
      </c>
      <c r="D25" s="45">
        <v>2745</v>
      </c>
      <c r="E25" s="44">
        <f t="shared" si="0"/>
        <v>2745</v>
      </c>
      <c r="F25" s="46">
        <v>2756</v>
      </c>
      <c r="G25" s="45">
        <v>2756</v>
      </c>
      <c r="H25" s="44">
        <f t="shared" si="1"/>
        <v>2756</v>
      </c>
      <c r="I25" s="46">
        <v>2772.5</v>
      </c>
      <c r="J25" s="45">
        <v>2772.5</v>
      </c>
      <c r="K25" s="44">
        <f t="shared" si="2"/>
        <v>2772.5</v>
      </c>
      <c r="L25" s="46">
        <v>2777</v>
      </c>
      <c r="M25" s="45">
        <v>2777</v>
      </c>
      <c r="N25" s="44">
        <f t="shared" si="3"/>
        <v>2777</v>
      </c>
      <c r="O25" s="46">
        <v>2761</v>
      </c>
      <c r="P25" s="45">
        <v>2761</v>
      </c>
      <c r="Q25" s="44">
        <f t="shared" si="4"/>
        <v>2761</v>
      </c>
      <c r="R25" s="52">
        <v>2745</v>
      </c>
      <c r="S25" s="51">
        <v>1.3324</v>
      </c>
      <c r="T25" s="51">
        <v>1.1869000000000001</v>
      </c>
      <c r="U25" s="50">
        <v>104.53</v>
      </c>
      <c r="V25" s="43">
        <v>2060.19</v>
      </c>
      <c r="W25" s="43">
        <v>2066.9</v>
      </c>
      <c r="X25" s="49">
        <f t="shared" si="5"/>
        <v>2312.7474934703851</v>
      </c>
      <c r="Y25" s="48">
        <v>1.3333999999999999</v>
      </c>
    </row>
    <row r="26" spans="2:25" x14ac:dyDescent="0.2">
      <c r="B26" s="47">
        <v>44160</v>
      </c>
      <c r="C26" s="46">
        <v>2727.5</v>
      </c>
      <c r="D26" s="45">
        <v>2727.5</v>
      </c>
      <c r="E26" s="44">
        <f t="shared" si="0"/>
        <v>2727.5</v>
      </c>
      <c r="F26" s="46">
        <v>2744.5</v>
      </c>
      <c r="G26" s="45">
        <v>2744.5</v>
      </c>
      <c r="H26" s="44">
        <f t="shared" si="1"/>
        <v>2744.5</v>
      </c>
      <c r="I26" s="46">
        <v>2767.5</v>
      </c>
      <c r="J26" s="45">
        <v>2767.5</v>
      </c>
      <c r="K26" s="44">
        <f t="shared" si="2"/>
        <v>2767.5</v>
      </c>
      <c r="L26" s="46">
        <v>2770</v>
      </c>
      <c r="M26" s="45">
        <v>2770</v>
      </c>
      <c r="N26" s="44">
        <f t="shared" si="3"/>
        <v>2770</v>
      </c>
      <c r="O26" s="46">
        <v>2754</v>
      </c>
      <c r="P26" s="45">
        <v>2754</v>
      </c>
      <c r="Q26" s="44">
        <f t="shared" si="4"/>
        <v>2754</v>
      </c>
      <c r="R26" s="52">
        <v>2727.5</v>
      </c>
      <c r="S26" s="51">
        <v>1.3349</v>
      </c>
      <c r="T26" s="51">
        <v>1.1895</v>
      </c>
      <c r="U26" s="50">
        <v>104.41</v>
      </c>
      <c r="V26" s="43">
        <v>2043.22</v>
      </c>
      <c r="W26" s="43">
        <v>2054.42</v>
      </c>
      <c r="X26" s="49">
        <f t="shared" si="5"/>
        <v>2292.980243799916</v>
      </c>
      <c r="Y26" s="48">
        <v>1.3359000000000001</v>
      </c>
    </row>
    <row r="27" spans="2:25" x14ac:dyDescent="0.2">
      <c r="B27" s="47">
        <v>44161</v>
      </c>
      <c r="C27" s="46">
        <v>2754.5</v>
      </c>
      <c r="D27" s="45">
        <v>2754.5</v>
      </c>
      <c r="E27" s="44">
        <f t="shared" si="0"/>
        <v>2754.5</v>
      </c>
      <c r="F27" s="46">
        <v>2771</v>
      </c>
      <c r="G27" s="45">
        <v>2771</v>
      </c>
      <c r="H27" s="44">
        <f t="shared" si="1"/>
        <v>2771</v>
      </c>
      <c r="I27" s="46">
        <v>2794.5</v>
      </c>
      <c r="J27" s="45">
        <v>2794.5</v>
      </c>
      <c r="K27" s="44">
        <f t="shared" si="2"/>
        <v>2794.5</v>
      </c>
      <c r="L27" s="46">
        <v>2801</v>
      </c>
      <c r="M27" s="45">
        <v>2801</v>
      </c>
      <c r="N27" s="44">
        <f t="shared" si="3"/>
        <v>2801</v>
      </c>
      <c r="O27" s="46">
        <v>2785</v>
      </c>
      <c r="P27" s="45">
        <v>2785</v>
      </c>
      <c r="Q27" s="44">
        <f t="shared" si="4"/>
        <v>2785</v>
      </c>
      <c r="R27" s="52">
        <v>2754.5</v>
      </c>
      <c r="S27" s="51">
        <v>1.3348</v>
      </c>
      <c r="T27" s="51">
        <v>1.1896</v>
      </c>
      <c r="U27" s="50">
        <v>104.26</v>
      </c>
      <c r="V27" s="43">
        <v>2063.61</v>
      </c>
      <c r="W27" s="43">
        <v>2074.41</v>
      </c>
      <c r="X27" s="49">
        <f t="shared" si="5"/>
        <v>2315.4841963685271</v>
      </c>
      <c r="Y27" s="48">
        <v>1.3358000000000001</v>
      </c>
    </row>
    <row r="28" spans="2:25" x14ac:dyDescent="0.2">
      <c r="B28" s="47">
        <v>44162</v>
      </c>
      <c r="C28" s="46">
        <v>2760</v>
      </c>
      <c r="D28" s="45">
        <v>2760</v>
      </c>
      <c r="E28" s="44">
        <f t="shared" si="0"/>
        <v>2760</v>
      </c>
      <c r="F28" s="46">
        <v>2776.5</v>
      </c>
      <c r="G28" s="45">
        <v>2776.5</v>
      </c>
      <c r="H28" s="44">
        <f t="shared" si="1"/>
        <v>2776.5</v>
      </c>
      <c r="I28" s="46">
        <v>2799.5</v>
      </c>
      <c r="J28" s="45">
        <v>2799.5</v>
      </c>
      <c r="K28" s="44">
        <f t="shared" si="2"/>
        <v>2799.5</v>
      </c>
      <c r="L28" s="46">
        <v>2794.5</v>
      </c>
      <c r="M28" s="45">
        <v>2794.5</v>
      </c>
      <c r="N28" s="44">
        <f t="shared" si="3"/>
        <v>2794.5</v>
      </c>
      <c r="O28" s="46">
        <v>2778.5</v>
      </c>
      <c r="P28" s="45">
        <v>2778.5</v>
      </c>
      <c r="Q28" s="44">
        <f t="shared" si="4"/>
        <v>2778.5</v>
      </c>
      <c r="R28" s="52">
        <v>2760</v>
      </c>
      <c r="S28" s="51">
        <v>1.3329</v>
      </c>
      <c r="T28" s="51">
        <v>1.1924999999999999</v>
      </c>
      <c r="U28" s="50">
        <v>104.16</v>
      </c>
      <c r="V28" s="43">
        <v>2070.67</v>
      </c>
      <c r="W28" s="43">
        <v>2081.33</v>
      </c>
      <c r="X28" s="49">
        <f t="shared" si="5"/>
        <v>2314.4654088050315</v>
      </c>
      <c r="Y28" s="48">
        <v>1.3340000000000001</v>
      </c>
    </row>
    <row r="29" spans="2:25" x14ac:dyDescent="0.2">
      <c r="B29" s="47">
        <v>44165</v>
      </c>
      <c r="C29" s="46">
        <v>2809.5</v>
      </c>
      <c r="D29" s="45">
        <v>2809.5</v>
      </c>
      <c r="E29" s="44">
        <f t="shared" si="0"/>
        <v>2809.5</v>
      </c>
      <c r="F29" s="46">
        <v>2826.5</v>
      </c>
      <c r="G29" s="45">
        <v>2826.5</v>
      </c>
      <c r="H29" s="44">
        <f t="shared" si="1"/>
        <v>2826.5</v>
      </c>
      <c r="I29" s="46">
        <v>2846</v>
      </c>
      <c r="J29" s="45">
        <v>2846</v>
      </c>
      <c r="K29" s="44">
        <f t="shared" si="2"/>
        <v>2846</v>
      </c>
      <c r="L29" s="46">
        <v>2836</v>
      </c>
      <c r="M29" s="45">
        <v>2836</v>
      </c>
      <c r="N29" s="44">
        <f t="shared" si="3"/>
        <v>2836</v>
      </c>
      <c r="O29" s="46">
        <v>2820</v>
      </c>
      <c r="P29" s="45">
        <v>2820</v>
      </c>
      <c r="Q29" s="44">
        <f t="shared" si="4"/>
        <v>2820</v>
      </c>
      <c r="R29" s="52">
        <v>2809.5</v>
      </c>
      <c r="S29" s="51">
        <v>1.3327</v>
      </c>
      <c r="T29" s="51">
        <v>1.1976</v>
      </c>
      <c r="U29" s="50">
        <v>104.13</v>
      </c>
      <c r="V29" s="43">
        <v>2108.13</v>
      </c>
      <c r="W29" s="43">
        <v>2118.9699999999998</v>
      </c>
      <c r="X29" s="49">
        <f t="shared" si="5"/>
        <v>2345.9418837675353</v>
      </c>
      <c r="Y29" s="48">
        <v>1.3339000000000001</v>
      </c>
    </row>
    <row r="30" spans="2:25" s="10" customFormat="1" x14ac:dyDescent="0.2">
      <c r="B30" s="42" t="s">
        <v>11</v>
      </c>
      <c r="C30" s="41">
        <f>ROUND(AVERAGE(C9:C29),2)</f>
        <v>2669.69</v>
      </c>
      <c r="D30" s="40">
        <f>ROUND(AVERAGE(D9:D29),2)</f>
        <v>2669.69</v>
      </c>
      <c r="E30" s="39">
        <f>ROUND(AVERAGE(C30:D30),2)</f>
        <v>2669.69</v>
      </c>
      <c r="F30" s="41">
        <f>ROUND(AVERAGE(F9:F29),2)</f>
        <v>2682.26</v>
      </c>
      <c r="G30" s="40">
        <f>ROUND(AVERAGE(G9:G29),2)</f>
        <v>2682.26</v>
      </c>
      <c r="H30" s="39">
        <f>ROUND(AVERAGE(F30:G30),2)</f>
        <v>2682.26</v>
      </c>
      <c r="I30" s="41">
        <f>ROUND(AVERAGE(I9:I29),2)</f>
        <v>2705.12</v>
      </c>
      <c r="J30" s="40">
        <f>ROUND(AVERAGE(J9:J29),2)</f>
        <v>2705.12</v>
      </c>
      <c r="K30" s="39">
        <f>ROUND(AVERAGE(I30:J30),2)</f>
        <v>2705.12</v>
      </c>
      <c r="L30" s="41">
        <f>ROUND(AVERAGE(L9:L29),2)</f>
        <v>2707.67</v>
      </c>
      <c r="M30" s="40">
        <f>ROUND(AVERAGE(M9:M29),2)</f>
        <v>2707.67</v>
      </c>
      <c r="N30" s="39">
        <f>ROUND(AVERAGE(L30:M30),2)</f>
        <v>2707.67</v>
      </c>
      <c r="O30" s="41">
        <f>ROUND(AVERAGE(O9:O29),2)</f>
        <v>2695.69</v>
      </c>
      <c r="P30" s="40">
        <f>ROUND(AVERAGE(P9:P29),2)</f>
        <v>2695.69</v>
      </c>
      <c r="Q30" s="39">
        <f>ROUND(AVERAGE(O30:P30),2)</f>
        <v>2695.69</v>
      </c>
      <c r="R30" s="38">
        <f>ROUND(AVERAGE(R9:R29),2)</f>
        <v>2669.69</v>
      </c>
      <c r="S30" s="37">
        <f>ROUND(AVERAGE(S9:S29),4)</f>
        <v>1.3209</v>
      </c>
      <c r="T30" s="36">
        <f>ROUND(AVERAGE(T9:T29),4)</f>
        <v>1.1839999999999999</v>
      </c>
      <c r="U30" s="175">
        <f>ROUND(AVERAGE(U9:U29),2)</f>
        <v>104.43</v>
      </c>
      <c r="V30" s="35">
        <f>AVERAGE(V9:V29)</f>
        <v>2020.708095238095</v>
      </c>
      <c r="W30" s="35">
        <f>AVERAGE(W9:W29)</f>
        <v>2028.7504761904759</v>
      </c>
      <c r="X30" s="35">
        <f>AVERAGE(X9:X29)</f>
        <v>2254.5904948628513</v>
      </c>
      <c r="Y30" s="34">
        <f>AVERAGE(Y9:Y29)</f>
        <v>1.3218952380952382</v>
      </c>
    </row>
    <row r="31" spans="2:25" s="5" customFormat="1" x14ac:dyDescent="0.2">
      <c r="B31" s="33" t="s">
        <v>12</v>
      </c>
      <c r="C31" s="32">
        <f t="shared" ref="C31:Y31" si="6">MAX(C9:C29)</f>
        <v>2809.5</v>
      </c>
      <c r="D31" s="31">
        <f t="shared" si="6"/>
        <v>2809.5</v>
      </c>
      <c r="E31" s="30">
        <f t="shared" si="6"/>
        <v>2809.5</v>
      </c>
      <c r="F31" s="32">
        <f t="shared" si="6"/>
        <v>2826.5</v>
      </c>
      <c r="G31" s="31">
        <f t="shared" si="6"/>
        <v>2826.5</v>
      </c>
      <c r="H31" s="30">
        <f t="shared" si="6"/>
        <v>2826.5</v>
      </c>
      <c r="I31" s="32">
        <f t="shared" si="6"/>
        <v>2846</v>
      </c>
      <c r="J31" s="31">
        <f t="shared" si="6"/>
        <v>2846</v>
      </c>
      <c r="K31" s="30">
        <f t="shared" si="6"/>
        <v>2846</v>
      </c>
      <c r="L31" s="32">
        <f t="shared" si="6"/>
        <v>2836</v>
      </c>
      <c r="M31" s="31">
        <f t="shared" si="6"/>
        <v>2836</v>
      </c>
      <c r="N31" s="30">
        <f t="shared" si="6"/>
        <v>2836</v>
      </c>
      <c r="O31" s="32">
        <f t="shared" si="6"/>
        <v>2820</v>
      </c>
      <c r="P31" s="31">
        <f t="shared" si="6"/>
        <v>2820</v>
      </c>
      <c r="Q31" s="30">
        <f t="shared" si="6"/>
        <v>2820</v>
      </c>
      <c r="R31" s="29">
        <f t="shared" si="6"/>
        <v>2809.5</v>
      </c>
      <c r="S31" s="28">
        <f t="shared" si="6"/>
        <v>1.3392999999999999</v>
      </c>
      <c r="T31" s="27">
        <f t="shared" si="6"/>
        <v>1.1976</v>
      </c>
      <c r="U31" s="26">
        <f t="shared" si="6"/>
        <v>105.5</v>
      </c>
      <c r="V31" s="25">
        <f t="shared" si="6"/>
        <v>2108.13</v>
      </c>
      <c r="W31" s="25">
        <f t="shared" si="6"/>
        <v>2118.9699999999998</v>
      </c>
      <c r="X31" s="25">
        <f t="shared" si="6"/>
        <v>2347.5404312668461</v>
      </c>
      <c r="Y31" s="24">
        <f t="shared" si="6"/>
        <v>1.3403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2526</v>
      </c>
      <c r="D32" s="21">
        <f t="shared" si="7"/>
        <v>2526</v>
      </c>
      <c r="E32" s="20">
        <f t="shared" si="7"/>
        <v>2526</v>
      </c>
      <c r="F32" s="22">
        <f t="shared" si="7"/>
        <v>2536.5</v>
      </c>
      <c r="G32" s="21">
        <f t="shared" si="7"/>
        <v>2536.5</v>
      </c>
      <c r="H32" s="20">
        <f t="shared" si="7"/>
        <v>2536.5</v>
      </c>
      <c r="I32" s="22">
        <f t="shared" si="7"/>
        <v>2567</v>
      </c>
      <c r="J32" s="21">
        <f t="shared" si="7"/>
        <v>2567</v>
      </c>
      <c r="K32" s="20">
        <f t="shared" si="7"/>
        <v>2567</v>
      </c>
      <c r="L32" s="22">
        <f t="shared" si="7"/>
        <v>2580.5</v>
      </c>
      <c r="M32" s="21">
        <f t="shared" si="7"/>
        <v>2580.5</v>
      </c>
      <c r="N32" s="20">
        <f t="shared" si="7"/>
        <v>2580.5</v>
      </c>
      <c r="O32" s="22">
        <f t="shared" si="7"/>
        <v>2578.5</v>
      </c>
      <c r="P32" s="21">
        <f t="shared" si="7"/>
        <v>2578.5</v>
      </c>
      <c r="Q32" s="20">
        <f t="shared" si="7"/>
        <v>2578.5</v>
      </c>
      <c r="R32" s="19">
        <f t="shared" si="7"/>
        <v>2526</v>
      </c>
      <c r="S32" s="18">
        <f t="shared" si="7"/>
        <v>1.2926</v>
      </c>
      <c r="T32" s="17">
        <f t="shared" si="7"/>
        <v>1.1646000000000001</v>
      </c>
      <c r="U32" s="16">
        <f t="shared" si="7"/>
        <v>103.35</v>
      </c>
      <c r="V32" s="15">
        <f t="shared" si="7"/>
        <v>1953.45</v>
      </c>
      <c r="W32" s="15">
        <f t="shared" si="7"/>
        <v>1959.39</v>
      </c>
      <c r="X32" s="15">
        <f t="shared" si="7"/>
        <v>2168.9850592478101</v>
      </c>
      <c r="Y32" s="14">
        <f t="shared" si="7"/>
        <v>1.2935000000000001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44137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44137</v>
      </c>
      <c r="C9" s="46">
        <v>1776</v>
      </c>
      <c r="D9" s="45">
        <v>1776</v>
      </c>
      <c r="E9" s="44">
        <f t="shared" ref="E9:E29" si="0">AVERAGE(C9:D9)</f>
        <v>1776</v>
      </c>
      <c r="F9" s="46">
        <v>1789.5</v>
      </c>
      <c r="G9" s="45">
        <v>1789.5</v>
      </c>
      <c r="H9" s="44">
        <f t="shared" ref="H9:H29" si="1">AVERAGE(F9:G9)</f>
        <v>1789.5</v>
      </c>
      <c r="I9" s="46">
        <v>1828.5</v>
      </c>
      <c r="J9" s="45">
        <v>1828.5</v>
      </c>
      <c r="K9" s="44">
        <f t="shared" ref="K9:K29" si="2">AVERAGE(I9:J9)</f>
        <v>1828.5</v>
      </c>
      <c r="L9" s="46">
        <v>1861.5</v>
      </c>
      <c r="M9" s="45">
        <v>1861.5</v>
      </c>
      <c r="N9" s="44">
        <f t="shared" ref="N9:N29" si="3">AVERAGE(L9:M9)</f>
        <v>1861.5</v>
      </c>
      <c r="O9" s="46">
        <v>1891.5</v>
      </c>
      <c r="P9" s="45">
        <v>1891.5</v>
      </c>
      <c r="Q9" s="44">
        <f t="shared" ref="Q9:Q29" si="4">AVERAGE(O9:P9)</f>
        <v>1891.5</v>
      </c>
      <c r="R9" s="52">
        <v>1776</v>
      </c>
      <c r="S9" s="51">
        <v>1.2926</v>
      </c>
      <c r="T9" s="53">
        <v>1.1646000000000001</v>
      </c>
      <c r="U9" s="50">
        <v>104.67</v>
      </c>
      <c r="V9" s="43">
        <v>1373.97</v>
      </c>
      <c r="W9" s="43">
        <v>1383.46</v>
      </c>
      <c r="X9" s="49">
        <f t="shared" ref="X9:X29" si="5">R9/T9</f>
        <v>1524.9871200412158</v>
      </c>
      <c r="Y9" s="48">
        <v>1.2935000000000001</v>
      </c>
    </row>
    <row r="10" spans="1:25" x14ac:dyDescent="0.2">
      <c r="B10" s="47">
        <v>44138</v>
      </c>
      <c r="C10" s="46">
        <v>1808</v>
      </c>
      <c r="D10" s="45">
        <v>1808</v>
      </c>
      <c r="E10" s="44">
        <f t="shared" si="0"/>
        <v>1808</v>
      </c>
      <c r="F10" s="46">
        <v>1819</v>
      </c>
      <c r="G10" s="45">
        <v>1819</v>
      </c>
      <c r="H10" s="44">
        <f t="shared" si="1"/>
        <v>1819</v>
      </c>
      <c r="I10" s="46">
        <v>1857</v>
      </c>
      <c r="J10" s="45">
        <v>1857</v>
      </c>
      <c r="K10" s="44">
        <f t="shared" si="2"/>
        <v>1857</v>
      </c>
      <c r="L10" s="46">
        <v>1890</v>
      </c>
      <c r="M10" s="45">
        <v>1890</v>
      </c>
      <c r="N10" s="44">
        <f t="shared" si="3"/>
        <v>1890</v>
      </c>
      <c r="O10" s="46">
        <v>1920</v>
      </c>
      <c r="P10" s="45">
        <v>1920</v>
      </c>
      <c r="Q10" s="44">
        <f t="shared" si="4"/>
        <v>1920</v>
      </c>
      <c r="R10" s="52">
        <v>1808</v>
      </c>
      <c r="S10" s="51">
        <v>1.2987</v>
      </c>
      <c r="T10" s="51">
        <v>1.1698999999999999</v>
      </c>
      <c r="U10" s="50">
        <v>104.69</v>
      </c>
      <c r="V10" s="43">
        <v>1392.16</v>
      </c>
      <c r="W10" s="43">
        <v>1399.66</v>
      </c>
      <c r="X10" s="49">
        <f t="shared" si="5"/>
        <v>1545.4312334387555</v>
      </c>
      <c r="Y10" s="48">
        <v>1.2996000000000001</v>
      </c>
    </row>
    <row r="11" spans="1:25" x14ac:dyDescent="0.2">
      <c r="B11" s="47">
        <v>44139</v>
      </c>
      <c r="C11" s="46">
        <v>1813.5</v>
      </c>
      <c r="D11" s="45">
        <v>1813.5</v>
      </c>
      <c r="E11" s="44">
        <f t="shared" si="0"/>
        <v>1813.5</v>
      </c>
      <c r="F11" s="46">
        <v>1822</v>
      </c>
      <c r="G11" s="45">
        <v>1822</v>
      </c>
      <c r="H11" s="44">
        <f t="shared" si="1"/>
        <v>1822</v>
      </c>
      <c r="I11" s="46">
        <v>1857.5</v>
      </c>
      <c r="J11" s="45">
        <v>1857.5</v>
      </c>
      <c r="K11" s="44">
        <f t="shared" si="2"/>
        <v>1857.5</v>
      </c>
      <c r="L11" s="46">
        <v>1890.5</v>
      </c>
      <c r="M11" s="45">
        <v>1890.5</v>
      </c>
      <c r="N11" s="44">
        <f t="shared" si="3"/>
        <v>1890.5</v>
      </c>
      <c r="O11" s="46">
        <v>1920.5</v>
      </c>
      <c r="P11" s="45">
        <v>1920.5</v>
      </c>
      <c r="Q11" s="44">
        <f t="shared" si="4"/>
        <v>1920.5</v>
      </c>
      <c r="R11" s="52">
        <v>1813.5</v>
      </c>
      <c r="S11" s="51">
        <v>1.3041</v>
      </c>
      <c r="T11" s="51">
        <v>1.1718999999999999</v>
      </c>
      <c r="U11" s="50">
        <v>104.38</v>
      </c>
      <c r="V11" s="43">
        <v>1390.61</v>
      </c>
      <c r="W11" s="43">
        <v>1396.17</v>
      </c>
      <c r="X11" s="49">
        <f t="shared" si="5"/>
        <v>1547.4869869442787</v>
      </c>
      <c r="Y11" s="48">
        <v>1.3049999999999999</v>
      </c>
    </row>
    <row r="12" spans="1:25" x14ac:dyDescent="0.2">
      <c r="B12" s="47">
        <v>44140</v>
      </c>
      <c r="C12" s="46">
        <v>1836.5</v>
      </c>
      <c r="D12" s="45">
        <v>1836.5</v>
      </c>
      <c r="E12" s="44">
        <f t="shared" si="0"/>
        <v>1836.5</v>
      </c>
      <c r="F12" s="46">
        <v>1847</v>
      </c>
      <c r="G12" s="45">
        <v>1847</v>
      </c>
      <c r="H12" s="44">
        <f t="shared" si="1"/>
        <v>1847</v>
      </c>
      <c r="I12" s="46">
        <v>1879.5</v>
      </c>
      <c r="J12" s="45">
        <v>1879.5</v>
      </c>
      <c r="K12" s="44">
        <f t="shared" si="2"/>
        <v>1879.5</v>
      </c>
      <c r="L12" s="46">
        <v>1913</v>
      </c>
      <c r="M12" s="45">
        <v>1913</v>
      </c>
      <c r="N12" s="44">
        <f t="shared" si="3"/>
        <v>1913</v>
      </c>
      <c r="O12" s="46">
        <v>1943</v>
      </c>
      <c r="P12" s="45">
        <v>1943</v>
      </c>
      <c r="Q12" s="44">
        <f t="shared" si="4"/>
        <v>1943</v>
      </c>
      <c r="R12" s="52">
        <v>1836.5</v>
      </c>
      <c r="S12" s="51">
        <v>1.3084</v>
      </c>
      <c r="T12" s="51">
        <v>1.1845000000000001</v>
      </c>
      <c r="U12" s="50">
        <v>103.81</v>
      </c>
      <c r="V12" s="43">
        <v>1403.62</v>
      </c>
      <c r="W12" s="43">
        <v>1410.79</v>
      </c>
      <c r="X12" s="49">
        <f t="shared" si="5"/>
        <v>1550.4432249894469</v>
      </c>
      <c r="Y12" s="48">
        <v>1.3091999999999999</v>
      </c>
    </row>
    <row r="13" spans="1:25" x14ac:dyDescent="0.2">
      <c r="B13" s="47">
        <v>44141</v>
      </c>
      <c r="C13" s="46">
        <v>1838</v>
      </c>
      <c r="D13" s="45">
        <v>1838</v>
      </c>
      <c r="E13" s="44">
        <f t="shared" si="0"/>
        <v>1838</v>
      </c>
      <c r="F13" s="46">
        <v>1854.5</v>
      </c>
      <c r="G13" s="45">
        <v>1854.5</v>
      </c>
      <c r="H13" s="44">
        <f t="shared" si="1"/>
        <v>1854.5</v>
      </c>
      <c r="I13" s="46">
        <v>1886.5</v>
      </c>
      <c r="J13" s="45">
        <v>1886.5</v>
      </c>
      <c r="K13" s="44">
        <f t="shared" si="2"/>
        <v>1886.5</v>
      </c>
      <c r="L13" s="46">
        <v>1920</v>
      </c>
      <c r="M13" s="45">
        <v>1920</v>
      </c>
      <c r="N13" s="44">
        <f t="shared" si="3"/>
        <v>1920</v>
      </c>
      <c r="O13" s="46">
        <v>1950</v>
      </c>
      <c r="P13" s="45">
        <v>1950</v>
      </c>
      <c r="Q13" s="44">
        <f t="shared" si="4"/>
        <v>1950</v>
      </c>
      <c r="R13" s="52">
        <v>1838</v>
      </c>
      <c r="S13" s="51">
        <v>1.3120000000000001</v>
      </c>
      <c r="T13" s="51">
        <v>1.1875</v>
      </c>
      <c r="U13" s="50">
        <v>103.35</v>
      </c>
      <c r="V13" s="43">
        <v>1400.91</v>
      </c>
      <c r="W13" s="43">
        <v>1412.63</v>
      </c>
      <c r="X13" s="49">
        <f t="shared" si="5"/>
        <v>1547.7894736842106</v>
      </c>
      <c r="Y13" s="48">
        <v>1.3128</v>
      </c>
    </row>
    <row r="14" spans="1:25" x14ac:dyDescent="0.2">
      <c r="B14" s="47">
        <v>44144</v>
      </c>
      <c r="C14" s="46">
        <v>1841.5</v>
      </c>
      <c r="D14" s="45">
        <v>1841.5</v>
      </c>
      <c r="E14" s="44">
        <f t="shared" si="0"/>
        <v>1841.5</v>
      </c>
      <c r="F14" s="46">
        <v>1858</v>
      </c>
      <c r="G14" s="45">
        <v>1858</v>
      </c>
      <c r="H14" s="44">
        <f t="shared" si="1"/>
        <v>1858</v>
      </c>
      <c r="I14" s="46">
        <v>1890</v>
      </c>
      <c r="J14" s="45">
        <v>1890</v>
      </c>
      <c r="K14" s="44">
        <f t="shared" si="2"/>
        <v>1890</v>
      </c>
      <c r="L14" s="46">
        <v>1923.5</v>
      </c>
      <c r="M14" s="45">
        <v>1923.5</v>
      </c>
      <c r="N14" s="44">
        <f t="shared" si="3"/>
        <v>1923.5</v>
      </c>
      <c r="O14" s="46">
        <v>1953.5</v>
      </c>
      <c r="P14" s="45">
        <v>1953.5</v>
      </c>
      <c r="Q14" s="44">
        <f t="shared" si="4"/>
        <v>1953.5</v>
      </c>
      <c r="R14" s="52">
        <v>1841.5</v>
      </c>
      <c r="S14" s="51">
        <v>1.3169999999999999</v>
      </c>
      <c r="T14" s="51">
        <v>1.1894</v>
      </c>
      <c r="U14" s="50">
        <v>104.97</v>
      </c>
      <c r="V14" s="43">
        <v>1398.25</v>
      </c>
      <c r="W14" s="43">
        <v>1409.93</v>
      </c>
      <c r="X14" s="49">
        <f t="shared" si="5"/>
        <v>1548.259626702539</v>
      </c>
      <c r="Y14" s="48">
        <v>1.3178000000000001</v>
      </c>
    </row>
    <row r="15" spans="1:25" x14ac:dyDescent="0.2">
      <c r="B15" s="47">
        <v>44145</v>
      </c>
      <c r="C15" s="46">
        <v>1818</v>
      </c>
      <c r="D15" s="45">
        <v>1818</v>
      </c>
      <c r="E15" s="44">
        <f t="shared" si="0"/>
        <v>1818</v>
      </c>
      <c r="F15" s="46">
        <v>1836</v>
      </c>
      <c r="G15" s="45">
        <v>1836</v>
      </c>
      <c r="H15" s="44">
        <f t="shared" si="1"/>
        <v>1836</v>
      </c>
      <c r="I15" s="46">
        <v>1871</v>
      </c>
      <c r="J15" s="45">
        <v>1871</v>
      </c>
      <c r="K15" s="44">
        <f t="shared" si="2"/>
        <v>1871</v>
      </c>
      <c r="L15" s="46">
        <v>1904.5</v>
      </c>
      <c r="M15" s="45">
        <v>1904.5</v>
      </c>
      <c r="N15" s="44">
        <f t="shared" si="3"/>
        <v>1904.5</v>
      </c>
      <c r="O15" s="46">
        <v>1934.5</v>
      </c>
      <c r="P15" s="45">
        <v>1934.5</v>
      </c>
      <c r="Q15" s="44">
        <f t="shared" si="4"/>
        <v>1934.5</v>
      </c>
      <c r="R15" s="52">
        <v>1818</v>
      </c>
      <c r="S15" s="51">
        <v>1.3250999999999999</v>
      </c>
      <c r="T15" s="51">
        <v>1.181</v>
      </c>
      <c r="U15" s="50">
        <v>105.29</v>
      </c>
      <c r="V15" s="43">
        <v>1371.97</v>
      </c>
      <c r="W15" s="43">
        <v>1384.62</v>
      </c>
      <c r="X15" s="49">
        <f t="shared" si="5"/>
        <v>1539.3734123624047</v>
      </c>
      <c r="Y15" s="48">
        <v>1.3260000000000001</v>
      </c>
    </row>
    <row r="16" spans="1:25" x14ac:dyDescent="0.2">
      <c r="B16" s="47">
        <v>44146</v>
      </c>
      <c r="C16" s="46">
        <v>1849.5</v>
      </c>
      <c r="D16" s="45">
        <v>1849.5</v>
      </c>
      <c r="E16" s="44">
        <f t="shared" si="0"/>
        <v>1849.5</v>
      </c>
      <c r="F16" s="46">
        <v>1868.5</v>
      </c>
      <c r="G16" s="45">
        <v>1868.5</v>
      </c>
      <c r="H16" s="44">
        <f t="shared" si="1"/>
        <v>1868.5</v>
      </c>
      <c r="I16" s="46">
        <v>1900.5</v>
      </c>
      <c r="J16" s="45">
        <v>1900.5</v>
      </c>
      <c r="K16" s="44">
        <f t="shared" si="2"/>
        <v>1900.5</v>
      </c>
      <c r="L16" s="46">
        <v>1934</v>
      </c>
      <c r="M16" s="45">
        <v>1934</v>
      </c>
      <c r="N16" s="44">
        <f t="shared" si="3"/>
        <v>1934</v>
      </c>
      <c r="O16" s="46">
        <v>1964</v>
      </c>
      <c r="P16" s="45">
        <v>1964</v>
      </c>
      <c r="Q16" s="44">
        <f t="shared" si="4"/>
        <v>1964</v>
      </c>
      <c r="R16" s="52">
        <v>1849.5</v>
      </c>
      <c r="S16" s="51">
        <v>1.3227</v>
      </c>
      <c r="T16" s="51">
        <v>1.1774</v>
      </c>
      <c r="U16" s="50">
        <v>105.5</v>
      </c>
      <c r="V16" s="43">
        <v>1398.28</v>
      </c>
      <c r="W16" s="43">
        <v>1411.68</v>
      </c>
      <c r="X16" s="49">
        <f t="shared" si="5"/>
        <v>1570.8340411075251</v>
      </c>
      <c r="Y16" s="48">
        <v>1.3236000000000001</v>
      </c>
    </row>
    <row r="17" spans="2:25" x14ac:dyDescent="0.2">
      <c r="B17" s="47">
        <v>44147</v>
      </c>
      <c r="C17" s="46">
        <v>1868.5</v>
      </c>
      <c r="D17" s="45">
        <v>1868.5</v>
      </c>
      <c r="E17" s="44">
        <f t="shared" si="0"/>
        <v>1868.5</v>
      </c>
      <c r="F17" s="46">
        <v>1884.5</v>
      </c>
      <c r="G17" s="45">
        <v>1884.5</v>
      </c>
      <c r="H17" s="44">
        <f t="shared" si="1"/>
        <v>1884.5</v>
      </c>
      <c r="I17" s="46">
        <v>1917.5</v>
      </c>
      <c r="J17" s="45">
        <v>1917.5</v>
      </c>
      <c r="K17" s="44">
        <f t="shared" si="2"/>
        <v>1917.5</v>
      </c>
      <c r="L17" s="46">
        <v>1951</v>
      </c>
      <c r="M17" s="45">
        <v>1951</v>
      </c>
      <c r="N17" s="44">
        <f t="shared" si="3"/>
        <v>1951</v>
      </c>
      <c r="O17" s="46">
        <v>1981</v>
      </c>
      <c r="P17" s="45">
        <v>1981</v>
      </c>
      <c r="Q17" s="44">
        <f t="shared" si="4"/>
        <v>1981</v>
      </c>
      <c r="R17" s="52">
        <v>1868.5</v>
      </c>
      <c r="S17" s="51">
        <v>1.3142</v>
      </c>
      <c r="T17" s="51">
        <v>1.1798</v>
      </c>
      <c r="U17" s="50">
        <v>105.34</v>
      </c>
      <c r="V17" s="43">
        <v>1421.78</v>
      </c>
      <c r="W17" s="43">
        <v>1432.97</v>
      </c>
      <c r="X17" s="49">
        <f t="shared" si="5"/>
        <v>1583.7430072893712</v>
      </c>
      <c r="Y17" s="48">
        <v>1.3150999999999999</v>
      </c>
    </row>
    <row r="18" spans="2:25" x14ac:dyDescent="0.2">
      <c r="B18" s="47">
        <v>44148</v>
      </c>
      <c r="C18" s="46">
        <v>1886</v>
      </c>
      <c r="D18" s="45">
        <v>1886</v>
      </c>
      <c r="E18" s="44">
        <f t="shared" si="0"/>
        <v>1886</v>
      </c>
      <c r="F18" s="46">
        <v>1904.5</v>
      </c>
      <c r="G18" s="45">
        <v>1904.5</v>
      </c>
      <c r="H18" s="44">
        <f t="shared" si="1"/>
        <v>1904.5</v>
      </c>
      <c r="I18" s="46">
        <v>1937</v>
      </c>
      <c r="J18" s="45">
        <v>1937</v>
      </c>
      <c r="K18" s="44">
        <f t="shared" si="2"/>
        <v>1937</v>
      </c>
      <c r="L18" s="46">
        <v>1970.5</v>
      </c>
      <c r="M18" s="45">
        <v>1970.5</v>
      </c>
      <c r="N18" s="44">
        <f t="shared" si="3"/>
        <v>1970.5</v>
      </c>
      <c r="O18" s="46">
        <v>2000.5</v>
      </c>
      <c r="P18" s="45">
        <v>2000.5</v>
      </c>
      <c r="Q18" s="44">
        <f t="shared" si="4"/>
        <v>2000.5</v>
      </c>
      <c r="R18" s="52">
        <v>1886</v>
      </c>
      <c r="S18" s="51">
        <v>1.3165</v>
      </c>
      <c r="T18" s="51">
        <v>1.1816</v>
      </c>
      <c r="U18" s="50">
        <v>104.88</v>
      </c>
      <c r="V18" s="43">
        <v>1432.59</v>
      </c>
      <c r="W18" s="43">
        <v>1445.54</v>
      </c>
      <c r="X18" s="49">
        <f t="shared" si="5"/>
        <v>1596.1408259986458</v>
      </c>
      <c r="Y18" s="48">
        <v>1.3174999999999999</v>
      </c>
    </row>
    <row r="19" spans="2:25" x14ac:dyDescent="0.2">
      <c r="B19" s="47">
        <v>44151</v>
      </c>
      <c r="C19" s="46">
        <v>1882.5</v>
      </c>
      <c r="D19" s="45">
        <v>1882.5</v>
      </c>
      <c r="E19" s="44">
        <f t="shared" si="0"/>
        <v>1882.5</v>
      </c>
      <c r="F19" s="46">
        <v>1904.5</v>
      </c>
      <c r="G19" s="45">
        <v>1904.5</v>
      </c>
      <c r="H19" s="44">
        <f t="shared" si="1"/>
        <v>1904.5</v>
      </c>
      <c r="I19" s="46">
        <v>1937.5</v>
      </c>
      <c r="J19" s="45">
        <v>1937.5</v>
      </c>
      <c r="K19" s="44">
        <f t="shared" si="2"/>
        <v>1937.5</v>
      </c>
      <c r="L19" s="46">
        <v>1971</v>
      </c>
      <c r="M19" s="45">
        <v>1971</v>
      </c>
      <c r="N19" s="44">
        <f t="shared" si="3"/>
        <v>1971</v>
      </c>
      <c r="O19" s="46">
        <v>2001</v>
      </c>
      <c r="P19" s="45">
        <v>2001</v>
      </c>
      <c r="Q19" s="44">
        <f t="shared" si="4"/>
        <v>2001</v>
      </c>
      <c r="R19" s="52">
        <v>1882.5</v>
      </c>
      <c r="S19" s="51">
        <v>1.3169999999999999</v>
      </c>
      <c r="T19" s="51">
        <v>1.1834</v>
      </c>
      <c r="U19" s="50">
        <v>104.91</v>
      </c>
      <c r="V19" s="43">
        <v>1429.38</v>
      </c>
      <c r="W19" s="43">
        <v>1444.99</v>
      </c>
      <c r="X19" s="49">
        <f t="shared" si="5"/>
        <v>1590.7554503971608</v>
      </c>
      <c r="Y19" s="48">
        <v>1.3180000000000001</v>
      </c>
    </row>
    <row r="20" spans="2:25" x14ac:dyDescent="0.2">
      <c r="B20" s="47">
        <v>44152</v>
      </c>
      <c r="C20" s="46">
        <v>1900.5</v>
      </c>
      <c r="D20" s="45">
        <v>1900.5</v>
      </c>
      <c r="E20" s="44">
        <f t="shared" si="0"/>
        <v>1900.5</v>
      </c>
      <c r="F20" s="46">
        <v>1921.5</v>
      </c>
      <c r="G20" s="45">
        <v>1921.5</v>
      </c>
      <c r="H20" s="44">
        <f t="shared" si="1"/>
        <v>1921.5</v>
      </c>
      <c r="I20" s="46">
        <v>1955.5</v>
      </c>
      <c r="J20" s="45">
        <v>1955.5</v>
      </c>
      <c r="K20" s="44">
        <f t="shared" si="2"/>
        <v>1955.5</v>
      </c>
      <c r="L20" s="46">
        <v>1989</v>
      </c>
      <c r="M20" s="45">
        <v>1989</v>
      </c>
      <c r="N20" s="44">
        <f t="shared" si="3"/>
        <v>1989</v>
      </c>
      <c r="O20" s="46">
        <v>2019</v>
      </c>
      <c r="P20" s="45">
        <v>2019</v>
      </c>
      <c r="Q20" s="44">
        <f t="shared" si="4"/>
        <v>2019</v>
      </c>
      <c r="R20" s="52">
        <v>1900.5</v>
      </c>
      <c r="S20" s="51">
        <v>1.3259000000000001</v>
      </c>
      <c r="T20" s="51">
        <v>1.1880999999999999</v>
      </c>
      <c r="U20" s="50">
        <v>104.24</v>
      </c>
      <c r="V20" s="43">
        <v>1433.37</v>
      </c>
      <c r="W20" s="43">
        <v>1448.11</v>
      </c>
      <c r="X20" s="49">
        <f t="shared" si="5"/>
        <v>1599.6128272030974</v>
      </c>
      <c r="Y20" s="48">
        <v>1.3269</v>
      </c>
    </row>
    <row r="21" spans="2:25" x14ac:dyDescent="0.2">
      <c r="B21" s="47">
        <v>44153</v>
      </c>
      <c r="C21" s="46">
        <v>1919.5</v>
      </c>
      <c r="D21" s="45">
        <v>1919.5</v>
      </c>
      <c r="E21" s="44">
        <f t="shared" si="0"/>
        <v>1919.5</v>
      </c>
      <c r="F21" s="46">
        <v>1940.5</v>
      </c>
      <c r="G21" s="45">
        <v>1940.5</v>
      </c>
      <c r="H21" s="44">
        <f t="shared" si="1"/>
        <v>1940.5</v>
      </c>
      <c r="I21" s="46">
        <v>1976.5</v>
      </c>
      <c r="J21" s="45">
        <v>1976.5</v>
      </c>
      <c r="K21" s="44">
        <f t="shared" si="2"/>
        <v>1976.5</v>
      </c>
      <c r="L21" s="46">
        <v>2010</v>
      </c>
      <c r="M21" s="45">
        <v>2010</v>
      </c>
      <c r="N21" s="44">
        <f t="shared" si="3"/>
        <v>2010</v>
      </c>
      <c r="O21" s="46">
        <v>2040</v>
      </c>
      <c r="P21" s="45">
        <v>2040</v>
      </c>
      <c r="Q21" s="44">
        <f t="shared" si="4"/>
        <v>2040</v>
      </c>
      <c r="R21" s="52">
        <v>1919.5</v>
      </c>
      <c r="S21" s="51">
        <v>1.3277000000000001</v>
      </c>
      <c r="T21" s="51">
        <v>1.1869000000000001</v>
      </c>
      <c r="U21" s="50">
        <v>103.92</v>
      </c>
      <c r="V21" s="43">
        <v>1445.73</v>
      </c>
      <c r="W21" s="43">
        <v>1460.45</v>
      </c>
      <c r="X21" s="49">
        <f t="shared" si="5"/>
        <v>1617.2381835032436</v>
      </c>
      <c r="Y21" s="48">
        <v>1.3287</v>
      </c>
    </row>
    <row r="22" spans="2:25" x14ac:dyDescent="0.2">
      <c r="B22" s="47">
        <v>44154</v>
      </c>
      <c r="C22" s="46">
        <v>1951</v>
      </c>
      <c r="D22" s="45">
        <v>1951</v>
      </c>
      <c r="E22" s="44">
        <f t="shared" si="0"/>
        <v>1951</v>
      </c>
      <c r="F22" s="46">
        <v>1968</v>
      </c>
      <c r="G22" s="45">
        <v>1968</v>
      </c>
      <c r="H22" s="44">
        <f t="shared" si="1"/>
        <v>1968</v>
      </c>
      <c r="I22" s="46">
        <v>2002.5</v>
      </c>
      <c r="J22" s="45">
        <v>2002.5</v>
      </c>
      <c r="K22" s="44">
        <f t="shared" si="2"/>
        <v>2002.5</v>
      </c>
      <c r="L22" s="46">
        <v>2036</v>
      </c>
      <c r="M22" s="45">
        <v>2036</v>
      </c>
      <c r="N22" s="44">
        <f t="shared" si="3"/>
        <v>2036</v>
      </c>
      <c r="O22" s="46">
        <v>2066</v>
      </c>
      <c r="P22" s="45">
        <v>2066</v>
      </c>
      <c r="Q22" s="44">
        <f t="shared" si="4"/>
        <v>2066</v>
      </c>
      <c r="R22" s="52">
        <v>1951</v>
      </c>
      <c r="S22" s="51">
        <v>1.3232999999999999</v>
      </c>
      <c r="T22" s="51">
        <v>1.1836</v>
      </c>
      <c r="U22" s="50">
        <v>104.04</v>
      </c>
      <c r="V22" s="43">
        <v>1474.34</v>
      </c>
      <c r="W22" s="43">
        <v>1486.07</v>
      </c>
      <c r="X22" s="49">
        <f t="shared" si="5"/>
        <v>1648.3609327475499</v>
      </c>
      <c r="Y22" s="48">
        <v>1.3243</v>
      </c>
    </row>
    <row r="23" spans="2:25" x14ac:dyDescent="0.2">
      <c r="B23" s="47">
        <v>44155</v>
      </c>
      <c r="C23" s="46">
        <v>1987</v>
      </c>
      <c r="D23" s="45">
        <v>1987</v>
      </c>
      <c r="E23" s="44">
        <f t="shared" si="0"/>
        <v>1987</v>
      </c>
      <c r="F23" s="46">
        <v>2003</v>
      </c>
      <c r="G23" s="45">
        <v>2003</v>
      </c>
      <c r="H23" s="44">
        <f t="shared" si="1"/>
        <v>2003</v>
      </c>
      <c r="I23" s="46">
        <v>2033</v>
      </c>
      <c r="J23" s="45">
        <v>2033</v>
      </c>
      <c r="K23" s="44">
        <f t="shared" si="2"/>
        <v>2033</v>
      </c>
      <c r="L23" s="46">
        <v>2066.5</v>
      </c>
      <c r="M23" s="45">
        <v>2066.5</v>
      </c>
      <c r="N23" s="44">
        <f t="shared" si="3"/>
        <v>2066.5</v>
      </c>
      <c r="O23" s="46">
        <v>2096.5</v>
      </c>
      <c r="P23" s="45">
        <v>2096.5</v>
      </c>
      <c r="Q23" s="44">
        <f t="shared" si="4"/>
        <v>2096.5</v>
      </c>
      <c r="R23" s="52">
        <v>1987</v>
      </c>
      <c r="S23" s="51">
        <v>1.3274999999999999</v>
      </c>
      <c r="T23" s="51">
        <v>1.1872</v>
      </c>
      <c r="U23" s="50">
        <v>103.8</v>
      </c>
      <c r="V23" s="43">
        <v>1496.8</v>
      </c>
      <c r="W23" s="43">
        <v>1507.72</v>
      </c>
      <c r="X23" s="49">
        <f t="shared" si="5"/>
        <v>1673.6859838274931</v>
      </c>
      <c r="Y23" s="48">
        <v>1.3285</v>
      </c>
    </row>
    <row r="24" spans="2:25" x14ac:dyDescent="0.2">
      <c r="B24" s="47">
        <v>44158</v>
      </c>
      <c r="C24" s="46">
        <v>1990</v>
      </c>
      <c r="D24" s="45">
        <v>1990</v>
      </c>
      <c r="E24" s="44">
        <f t="shared" si="0"/>
        <v>1990</v>
      </c>
      <c r="F24" s="46">
        <v>2006.5</v>
      </c>
      <c r="G24" s="45">
        <v>2006.5</v>
      </c>
      <c r="H24" s="44">
        <f t="shared" si="1"/>
        <v>2006.5</v>
      </c>
      <c r="I24" s="46">
        <v>2037.5</v>
      </c>
      <c r="J24" s="45">
        <v>2037.5</v>
      </c>
      <c r="K24" s="44">
        <f t="shared" si="2"/>
        <v>2037.5</v>
      </c>
      <c r="L24" s="46">
        <v>2071</v>
      </c>
      <c r="M24" s="45">
        <v>2071</v>
      </c>
      <c r="N24" s="44">
        <f t="shared" si="3"/>
        <v>2071</v>
      </c>
      <c r="O24" s="46">
        <v>2101</v>
      </c>
      <c r="P24" s="45">
        <v>2101</v>
      </c>
      <c r="Q24" s="44">
        <f t="shared" si="4"/>
        <v>2101</v>
      </c>
      <c r="R24" s="52">
        <v>1990</v>
      </c>
      <c r="S24" s="51">
        <v>1.3392999999999999</v>
      </c>
      <c r="T24" s="51">
        <v>1.1902999999999999</v>
      </c>
      <c r="U24" s="50">
        <v>103.73</v>
      </c>
      <c r="V24" s="43">
        <v>1485.85</v>
      </c>
      <c r="W24" s="43">
        <v>1497.05</v>
      </c>
      <c r="X24" s="49">
        <f t="shared" si="5"/>
        <v>1671.8474334201462</v>
      </c>
      <c r="Y24" s="48">
        <v>1.3403</v>
      </c>
    </row>
    <row r="25" spans="2:25" x14ac:dyDescent="0.2">
      <c r="B25" s="47">
        <v>44159</v>
      </c>
      <c r="C25" s="46">
        <v>2006</v>
      </c>
      <c r="D25" s="45">
        <v>2006</v>
      </c>
      <c r="E25" s="44">
        <f t="shared" si="0"/>
        <v>2006</v>
      </c>
      <c r="F25" s="46">
        <v>2021</v>
      </c>
      <c r="G25" s="45">
        <v>2021</v>
      </c>
      <c r="H25" s="44">
        <f t="shared" si="1"/>
        <v>2021</v>
      </c>
      <c r="I25" s="46">
        <v>2052</v>
      </c>
      <c r="J25" s="45">
        <v>2052</v>
      </c>
      <c r="K25" s="44">
        <f t="shared" si="2"/>
        <v>2052</v>
      </c>
      <c r="L25" s="46">
        <v>2085.5</v>
      </c>
      <c r="M25" s="45">
        <v>2085.5</v>
      </c>
      <c r="N25" s="44">
        <f t="shared" si="3"/>
        <v>2085.5</v>
      </c>
      <c r="O25" s="46">
        <v>2115.5</v>
      </c>
      <c r="P25" s="45">
        <v>2115.5</v>
      </c>
      <c r="Q25" s="44">
        <f t="shared" si="4"/>
        <v>2115.5</v>
      </c>
      <c r="R25" s="52">
        <v>2006</v>
      </c>
      <c r="S25" s="51">
        <v>1.3324</v>
      </c>
      <c r="T25" s="51">
        <v>1.1869000000000001</v>
      </c>
      <c r="U25" s="50">
        <v>104.53</v>
      </c>
      <c r="V25" s="43">
        <v>1505.55</v>
      </c>
      <c r="W25" s="43">
        <v>1515.67</v>
      </c>
      <c r="X25" s="49">
        <f t="shared" si="5"/>
        <v>1690.1171118038587</v>
      </c>
      <c r="Y25" s="48">
        <v>1.3333999999999999</v>
      </c>
    </row>
    <row r="26" spans="2:25" x14ac:dyDescent="0.2">
      <c r="B26" s="47">
        <v>44160</v>
      </c>
      <c r="C26" s="46">
        <v>2030</v>
      </c>
      <c r="D26" s="45">
        <v>2030</v>
      </c>
      <c r="E26" s="44">
        <f t="shared" si="0"/>
        <v>2030</v>
      </c>
      <c r="F26" s="46">
        <v>2042.5</v>
      </c>
      <c r="G26" s="45">
        <v>2042.5</v>
      </c>
      <c r="H26" s="44">
        <f t="shared" si="1"/>
        <v>2042.5</v>
      </c>
      <c r="I26" s="46">
        <v>2073.5</v>
      </c>
      <c r="J26" s="45">
        <v>2073.5</v>
      </c>
      <c r="K26" s="44">
        <f t="shared" si="2"/>
        <v>2073.5</v>
      </c>
      <c r="L26" s="46">
        <v>2107</v>
      </c>
      <c r="M26" s="45">
        <v>2107</v>
      </c>
      <c r="N26" s="44">
        <f t="shared" si="3"/>
        <v>2107</v>
      </c>
      <c r="O26" s="46">
        <v>2137</v>
      </c>
      <c r="P26" s="45">
        <v>2137</v>
      </c>
      <c r="Q26" s="44">
        <f t="shared" si="4"/>
        <v>2137</v>
      </c>
      <c r="R26" s="52">
        <v>2030</v>
      </c>
      <c r="S26" s="51">
        <v>1.3349</v>
      </c>
      <c r="T26" s="51">
        <v>1.1895</v>
      </c>
      <c r="U26" s="50">
        <v>104.41</v>
      </c>
      <c r="V26" s="43">
        <v>1520.71</v>
      </c>
      <c r="W26" s="43">
        <v>1528.93</v>
      </c>
      <c r="X26" s="49">
        <f t="shared" si="5"/>
        <v>1706.5994115174442</v>
      </c>
      <c r="Y26" s="48">
        <v>1.3359000000000001</v>
      </c>
    </row>
    <row r="27" spans="2:25" x14ac:dyDescent="0.2">
      <c r="B27" s="47">
        <v>44161</v>
      </c>
      <c r="C27" s="46">
        <v>2031.5</v>
      </c>
      <c r="D27" s="45">
        <v>2031.5</v>
      </c>
      <c r="E27" s="44">
        <f t="shared" si="0"/>
        <v>2031.5</v>
      </c>
      <c r="F27" s="46">
        <v>2046.5</v>
      </c>
      <c r="G27" s="45">
        <v>2046.5</v>
      </c>
      <c r="H27" s="44">
        <f t="shared" si="1"/>
        <v>2046.5</v>
      </c>
      <c r="I27" s="46">
        <v>2078.5</v>
      </c>
      <c r="J27" s="45">
        <v>2078.5</v>
      </c>
      <c r="K27" s="44">
        <f t="shared" si="2"/>
        <v>2078.5</v>
      </c>
      <c r="L27" s="46">
        <v>2112</v>
      </c>
      <c r="M27" s="45">
        <v>2112</v>
      </c>
      <c r="N27" s="44">
        <f t="shared" si="3"/>
        <v>2112</v>
      </c>
      <c r="O27" s="46">
        <v>2142</v>
      </c>
      <c r="P27" s="45">
        <v>2142</v>
      </c>
      <c r="Q27" s="44">
        <f t="shared" si="4"/>
        <v>2142</v>
      </c>
      <c r="R27" s="52">
        <v>2031.5</v>
      </c>
      <c r="S27" s="51">
        <v>1.3348</v>
      </c>
      <c r="T27" s="51">
        <v>1.1896</v>
      </c>
      <c r="U27" s="50">
        <v>104.26</v>
      </c>
      <c r="V27" s="43">
        <v>1521.95</v>
      </c>
      <c r="W27" s="43">
        <v>1532.04</v>
      </c>
      <c r="X27" s="49">
        <f t="shared" si="5"/>
        <v>1707.7168796234027</v>
      </c>
      <c r="Y27" s="48">
        <v>1.3358000000000001</v>
      </c>
    </row>
    <row r="28" spans="2:25" x14ac:dyDescent="0.2">
      <c r="B28" s="47">
        <v>44162</v>
      </c>
      <c r="C28" s="46">
        <v>2053</v>
      </c>
      <c r="D28" s="45">
        <v>2053</v>
      </c>
      <c r="E28" s="44">
        <f t="shared" si="0"/>
        <v>2053</v>
      </c>
      <c r="F28" s="46">
        <v>2061</v>
      </c>
      <c r="G28" s="45">
        <v>2061</v>
      </c>
      <c r="H28" s="44">
        <f t="shared" si="1"/>
        <v>2061</v>
      </c>
      <c r="I28" s="46">
        <v>2095</v>
      </c>
      <c r="J28" s="45">
        <v>2095</v>
      </c>
      <c r="K28" s="44">
        <f t="shared" si="2"/>
        <v>2095</v>
      </c>
      <c r="L28" s="46">
        <v>2128.5</v>
      </c>
      <c r="M28" s="45">
        <v>2128.5</v>
      </c>
      <c r="N28" s="44">
        <f t="shared" si="3"/>
        <v>2128.5</v>
      </c>
      <c r="O28" s="46">
        <v>2158.5</v>
      </c>
      <c r="P28" s="45">
        <v>2158.5</v>
      </c>
      <c r="Q28" s="44">
        <f t="shared" si="4"/>
        <v>2158.5</v>
      </c>
      <c r="R28" s="52">
        <v>2053</v>
      </c>
      <c r="S28" s="51">
        <v>1.3329</v>
      </c>
      <c r="T28" s="51">
        <v>1.1924999999999999</v>
      </c>
      <c r="U28" s="50">
        <v>104.16</v>
      </c>
      <c r="V28" s="43">
        <v>1540.25</v>
      </c>
      <c r="W28" s="43">
        <v>1544.98</v>
      </c>
      <c r="X28" s="49">
        <f t="shared" si="5"/>
        <v>1721.5932914046123</v>
      </c>
      <c r="Y28" s="48">
        <v>1.3340000000000001</v>
      </c>
    </row>
    <row r="29" spans="2:25" x14ac:dyDescent="0.2">
      <c r="B29" s="47">
        <v>44165</v>
      </c>
      <c r="C29" s="46">
        <v>2117.5</v>
      </c>
      <c r="D29" s="45">
        <v>2117.5</v>
      </c>
      <c r="E29" s="44">
        <f t="shared" si="0"/>
        <v>2117.5</v>
      </c>
      <c r="F29" s="46">
        <v>2127</v>
      </c>
      <c r="G29" s="45">
        <v>2127</v>
      </c>
      <c r="H29" s="44">
        <f t="shared" si="1"/>
        <v>2127</v>
      </c>
      <c r="I29" s="46">
        <v>2159</v>
      </c>
      <c r="J29" s="45">
        <v>2159</v>
      </c>
      <c r="K29" s="44">
        <f t="shared" si="2"/>
        <v>2159</v>
      </c>
      <c r="L29" s="46">
        <v>2192.5</v>
      </c>
      <c r="M29" s="45">
        <v>2192.5</v>
      </c>
      <c r="N29" s="44">
        <f t="shared" si="3"/>
        <v>2192.5</v>
      </c>
      <c r="O29" s="46">
        <v>2222.5</v>
      </c>
      <c r="P29" s="45">
        <v>2222.5</v>
      </c>
      <c r="Q29" s="44">
        <f t="shared" si="4"/>
        <v>2222.5</v>
      </c>
      <c r="R29" s="52">
        <v>2117.5</v>
      </c>
      <c r="S29" s="51">
        <v>1.3327</v>
      </c>
      <c r="T29" s="51">
        <v>1.1976</v>
      </c>
      <c r="U29" s="50">
        <v>104.13</v>
      </c>
      <c r="V29" s="43">
        <v>1588.88</v>
      </c>
      <c r="W29" s="43">
        <v>1594.57</v>
      </c>
      <c r="X29" s="49">
        <f t="shared" si="5"/>
        <v>1768.1195724782899</v>
      </c>
      <c r="Y29" s="48">
        <v>1.3339000000000001</v>
      </c>
    </row>
    <row r="30" spans="2:25" s="10" customFormat="1" x14ac:dyDescent="0.2">
      <c r="B30" s="42" t="s">
        <v>11</v>
      </c>
      <c r="C30" s="41">
        <f>ROUND(AVERAGE(C9:C29),2)</f>
        <v>1914.48</v>
      </c>
      <c r="D30" s="40">
        <f>ROUND(AVERAGE(D9:D29),2)</f>
        <v>1914.48</v>
      </c>
      <c r="E30" s="39">
        <f>ROUND(AVERAGE(C30:D30),2)</f>
        <v>1914.48</v>
      </c>
      <c r="F30" s="41">
        <f>ROUND(AVERAGE(F9:F29),2)</f>
        <v>1929.79</v>
      </c>
      <c r="G30" s="40">
        <f>ROUND(AVERAGE(G9:G29),2)</f>
        <v>1929.79</v>
      </c>
      <c r="H30" s="39">
        <f>ROUND(AVERAGE(F30:G30),2)</f>
        <v>1929.79</v>
      </c>
      <c r="I30" s="41">
        <f>ROUND(AVERAGE(I9:I29),2)</f>
        <v>1963.12</v>
      </c>
      <c r="J30" s="40">
        <f>ROUND(AVERAGE(J9:J29),2)</f>
        <v>1963.12</v>
      </c>
      <c r="K30" s="39">
        <f>ROUND(AVERAGE(I30:J30),2)</f>
        <v>1963.12</v>
      </c>
      <c r="L30" s="41">
        <f>ROUND(AVERAGE(L9:L29),2)</f>
        <v>1996.55</v>
      </c>
      <c r="M30" s="40">
        <f>ROUND(AVERAGE(M9:M29),2)</f>
        <v>1996.55</v>
      </c>
      <c r="N30" s="39">
        <f>ROUND(AVERAGE(L30:M30),2)</f>
        <v>1996.55</v>
      </c>
      <c r="O30" s="41">
        <f>ROUND(AVERAGE(O9:O29),2)</f>
        <v>2026.55</v>
      </c>
      <c r="P30" s="40">
        <f>ROUND(AVERAGE(P9:P29),2)</f>
        <v>2026.55</v>
      </c>
      <c r="Q30" s="39">
        <f>ROUND(AVERAGE(O30:P30),2)</f>
        <v>2026.55</v>
      </c>
      <c r="R30" s="38">
        <f>ROUND(AVERAGE(R9:R29),2)</f>
        <v>1914.48</v>
      </c>
      <c r="S30" s="37">
        <f>ROUND(AVERAGE(S9:S29),4)</f>
        <v>1.3209</v>
      </c>
      <c r="T30" s="36">
        <f>ROUND(AVERAGE(T9:T29),4)</f>
        <v>1.1839999999999999</v>
      </c>
      <c r="U30" s="175">
        <f>ROUND(AVERAGE(U9:U29),2)</f>
        <v>104.43</v>
      </c>
      <c r="V30" s="35">
        <f>AVERAGE(V9:V29)</f>
        <v>1448.9023809523808</v>
      </c>
      <c r="W30" s="35">
        <f>AVERAGE(W9:W29)</f>
        <v>1459.4299999999998</v>
      </c>
      <c r="X30" s="35">
        <f>AVERAGE(X9:X29)</f>
        <v>1616.6731443087951</v>
      </c>
      <c r="Y30" s="34">
        <f>AVERAGE(Y9:Y29)</f>
        <v>1.3218952380952382</v>
      </c>
    </row>
    <row r="31" spans="2:25" s="5" customFormat="1" x14ac:dyDescent="0.2">
      <c r="B31" s="33" t="s">
        <v>12</v>
      </c>
      <c r="C31" s="32">
        <f t="shared" ref="C31:Y31" si="6">MAX(C9:C29)</f>
        <v>2117.5</v>
      </c>
      <c r="D31" s="31">
        <f t="shared" si="6"/>
        <v>2117.5</v>
      </c>
      <c r="E31" s="30">
        <f t="shared" si="6"/>
        <v>2117.5</v>
      </c>
      <c r="F31" s="32">
        <f t="shared" si="6"/>
        <v>2127</v>
      </c>
      <c r="G31" s="31">
        <f t="shared" si="6"/>
        <v>2127</v>
      </c>
      <c r="H31" s="30">
        <f t="shared" si="6"/>
        <v>2127</v>
      </c>
      <c r="I31" s="32">
        <f t="shared" si="6"/>
        <v>2159</v>
      </c>
      <c r="J31" s="31">
        <f t="shared" si="6"/>
        <v>2159</v>
      </c>
      <c r="K31" s="30">
        <f t="shared" si="6"/>
        <v>2159</v>
      </c>
      <c r="L31" s="32">
        <f t="shared" si="6"/>
        <v>2192.5</v>
      </c>
      <c r="M31" s="31">
        <f t="shared" si="6"/>
        <v>2192.5</v>
      </c>
      <c r="N31" s="30">
        <f t="shared" si="6"/>
        <v>2192.5</v>
      </c>
      <c r="O31" s="32">
        <f t="shared" si="6"/>
        <v>2222.5</v>
      </c>
      <c r="P31" s="31">
        <f t="shared" si="6"/>
        <v>2222.5</v>
      </c>
      <c r="Q31" s="30">
        <f t="shared" si="6"/>
        <v>2222.5</v>
      </c>
      <c r="R31" s="29">
        <f t="shared" si="6"/>
        <v>2117.5</v>
      </c>
      <c r="S31" s="28">
        <f t="shared" si="6"/>
        <v>1.3392999999999999</v>
      </c>
      <c r="T31" s="27">
        <f t="shared" si="6"/>
        <v>1.1976</v>
      </c>
      <c r="U31" s="26">
        <f t="shared" si="6"/>
        <v>105.5</v>
      </c>
      <c r="V31" s="25">
        <f t="shared" si="6"/>
        <v>1588.88</v>
      </c>
      <c r="W31" s="25">
        <f t="shared" si="6"/>
        <v>1594.57</v>
      </c>
      <c r="X31" s="25">
        <f t="shared" si="6"/>
        <v>1768.1195724782899</v>
      </c>
      <c r="Y31" s="24">
        <f t="shared" si="6"/>
        <v>1.3403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1776</v>
      </c>
      <c r="D32" s="21">
        <f t="shared" si="7"/>
        <v>1776</v>
      </c>
      <c r="E32" s="20">
        <f t="shared" si="7"/>
        <v>1776</v>
      </c>
      <c r="F32" s="22">
        <f t="shared" si="7"/>
        <v>1789.5</v>
      </c>
      <c r="G32" s="21">
        <f t="shared" si="7"/>
        <v>1789.5</v>
      </c>
      <c r="H32" s="20">
        <f t="shared" si="7"/>
        <v>1789.5</v>
      </c>
      <c r="I32" s="22">
        <f t="shared" si="7"/>
        <v>1828.5</v>
      </c>
      <c r="J32" s="21">
        <f t="shared" si="7"/>
        <v>1828.5</v>
      </c>
      <c r="K32" s="20">
        <f t="shared" si="7"/>
        <v>1828.5</v>
      </c>
      <c r="L32" s="22">
        <f t="shared" si="7"/>
        <v>1861.5</v>
      </c>
      <c r="M32" s="21">
        <f t="shared" si="7"/>
        <v>1861.5</v>
      </c>
      <c r="N32" s="20">
        <f t="shared" si="7"/>
        <v>1861.5</v>
      </c>
      <c r="O32" s="22">
        <f t="shared" si="7"/>
        <v>1891.5</v>
      </c>
      <c r="P32" s="21">
        <f t="shared" si="7"/>
        <v>1891.5</v>
      </c>
      <c r="Q32" s="20">
        <f t="shared" si="7"/>
        <v>1891.5</v>
      </c>
      <c r="R32" s="19">
        <f t="shared" si="7"/>
        <v>1776</v>
      </c>
      <c r="S32" s="18">
        <f t="shared" si="7"/>
        <v>1.2926</v>
      </c>
      <c r="T32" s="17">
        <f t="shared" si="7"/>
        <v>1.1646000000000001</v>
      </c>
      <c r="U32" s="16">
        <f t="shared" si="7"/>
        <v>103.35</v>
      </c>
      <c r="V32" s="15">
        <f t="shared" si="7"/>
        <v>1371.97</v>
      </c>
      <c r="W32" s="15">
        <f t="shared" si="7"/>
        <v>1383.46</v>
      </c>
      <c r="X32" s="15">
        <f t="shared" si="7"/>
        <v>1524.9871200412158</v>
      </c>
      <c r="Y32" s="14">
        <f t="shared" si="7"/>
        <v>1.2935000000000001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44137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44137</v>
      </c>
      <c r="C9" s="46">
        <v>17755</v>
      </c>
      <c r="D9" s="45">
        <v>17755</v>
      </c>
      <c r="E9" s="44">
        <f t="shared" ref="E9:E29" si="0">AVERAGE(C9:D9)</f>
        <v>17755</v>
      </c>
      <c r="F9" s="46">
        <v>17725</v>
      </c>
      <c r="G9" s="45">
        <v>17725</v>
      </c>
      <c r="H9" s="44">
        <f t="shared" ref="H9:H29" si="1">AVERAGE(F9:G9)</f>
        <v>17725</v>
      </c>
      <c r="I9" s="46">
        <v>17598</v>
      </c>
      <c r="J9" s="45">
        <v>17598</v>
      </c>
      <c r="K9" s="44">
        <f t="shared" ref="K9:K29" si="2">AVERAGE(I9:J9)</f>
        <v>17598</v>
      </c>
      <c r="L9" s="52">
        <v>17755</v>
      </c>
      <c r="M9" s="51">
        <v>1.2926</v>
      </c>
      <c r="N9" s="53">
        <v>1.1646000000000001</v>
      </c>
      <c r="O9" s="50">
        <v>104.67</v>
      </c>
      <c r="P9" s="43">
        <v>13735.88</v>
      </c>
      <c r="Q9" s="43">
        <v>13703.13</v>
      </c>
      <c r="R9" s="49">
        <f t="shared" ref="R9:R29" si="3">L9/N9</f>
        <v>15245.577880817447</v>
      </c>
      <c r="S9" s="48">
        <v>1.2935000000000001</v>
      </c>
    </row>
    <row r="10" spans="1:19" x14ac:dyDescent="0.2">
      <c r="B10" s="47">
        <v>44138</v>
      </c>
      <c r="C10" s="46">
        <v>18035</v>
      </c>
      <c r="D10" s="45">
        <v>18035</v>
      </c>
      <c r="E10" s="44">
        <f t="shared" si="0"/>
        <v>18035</v>
      </c>
      <c r="F10" s="46">
        <v>18035</v>
      </c>
      <c r="G10" s="45">
        <v>18035</v>
      </c>
      <c r="H10" s="44">
        <f t="shared" si="1"/>
        <v>18035</v>
      </c>
      <c r="I10" s="46">
        <v>17908</v>
      </c>
      <c r="J10" s="45">
        <v>17908</v>
      </c>
      <c r="K10" s="44">
        <f t="shared" si="2"/>
        <v>17908</v>
      </c>
      <c r="L10" s="52">
        <v>18035</v>
      </c>
      <c r="M10" s="51">
        <v>1.2987</v>
      </c>
      <c r="N10" s="51">
        <v>1.1698999999999999</v>
      </c>
      <c r="O10" s="50">
        <v>104.69</v>
      </c>
      <c r="P10" s="43">
        <v>13886.96</v>
      </c>
      <c r="Q10" s="43">
        <v>13877.35</v>
      </c>
      <c r="R10" s="49">
        <f t="shared" si="3"/>
        <v>15415.847508334047</v>
      </c>
      <c r="S10" s="48">
        <v>1.2996000000000001</v>
      </c>
    </row>
    <row r="11" spans="1:19" x14ac:dyDescent="0.2">
      <c r="B11" s="47">
        <v>44139</v>
      </c>
      <c r="C11" s="46">
        <v>18120</v>
      </c>
      <c r="D11" s="45">
        <v>18120</v>
      </c>
      <c r="E11" s="44">
        <f t="shared" si="0"/>
        <v>18120</v>
      </c>
      <c r="F11" s="46">
        <v>18135</v>
      </c>
      <c r="G11" s="45">
        <v>18135</v>
      </c>
      <c r="H11" s="44">
        <f t="shared" si="1"/>
        <v>18135</v>
      </c>
      <c r="I11" s="46">
        <v>17998</v>
      </c>
      <c r="J11" s="45">
        <v>17998</v>
      </c>
      <c r="K11" s="44">
        <f t="shared" si="2"/>
        <v>17998</v>
      </c>
      <c r="L11" s="52">
        <v>18120</v>
      </c>
      <c r="M11" s="51">
        <v>1.3041</v>
      </c>
      <c r="N11" s="51">
        <v>1.1718999999999999</v>
      </c>
      <c r="O11" s="50">
        <v>104.38</v>
      </c>
      <c r="P11" s="43">
        <v>13894.64</v>
      </c>
      <c r="Q11" s="43">
        <v>13896.55</v>
      </c>
      <c r="R11" s="49">
        <f t="shared" si="3"/>
        <v>15462.070142503628</v>
      </c>
      <c r="S11" s="48">
        <v>1.3049999999999999</v>
      </c>
    </row>
    <row r="12" spans="1:19" x14ac:dyDescent="0.2">
      <c r="B12" s="47">
        <v>44140</v>
      </c>
      <c r="C12" s="46">
        <v>18375</v>
      </c>
      <c r="D12" s="45">
        <v>18375</v>
      </c>
      <c r="E12" s="44">
        <f t="shared" si="0"/>
        <v>18375</v>
      </c>
      <c r="F12" s="46">
        <v>18345</v>
      </c>
      <c r="G12" s="45">
        <v>18345</v>
      </c>
      <c r="H12" s="44">
        <f t="shared" si="1"/>
        <v>18345</v>
      </c>
      <c r="I12" s="46">
        <v>18208</v>
      </c>
      <c r="J12" s="45">
        <v>18208</v>
      </c>
      <c r="K12" s="44">
        <f t="shared" si="2"/>
        <v>18208</v>
      </c>
      <c r="L12" s="52">
        <v>18375</v>
      </c>
      <c r="M12" s="51">
        <v>1.3084</v>
      </c>
      <c r="N12" s="51">
        <v>1.1845000000000001</v>
      </c>
      <c r="O12" s="50">
        <v>103.81</v>
      </c>
      <c r="P12" s="43">
        <v>14043.87</v>
      </c>
      <c r="Q12" s="43">
        <v>14012.37</v>
      </c>
      <c r="R12" s="49">
        <f t="shared" si="3"/>
        <v>15512.874630645842</v>
      </c>
      <c r="S12" s="48">
        <v>1.3091999999999999</v>
      </c>
    </row>
    <row r="13" spans="1:19" x14ac:dyDescent="0.2">
      <c r="B13" s="47">
        <v>44141</v>
      </c>
      <c r="C13" s="46">
        <v>18385</v>
      </c>
      <c r="D13" s="45">
        <v>18385</v>
      </c>
      <c r="E13" s="44">
        <f t="shared" si="0"/>
        <v>18385</v>
      </c>
      <c r="F13" s="46">
        <v>18380</v>
      </c>
      <c r="G13" s="45">
        <v>18380</v>
      </c>
      <c r="H13" s="44">
        <f t="shared" si="1"/>
        <v>18380</v>
      </c>
      <c r="I13" s="46">
        <v>18243</v>
      </c>
      <c r="J13" s="45">
        <v>18243</v>
      </c>
      <c r="K13" s="44">
        <f t="shared" si="2"/>
        <v>18243</v>
      </c>
      <c r="L13" s="52">
        <v>18385</v>
      </c>
      <c r="M13" s="51">
        <v>1.3120000000000001</v>
      </c>
      <c r="N13" s="51">
        <v>1.1875</v>
      </c>
      <c r="O13" s="50">
        <v>103.35</v>
      </c>
      <c r="P13" s="43">
        <v>14012.96</v>
      </c>
      <c r="Q13" s="43">
        <v>14000.61</v>
      </c>
      <c r="R13" s="49">
        <f t="shared" si="3"/>
        <v>15482.105263157895</v>
      </c>
      <c r="S13" s="48">
        <v>1.3128</v>
      </c>
    </row>
    <row r="14" spans="1:19" x14ac:dyDescent="0.2">
      <c r="B14" s="47">
        <v>44144</v>
      </c>
      <c r="C14" s="46">
        <v>18455</v>
      </c>
      <c r="D14" s="45">
        <v>18455</v>
      </c>
      <c r="E14" s="44">
        <f t="shared" si="0"/>
        <v>18455</v>
      </c>
      <c r="F14" s="46">
        <v>18445</v>
      </c>
      <c r="G14" s="45">
        <v>18445</v>
      </c>
      <c r="H14" s="44">
        <f t="shared" si="1"/>
        <v>18445</v>
      </c>
      <c r="I14" s="46">
        <v>18312</v>
      </c>
      <c r="J14" s="45">
        <v>18312</v>
      </c>
      <c r="K14" s="44">
        <f t="shared" si="2"/>
        <v>18312</v>
      </c>
      <c r="L14" s="52">
        <v>18455</v>
      </c>
      <c r="M14" s="51">
        <v>1.3169999999999999</v>
      </c>
      <c r="N14" s="51">
        <v>1.1894</v>
      </c>
      <c r="O14" s="50">
        <v>104.97</v>
      </c>
      <c r="P14" s="43">
        <v>14012.91</v>
      </c>
      <c r="Q14" s="43">
        <v>13996.81</v>
      </c>
      <c r="R14" s="49">
        <f t="shared" si="3"/>
        <v>15516.226668908694</v>
      </c>
      <c r="S14" s="48">
        <v>1.3178000000000001</v>
      </c>
    </row>
    <row r="15" spans="1:19" x14ac:dyDescent="0.2">
      <c r="B15" s="47">
        <v>44145</v>
      </c>
      <c r="C15" s="46">
        <v>18240</v>
      </c>
      <c r="D15" s="45">
        <v>18240</v>
      </c>
      <c r="E15" s="44">
        <f t="shared" si="0"/>
        <v>18240</v>
      </c>
      <c r="F15" s="46">
        <v>18235</v>
      </c>
      <c r="G15" s="45">
        <v>18235</v>
      </c>
      <c r="H15" s="44">
        <f t="shared" si="1"/>
        <v>18235</v>
      </c>
      <c r="I15" s="46">
        <v>18102</v>
      </c>
      <c r="J15" s="45">
        <v>18102</v>
      </c>
      <c r="K15" s="44">
        <f t="shared" si="2"/>
        <v>18102</v>
      </c>
      <c r="L15" s="52">
        <v>18240</v>
      </c>
      <c r="M15" s="51">
        <v>1.3250999999999999</v>
      </c>
      <c r="N15" s="51">
        <v>1.181</v>
      </c>
      <c r="O15" s="50">
        <v>105.29</v>
      </c>
      <c r="P15" s="43">
        <v>13765</v>
      </c>
      <c r="Q15" s="43">
        <v>13751.89</v>
      </c>
      <c r="R15" s="49">
        <f t="shared" si="3"/>
        <v>15444.538526672311</v>
      </c>
      <c r="S15" s="48">
        <v>1.3260000000000001</v>
      </c>
    </row>
    <row r="16" spans="1:19" x14ac:dyDescent="0.2">
      <c r="B16" s="47">
        <v>44146</v>
      </c>
      <c r="C16" s="46">
        <v>18250</v>
      </c>
      <c r="D16" s="45">
        <v>18250</v>
      </c>
      <c r="E16" s="44">
        <f t="shared" si="0"/>
        <v>18250</v>
      </c>
      <c r="F16" s="46">
        <v>18210</v>
      </c>
      <c r="G16" s="45">
        <v>18210</v>
      </c>
      <c r="H16" s="44">
        <f t="shared" si="1"/>
        <v>18210</v>
      </c>
      <c r="I16" s="46">
        <v>18076</v>
      </c>
      <c r="J16" s="45">
        <v>18076</v>
      </c>
      <c r="K16" s="44">
        <f t="shared" si="2"/>
        <v>18076</v>
      </c>
      <c r="L16" s="52">
        <v>18250</v>
      </c>
      <c r="M16" s="51">
        <v>1.3227</v>
      </c>
      <c r="N16" s="51">
        <v>1.1774</v>
      </c>
      <c r="O16" s="50">
        <v>105.5</v>
      </c>
      <c r="P16" s="43">
        <v>13797.54</v>
      </c>
      <c r="Q16" s="43">
        <v>13757.93</v>
      </c>
      <c r="R16" s="49">
        <f t="shared" si="3"/>
        <v>15500.25479870902</v>
      </c>
      <c r="S16" s="48">
        <v>1.3236000000000001</v>
      </c>
    </row>
    <row r="17" spans="2:19" x14ac:dyDescent="0.2">
      <c r="B17" s="47">
        <v>44147</v>
      </c>
      <c r="C17" s="46">
        <v>18330</v>
      </c>
      <c r="D17" s="45">
        <v>18330</v>
      </c>
      <c r="E17" s="44">
        <f t="shared" si="0"/>
        <v>18330</v>
      </c>
      <c r="F17" s="46">
        <v>18260</v>
      </c>
      <c r="G17" s="45">
        <v>18260</v>
      </c>
      <c r="H17" s="44">
        <f t="shared" si="1"/>
        <v>18260</v>
      </c>
      <c r="I17" s="46">
        <v>18121</v>
      </c>
      <c r="J17" s="45">
        <v>18121</v>
      </c>
      <c r="K17" s="44">
        <f t="shared" si="2"/>
        <v>18121</v>
      </c>
      <c r="L17" s="52">
        <v>18330</v>
      </c>
      <c r="M17" s="51">
        <v>1.3142</v>
      </c>
      <c r="N17" s="51">
        <v>1.1798</v>
      </c>
      <c r="O17" s="50">
        <v>105.34</v>
      </c>
      <c r="P17" s="43">
        <v>13947.65</v>
      </c>
      <c r="Q17" s="43">
        <v>13884.88</v>
      </c>
      <c r="R17" s="49">
        <f t="shared" si="3"/>
        <v>15536.531615528056</v>
      </c>
      <c r="S17" s="48">
        <v>1.3150999999999999</v>
      </c>
    </row>
    <row r="18" spans="2:19" x14ac:dyDescent="0.2">
      <c r="B18" s="47">
        <v>44148</v>
      </c>
      <c r="C18" s="46">
        <v>18415</v>
      </c>
      <c r="D18" s="45">
        <v>18415</v>
      </c>
      <c r="E18" s="44">
        <f t="shared" si="0"/>
        <v>18415</v>
      </c>
      <c r="F18" s="46">
        <v>18375</v>
      </c>
      <c r="G18" s="45">
        <v>18375</v>
      </c>
      <c r="H18" s="44">
        <f t="shared" si="1"/>
        <v>18375</v>
      </c>
      <c r="I18" s="46">
        <v>18236</v>
      </c>
      <c r="J18" s="45">
        <v>18236</v>
      </c>
      <c r="K18" s="44">
        <f t="shared" si="2"/>
        <v>18236</v>
      </c>
      <c r="L18" s="52">
        <v>18415</v>
      </c>
      <c r="M18" s="51">
        <v>1.3165</v>
      </c>
      <c r="N18" s="51">
        <v>1.1816</v>
      </c>
      <c r="O18" s="50">
        <v>104.88</v>
      </c>
      <c r="P18" s="43">
        <v>13987.85</v>
      </c>
      <c r="Q18" s="43">
        <v>13946.87</v>
      </c>
      <c r="R18" s="49">
        <f t="shared" si="3"/>
        <v>15584.800270819229</v>
      </c>
      <c r="S18" s="48">
        <v>1.3174999999999999</v>
      </c>
    </row>
    <row r="19" spans="2:19" x14ac:dyDescent="0.2">
      <c r="B19" s="47">
        <v>44151</v>
      </c>
      <c r="C19" s="46">
        <v>18750</v>
      </c>
      <c r="D19" s="45">
        <v>18750</v>
      </c>
      <c r="E19" s="44">
        <f t="shared" si="0"/>
        <v>18750</v>
      </c>
      <c r="F19" s="46">
        <v>18710</v>
      </c>
      <c r="G19" s="45">
        <v>18710</v>
      </c>
      <c r="H19" s="44">
        <f t="shared" si="1"/>
        <v>18710</v>
      </c>
      <c r="I19" s="46">
        <v>18564</v>
      </c>
      <c r="J19" s="45">
        <v>18564</v>
      </c>
      <c r="K19" s="44">
        <f t="shared" si="2"/>
        <v>18564</v>
      </c>
      <c r="L19" s="52">
        <v>18750</v>
      </c>
      <c r="M19" s="51">
        <v>1.3169999999999999</v>
      </c>
      <c r="N19" s="51">
        <v>1.1834</v>
      </c>
      <c r="O19" s="50">
        <v>104.91</v>
      </c>
      <c r="P19" s="43">
        <v>14236.9</v>
      </c>
      <c r="Q19" s="43">
        <v>14195.75</v>
      </c>
      <c r="R19" s="49">
        <f t="shared" si="3"/>
        <v>15844.177792800405</v>
      </c>
      <c r="S19" s="48">
        <v>1.3180000000000001</v>
      </c>
    </row>
    <row r="20" spans="2:19" x14ac:dyDescent="0.2">
      <c r="B20" s="47">
        <v>44152</v>
      </c>
      <c r="C20" s="46">
        <v>18915</v>
      </c>
      <c r="D20" s="45">
        <v>18915</v>
      </c>
      <c r="E20" s="44">
        <f t="shared" si="0"/>
        <v>18915</v>
      </c>
      <c r="F20" s="46">
        <v>18875</v>
      </c>
      <c r="G20" s="45">
        <v>18875</v>
      </c>
      <c r="H20" s="44">
        <f t="shared" si="1"/>
        <v>18875</v>
      </c>
      <c r="I20" s="46">
        <v>18720</v>
      </c>
      <c r="J20" s="45">
        <v>18720</v>
      </c>
      <c r="K20" s="44">
        <f t="shared" si="2"/>
        <v>18720</v>
      </c>
      <c r="L20" s="52">
        <v>18915</v>
      </c>
      <c r="M20" s="51">
        <v>1.3259000000000001</v>
      </c>
      <c r="N20" s="51">
        <v>1.1880999999999999</v>
      </c>
      <c r="O20" s="50">
        <v>104.24</v>
      </c>
      <c r="P20" s="43">
        <v>14265.78</v>
      </c>
      <c r="Q20" s="43">
        <v>14224.89</v>
      </c>
      <c r="R20" s="49">
        <f t="shared" si="3"/>
        <v>15920.377072636984</v>
      </c>
      <c r="S20" s="48">
        <v>1.3269</v>
      </c>
    </row>
    <row r="21" spans="2:19" x14ac:dyDescent="0.2">
      <c r="B21" s="47">
        <v>44153</v>
      </c>
      <c r="C21" s="46">
        <v>19075</v>
      </c>
      <c r="D21" s="45">
        <v>19075</v>
      </c>
      <c r="E21" s="44">
        <f t="shared" si="0"/>
        <v>19075</v>
      </c>
      <c r="F21" s="46">
        <v>19045</v>
      </c>
      <c r="G21" s="45">
        <v>19045</v>
      </c>
      <c r="H21" s="44">
        <f t="shared" si="1"/>
        <v>19045</v>
      </c>
      <c r="I21" s="46">
        <v>18895</v>
      </c>
      <c r="J21" s="45">
        <v>18895</v>
      </c>
      <c r="K21" s="44">
        <f t="shared" si="2"/>
        <v>18895</v>
      </c>
      <c r="L21" s="52">
        <v>19075</v>
      </c>
      <c r="M21" s="51">
        <v>1.3277000000000001</v>
      </c>
      <c r="N21" s="51">
        <v>1.1869000000000001</v>
      </c>
      <c r="O21" s="50">
        <v>103.92</v>
      </c>
      <c r="P21" s="43">
        <v>14366.95</v>
      </c>
      <c r="Q21" s="43">
        <v>14333.56</v>
      </c>
      <c r="R21" s="49">
        <f t="shared" si="3"/>
        <v>16071.27811947089</v>
      </c>
      <c r="S21" s="48">
        <v>1.3287</v>
      </c>
    </row>
    <row r="22" spans="2:19" x14ac:dyDescent="0.2">
      <c r="B22" s="47">
        <v>44154</v>
      </c>
      <c r="C22" s="46">
        <v>18720</v>
      </c>
      <c r="D22" s="45">
        <v>18720</v>
      </c>
      <c r="E22" s="44">
        <f t="shared" si="0"/>
        <v>18720</v>
      </c>
      <c r="F22" s="46">
        <v>18635</v>
      </c>
      <c r="G22" s="45">
        <v>18635</v>
      </c>
      <c r="H22" s="44">
        <f t="shared" si="1"/>
        <v>18635</v>
      </c>
      <c r="I22" s="46">
        <v>18476</v>
      </c>
      <c r="J22" s="45">
        <v>18476</v>
      </c>
      <c r="K22" s="44">
        <f t="shared" si="2"/>
        <v>18476</v>
      </c>
      <c r="L22" s="52">
        <v>18720</v>
      </c>
      <c r="M22" s="51">
        <v>1.3232999999999999</v>
      </c>
      <c r="N22" s="51">
        <v>1.1836</v>
      </c>
      <c r="O22" s="50">
        <v>104.04</v>
      </c>
      <c r="P22" s="43">
        <v>14146.45</v>
      </c>
      <c r="Q22" s="43">
        <v>14071.58</v>
      </c>
      <c r="R22" s="49">
        <f t="shared" si="3"/>
        <v>15816.154106116932</v>
      </c>
      <c r="S22" s="48">
        <v>1.3243</v>
      </c>
    </row>
    <row r="23" spans="2:19" x14ac:dyDescent="0.2">
      <c r="B23" s="47">
        <v>44155</v>
      </c>
      <c r="C23" s="46">
        <v>18890</v>
      </c>
      <c r="D23" s="45">
        <v>18890</v>
      </c>
      <c r="E23" s="44">
        <f t="shared" si="0"/>
        <v>18890</v>
      </c>
      <c r="F23" s="46">
        <v>18840</v>
      </c>
      <c r="G23" s="45">
        <v>18840</v>
      </c>
      <c r="H23" s="44">
        <f t="shared" si="1"/>
        <v>18840</v>
      </c>
      <c r="I23" s="46">
        <v>18683</v>
      </c>
      <c r="J23" s="45">
        <v>18683</v>
      </c>
      <c r="K23" s="44">
        <f t="shared" si="2"/>
        <v>18683</v>
      </c>
      <c r="L23" s="52">
        <v>18890</v>
      </c>
      <c r="M23" s="51">
        <v>1.3274999999999999</v>
      </c>
      <c r="N23" s="51">
        <v>1.1872</v>
      </c>
      <c r="O23" s="50">
        <v>103.8</v>
      </c>
      <c r="P23" s="43">
        <v>14229.76</v>
      </c>
      <c r="Q23" s="43">
        <v>14181.41</v>
      </c>
      <c r="R23" s="49">
        <f t="shared" si="3"/>
        <v>15911.388140161725</v>
      </c>
      <c r="S23" s="48">
        <v>1.3285</v>
      </c>
    </row>
    <row r="24" spans="2:19" x14ac:dyDescent="0.2">
      <c r="B24" s="47">
        <v>44158</v>
      </c>
      <c r="C24" s="46">
        <v>18820</v>
      </c>
      <c r="D24" s="45">
        <v>18820</v>
      </c>
      <c r="E24" s="44">
        <f t="shared" si="0"/>
        <v>18820</v>
      </c>
      <c r="F24" s="46">
        <v>18790</v>
      </c>
      <c r="G24" s="45">
        <v>18790</v>
      </c>
      <c r="H24" s="44">
        <f t="shared" si="1"/>
        <v>18790</v>
      </c>
      <c r="I24" s="46">
        <v>18625</v>
      </c>
      <c r="J24" s="45">
        <v>18625</v>
      </c>
      <c r="K24" s="44">
        <f t="shared" si="2"/>
        <v>18625</v>
      </c>
      <c r="L24" s="52">
        <v>18820</v>
      </c>
      <c r="M24" s="51">
        <v>1.3392999999999999</v>
      </c>
      <c r="N24" s="51">
        <v>1.1902999999999999</v>
      </c>
      <c r="O24" s="50">
        <v>103.73</v>
      </c>
      <c r="P24" s="43">
        <v>14052.12</v>
      </c>
      <c r="Q24" s="43">
        <v>14019.25</v>
      </c>
      <c r="R24" s="49">
        <f t="shared" si="3"/>
        <v>15811.140048727213</v>
      </c>
      <c r="S24" s="48">
        <v>1.3403</v>
      </c>
    </row>
    <row r="25" spans="2:19" x14ac:dyDescent="0.2">
      <c r="B25" s="47">
        <v>44159</v>
      </c>
      <c r="C25" s="46">
        <v>18681</v>
      </c>
      <c r="D25" s="45">
        <v>18681</v>
      </c>
      <c r="E25" s="44">
        <f t="shared" si="0"/>
        <v>18681</v>
      </c>
      <c r="F25" s="46">
        <v>18688</v>
      </c>
      <c r="G25" s="45">
        <v>18688</v>
      </c>
      <c r="H25" s="44">
        <f t="shared" si="1"/>
        <v>18688</v>
      </c>
      <c r="I25" s="46">
        <v>18524</v>
      </c>
      <c r="J25" s="45">
        <v>18524</v>
      </c>
      <c r="K25" s="44">
        <f t="shared" si="2"/>
        <v>18524</v>
      </c>
      <c r="L25" s="52">
        <v>18681</v>
      </c>
      <c r="M25" s="51">
        <v>1.3324</v>
      </c>
      <c r="N25" s="51">
        <v>1.1869000000000001</v>
      </c>
      <c r="O25" s="50">
        <v>104.53</v>
      </c>
      <c r="P25" s="43">
        <v>14020.56</v>
      </c>
      <c r="Q25" s="43">
        <v>14015.3</v>
      </c>
      <c r="R25" s="49">
        <f t="shared" si="3"/>
        <v>15739.32092004381</v>
      </c>
      <c r="S25" s="48">
        <v>1.3333999999999999</v>
      </c>
    </row>
    <row r="26" spans="2:19" x14ac:dyDescent="0.2">
      <c r="B26" s="47">
        <v>44160</v>
      </c>
      <c r="C26" s="46">
        <v>18790</v>
      </c>
      <c r="D26" s="45">
        <v>18790</v>
      </c>
      <c r="E26" s="44">
        <f t="shared" si="0"/>
        <v>18790</v>
      </c>
      <c r="F26" s="46">
        <v>18750</v>
      </c>
      <c r="G26" s="45">
        <v>18750</v>
      </c>
      <c r="H26" s="44">
        <f t="shared" si="1"/>
        <v>18750</v>
      </c>
      <c r="I26" s="46">
        <v>18566</v>
      </c>
      <c r="J26" s="45">
        <v>18566</v>
      </c>
      <c r="K26" s="44">
        <f t="shared" si="2"/>
        <v>18566</v>
      </c>
      <c r="L26" s="52">
        <v>18790</v>
      </c>
      <c r="M26" s="51">
        <v>1.3349</v>
      </c>
      <c r="N26" s="51">
        <v>1.1895</v>
      </c>
      <c r="O26" s="50">
        <v>104.41</v>
      </c>
      <c r="P26" s="43">
        <v>14075.96</v>
      </c>
      <c r="Q26" s="43">
        <v>14035.48</v>
      </c>
      <c r="R26" s="49">
        <f t="shared" si="3"/>
        <v>15796.553173602353</v>
      </c>
      <c r="S26" s="48">
        <v>1.3359000000000001</v>
      </c>
    </row>
    <row r="27" spans="2:19" x14ac:dyDescent="0.2">
      <c r="B27" s="47">
        <v>44161</v>
      </c>
      <c r="C27" s="46">
        <v>18825</v>
      </c>
      <c r="D27" s="45">
        <v>18825</v>
      </c>
      <c r="E27" s="44">
        <f t="shared" si="0"/>
        <v>18825</v>
      </c>
      <c r="F27" s="46">
        <v>18780</v>
      </c>
      <c r="G27" s="45">
        <v>18780</v>
      </c>
      <c r="H27" s="44">
        <f t="shared" si="1"/>
        <v>18780</v>
      </c>
      <c r="I27" s="46">
        <v>18579</v>
      </c>
      <c r="J27" s="45">
        <v>18579</v>
      </c>
      <c r="K27" s="44">
        <f t="shared" si="2"/>
        <v>18579</v>
      </c>
      <c r="L27" s="52">
        <v>18825</v>
      </c>
      <c r="M27" s="51">
        <v>1.3348</v>
      </c>
      <c r="N27" s="51">
        <v>1.1896</v>
      </c>
      <c r="O27" s="50">
        <v>104.26</v>
      </c>
      <c r="P27" s="43">
        <v>14103.24</v>
      </c>
      <c r="Q27" s="43">
        <v>14058.99</v>
      </c>
      <c r="R27" s="49">
        <f t="shared" si="3"/>
        <v>15824.64694014795</v>
      </c>
      <c r="S27" s="48">
        <v>1.3358000000000001</v>
      </c>
    </row>
    <row r="28" spans="2:19" x14ac:dyDescent="0.2">
      <c r="B28" s="47">
        <v>44162</v>
      </c>
      <c r="C28" s="46">
        <v>19120</v>
      </c>
      <c r="D28" s="45">
        <v>19120</v>
      </c>
      <c r="E28" s="44">
        <f t="shared" si="0"/>
        <v>19120</v>
      </c>
      <c r="F28" s="46">
        <v>19090</v>
      </c>
      <c r="G28" s="45">
        <v>19090</v>
      </c>
      <c r="H28" s="44">
        <f t="shared" si="1"/>
        <v>19090</v>
      </c>
      <c r="I28" s="46">
        <v>18892</v>
      </c>
      <c r="J28" s="45">
        <v>18892</v>
      </c>
      <c r="K28" s="44">
        <f t="shared" si="2"/>
        <v>18892</v>
      </c>
      <c r="L28" s="52">
        <v>19120</v>
      </c>
      <c r="M28" s="51">
        <v>1.3329</v>
      </c>
      <c r="N28" s="51">
        <v>1.1924999999999999</v>
      </c>
      <c r="O28" s="50">
        <v>104.16</v>
      </c>
      <c r="P28" s="43">
        <v>14344.66</v>
      </c>
      <c r="Q28" s="43">
        <v>14310.34</v>
      </c>
      <c r="R28" s="49">
        <f t="shared" si="3"/>
        <v>16033.542976939205</v>
      </c>
      <c r="S28" s="48">
        <v>1.3340000000000001</v>
      </c>
    </row>
    <row r="29" spans="2:19" x14ac:dyDescent="0.2">
      <c r="B29" s="47">
        <v>44165</v>
      </c>
      <c r="C29" s="46">
        <v>18980</v>
      </c>
      <c r="D29" s="45">
        <v>18980</v>
      </c>
      <c r="E29" s="44">
        <f t="shared" si="0"/>
        <v>18980</v>
      </c>
      <c r="F29" s="46">
        <v>18965</v>
      </c>
      <c r="G29" s="45">
        <v>18965</v>
      </c>
      <c r="H29" s="44">
        <f t="shared" si="1"/>
        <v>18965</v>
      </c>
      <c r="I29" s="46">
        <v>18782</v>
      </c>
      <c r="J29" s="45">
        <v>18782</v>
      </c>
      <c r="K29" s="44">
        <f t="shared" si="2"/>
        <v>18782</v>
      </c>
      <c r="L29" s="52">
        <v>18980</v>
      </c>
      <c r="M29" s="51">
        <v>1.3327</v>
      </c>
      <c r="N29" s="51">
        <v>1.1976</v>
      </c>
      <c r="O29" s="50">
        <v>104.13</v>
      </c>
      <c r="P29" s="43">
        <v>14241.76</v>
      </c>
      <c r="Q29" s="43">
        <v>14217.71</v>
      </c>
      <c r="R29" s="49">
        <f t="shared" si="3"/>
        <v>15848.363393453574</v>
      </c>
      <c r="S29" s="48">
        <v>1.3339000000000001</v>
      </c>
    </row>
    <row r="30" spans="2:19" s="10" customFormat="1" x14ac:dyDescent="0.2">
      <c r="B30" s="42" t="s">
        <v>11</v>
      </c>
      <c r="C30" s="41">
        <f>ROUND(AVERAGE(C9:C29),2)</f>
        <v>18567.900000000001</v>
      </c>
      <c r="D30" s="40">
        <f>ROUND(AVERAGE(D9:D29),2)</f>
        <v>18567.900000000001</v>
      </c>
      <c r="E30" s="39">
        <f>ROUND(AVERAGE(C30:D30),2)</f>
        <v>18567.900000000001</v>
      </c>
      <c r="F30" s="41">
        <f>ROUND(AVERAGE(F9:F29),2)</f>
        <v>18538.71</v>
      </c>
      <c r="G30" s="40">
        <f>ROUND(AVERAGE(G9:G29),2)</f>
        <v>18538.71</v>
      </c>
      <c r="H30" s="39">
        <f>ROUND(AVERAGE(F30:G30),2)</f>
        <v>18538.71</v>
      </c>
      <c r="I30" s="41">
        <f>ROUND(AVERAGE(I9:I29),2)</f>
        <v>18386.099999999999</v>
      </c>
      <c r="J30" s="40">
        <f>ROUND(AVERAGE(J9:J29),2)</f>
        <v>18386.099999999999</v>
      </c>
      <c r="K30" s="39">
        <f>ROUND(AVERAGE(I30:J30),2)</f>
        <v>18386.099999999999</v>
      </c>
      <c r="L30" s="38">
        <f>ROUND(AVERAGE(L9:L29),2)</f>
        <v>18567.900000000001</v>
      </c>
      <c r="M30" s="37">
        <f>ROUND(AVERAGE(M9:M29),4)</f>
        <v>1.3209</v>
      </c>
      <c r="N30" s="36">
        <f>ROUND(AVERAGE(N9:N29),4)</f>
        <v>1.1839999999999999</v>
      </c>
      <c r="O30" s="175">
        <f>ROUND(AVERAGE(O9:O29),2)</f>
        <v>104.43</v>
      </c>
      <c r="P30" s="35">
        <f>AVERAGE(P9:P29)</f>
        <v>14055.685714285715</v>
      </c>
      <c r="Q30" s="35">
        <f>AVERAGE(Q9:Q29)</f>
        <v>14023.459523809528</v>
      </c>
      <c r="R30" s="35">
        <f>AVERAGE(R9:R29)</f>
        <v>15681.798570961775</v>
      </c>
      <c r="S30" s="34">
        <f>AVERAGE(S9:S29)</f>
        <v>1.3218952380952382</v>
      </c>
    </row>
    <row r="31" spans="2:19" s="5" customFormat="1" x14ac:dyDescent="0.2">
      <c r="B31" s="33" t="s">
        <v>12</v>
      </c>
      <c r="C31" s="32">
        <f t="shared" ref="C31:S31" si="4">MAX(C9:C29)</f>
        <v>19120</v>
      </c>
      <c r="D31" s="31">
        <f t="shared" si="4"/>
        <v>19120</v>
      </c>
      <c r="E31" s="30">
        <f t="shared" si="4"/>
        <v>19120</v>
      </c>
      <c r="F31" s="32">
        <f t="shared" si="4"/>
        <v>19090</v>
      </c>
      <c r="G31" s="31">
        <f t="shared" si="4"/>
        <v>19090</v>
      </c>
      <c r="H31" s="30">
        <f t="shared" si="4"/>
        <v>19090</v>
      </c>
      <c r="I31" s="32">
        <f t="shared" si="4"/>
        <v>18895</v>
      </c>
      <c r="J31" s="31">
        <f t="shared" si="4"/>
        <v>18895</v>
      </c>
      <c r="K31" s="30">
        <f t="shared" si="4"/>
        <v>18895</v>
      </c>
      <c r="L31" s="29">
        <f t="shared" si="4"/>
        <v>19120</v>
      </c>
      <c r="M31" s="28">
        <f t="shared" si="4"/>
        <v>1.3392999999999999</v>
      </c>
      <c r="N31" s="27">
        <f t="shared" si="4"/>
        <v>1.1976</v>
      </c>
      <c r="O31" s="26">
        <f t="shared" si="4"/>
        <v>105.5</v>
      </c>
      <c r="P31" s="25">
        <f t="shared" si="4"/>
        <v>14366.95</v>
      </c>
      <c r="Q31" s="25">
        <f t="shared" si="4"/>
        <v>14333.56</v>
      </c>
      <c r="R31" s="25">
        <f t="shared" si="4"/>
        <v>16071.27811947089</v>
      </c>
      <c r="S31" s="24">
        <f t="shared" si="4"/>
        <v>1.3403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17755</v>
      </c>
      <c r="D32" s="21">
        <f t="shared" si="5"/>
        <v>17755</v>
      </c>
      <c r="E32" s="20">
        <f t="shared" si="5"/>
        <v>17755</v>
      </c>
      <c r="F32" s="22">
        <f t="shared" si="5"/>
        <v>17725</v>
      </c>
      <c r="G32" s="21">
        <f t="shared" si="5"/>
        <v>17725</v>
      </c>
      <c r="H32" s="20">
        <f t="shared" si="5"/>
        <v>17725</v>
      </c>
      <c r="I32" s="22">
        <f t="shared" si="5"/>
        <v>17598</v>
      </c>
      <c r="J32" s="21">
        <f t="shared" si="5"/>
        <v>17598</v>
      </c>
      <c r="K32" s="20">
        <f t="shared" si="5"/>
        <v>17598</v>
      </c>
      <c r="L32" s="19">
        <f t="shared" si="5"/>
        <v>17755</v>
      </c>
      <c r="M32" s="18">
        <f t="shared" si="5"/>
        <v>1.2926</v>
      </c>
      <c r="N32" s="17">
        <f t="shared" si="5"/>
        <v>1.1646000000000001</v>
      </c>
      <c r="O32" s="16">
        <f t="shared" si="5"/>
        <v>103.35</v>
      </c>
      <c r="P32" s="15">
        <f t="shared" si="5"/>
        <v>13735.88</v>
      </c>
      <c r="Q32" s="15">
        <f t="shared" si="5"/>
        <v>13703.13</v>
      </c>
      <c r="R32" s="15">
        <f t="shared" si="5"/>
        <v>15245.577880817447</v>
      </c>
      <c r="S32" s="14">
        <f t="shared" si="5"/>
        <v>1.2935000000000001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44137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44137</v>
      </c>
      <c r="C9" s="46">
        <v>15113</v>
      </c>
      <c r="D9" s="45">
        <v>15113</v>
      </c>
      <c r="E9" s="44">
        <f t="shared" ref="E9:E29" si="0">AVERAGE(C9:D9)</f>
        <v>15113</v>
      </c>
      <c r="F9" s="46">
        <v>15148</v>
      </c>
      <c r="G9" s="45">
        <v>15148</v>
      </c>
      <c r="H9" s="44">
        <f t="shared" ref="H9:H29" si="1">AVERAGE(F9:G9)</f>
        <v>15148</v>
      </c>
      <c r="I9" s="46">
        <v>15311</v>
      </c>
      <c r="J9" s="45">
        <v>15311</v>
      </c>
      <c r="K9" s="44">
        <f t="shared" ref="K9:K29" si="2">AVERAGE(I9:J9)</f>
        <v>15311</v>
      </c>
      <c r="L9" s="46">
        <v>15493</v>
      </c>
      <c r="M9" s="45">
        <v>15493</v>
      </c>
      <c r="N9" s="44">
        <f t="shared" ref="N9:N29" si="3">AVERAGE(L9:M9)</f>
        <v>15493</v>
      </c>
      <c r="O9" s="46">
        <v>15703</v>
      </c>
      <c r="P9" s="45">
        <v>15703</v>
      </c>
      <c r="Q9" s="44">
        <f t="shared" ref="Q9:Q29" si="4">AVERAGE(O9:P9)</f>
        <v>15703</v>
      </c>
      <c r="R9" s="52">
        <v>15113</v>
      </c>
      <c r="S9" s="51">
        <v>1.2926</v>
      </c>
      <c r="T9" s="53">
        <v>1.1646000000000001</v>
      </c>
      <c r="U9" s="50">
        <v>104.67</v>
      </c>
      <c r="V9" s="43">
        <v>11691.94</v>
      </c>
      <c r="W9" s="43">
        <v>11710.86</v>
      </c>
      <c r="X9" s="49">
        <f t="shared" ref="X9:X29" si="5">R9/T9</f>
        <v>12976.987806972351</v>
      </c>
      <c r="Y9" s="48">
        <v>1.2935000000000001</v>
      </c>
    </row>
    <row r="10" spans="1:25" x14ac:dyDescent="0.2">
      <c r="B10" s="47">
        <v>44138</v>
      </c>
      <c r="C10" s="46">
        <v>15365</v>
      </c>
      <c r="D10" s="45">
        <v>15365</v>
      </c>
      <c r="E10" s="44">
        <f t="shared" si="0"/>
        <v>15365</v>
      </c>
      <c r="F10" s="46">
        <v>15384</v>
      </c>
      <c r="G10" s="45">
        <v>15384</v>
      </c>
      <c r="H10" s="44">
        <f t="shared" si="1"/>
        <v>15384</v>
      </c>
      <c r="I10" s="46">
        <v>15543</v>
      </c>
      <c r="J10" s="45">
        <v>15543</v>
      </c>
      <c r="K10" s="44">
        <f t="shared" si="2"/>
        <v>15543</v>
      </c>
      <c r="L10" s="46">
        <v>15725</v>
      </c>
      <c r="M10" s="45">
        <v>15725</v>
      </c>
      <c r="N10" s="44">
        <f t="shared" si="3"/>
        <v>15725</v>
      </c>
      <c r="O10" s="46">
        <v>15925</v>
      </c>
      <c r="P10" s="45">
        <v>15925</v>
      </c>
      <c r="Q10" s="44">
        <f t="shared" si="4"/>
        <v>15925</v>
      </c>
      <c r="R10" s="52">
        <v>15365</v>
      </c>
      <c r="S10" s="51">
        <v>1.2987</v>
      </c>
      <c r="T10" s="51">
        <v>1.1698999999999999</v>
      </c>
      <c r="U10" s="50">
        <v>104.69</v>
      </c>
      <c r="V10" s="43">
        <v>11831.06</v>
      </c>
      <c r="W10" s="43">
        <v>11837.49</v>
      </c>
      <c r="X10" s="49">
        <f t="shared" si="5"/>
        <v>13133.601162492521</v>
      </c>
      <c r="Y10" s="48">
        <v>1.2996000000000001</v>
      </c>
    </row>
    <row r="11" spans="1:25" x14ac:dyDescent="0.2">
      <c r="B11" s="47">
        <v>44139</v>
      </c>
      <c r="C11" s="46">
        <v>15391</v>
      </c>
      <c r="D11" s="45">
        <v>15391</v>
      </c>
      <c r="E11" s="44">
        <f t="shared" si="0"/>
        <v>15391</v>
      </c>
      <c r="F11" s="46">
        <v>15422</v>
      </c>
      <c r="G11" s="45">
        <v>15422</v>
      </c>
      <c r="H11" s="44">
        <f t="shared" si="1"/>
        <v>15422</v>
      </c>
      <c r="I11" s="46">
        <v>15574</v>
      </c>
      <c r="J11" s="45">
        <v>15574</v>
      </c>
      <c r="K11" s="44">
        <f t="shared" si="2"/>
        <v>15574</v>
      </c>
      <c r="L11" s="46">
        <v>15753</v>
      </c>
      <c r="M11" s="45">
        <v>15753</v>
      </c>
      <c r="N11" s="44">
        <f t="shared" si="3"/>
        <v>15753</v>
      </c>
      <c r="O11" s="46">
        <v>15943</v>
      </c>
      <c r="P11" s="45">
        <v>15943</v>
      </c>
      <c r="Q11" s="44">
        <f t="shared" si="4"/>
        <v>15943</v>
      </c>
      <c r="R11" s="52">
        <v>15391</v>
      </c>
      <c r="S11" s="51">
        <v>1.3041</v>
      </c>
      <c r="T11" s="51">
        <v>1.1718999999999999</v>
      </c>
      <c r="U11" s="50">
        <v>104.38</v>
      </c>
      <c r="V11" s="43">
        <v>11802.01</v>
      </c>
      <c r="W11" s="43">
        <v>11817.62</v>
      </c>
      <c r="X11" s="49">
        <f t="shared" si="5"/>
        <v>13133.373154706034</v>
      </c>
      <c r="Y11" s="48">
        <v>1.3049999999999999</v>
      </c>
    </row>
    <row r="12" spans="1:25" x14ac:dyDescent="0.2">
      <c r="B12" s="47">
        <v>44140</v>
      </c>
      <c r="C12" s="46">
        <v>15450</v>
      </c>
      <c r="D12" s="45">
        <v>15450</v>
      </c>
      <c r="E12" s="44">
        <f t="shared" si="0"/>
        <v>15450</v>
      </c>
      <c r="F12" s="46">
        <v>15506</v>
      </c>
      <c r="G12" s="45">
        <v>15506</v>
      </c>
      <c r="H12" s="44">
        <f t="shared" si="1"/>
        <v>15506</v>
      </c>
      <c r="I12" s="46">
        <v>15661</v>
      </c>
      <c r="J12" s="45">
        <v>15661</v>
      </c>
      <c r="K12" s="44">
        <f t="shared" si="2"/>
        <v>15661</v>
      </c>
      <c r="L12" s="46">
        <v>15841</v>
      </c>
      <c r="M12" s="45">
        <v>15841</v>
      </c>
      <c r="N12" s="44">
        <f t="shared" si="3"/>
        <v>15841</v>
      </c>
      <c r="O12" s="46">
        <v>16031</v>
      </c>
      <c r="P12" s="45">
        <v>16031</v>
      </c>
      <c r="Q12" s="44">
        <f t="shared" si="4"/>
        <v>16031</v>
      </c>
      <c r="R12" s="52">
        <v>15450</v>
      </c>
      <c r="S12" s="51">
        <v>1.3084</v>
      </c>
      <c r="T12" s="51">
        <v>1.1845000000000001</v>
      </c>
      <c r="U12" s="50">
        <v>103.81</v>
      </c>
      <c r="V12" s="43">
        <v>11808.32</v>
      </c>
      <c r="W12" s="43">
        <v>11843.87</v>
      </c>
      <c r="X12" s="49">
        <f t="shared" si="5"/>
        <v>13043.478260869564</v>
      </c>
      <c r="Y12" s="48">
        <v>1.3091999999999999</v>
      </c>
    </row>
    <row r="13" spans="1:25" x14ac:dyDescent="0.2">
      <c r="B13" s="47">
        <v>44141</v>
      </c>
      <c r="C13" s="46">
        <v>15532</v>
      </c>
      <c r="D13" s="45">
        <v>15532</v>
      </c>
      <c r="E13" s="44">
        <f t="shared" si="0"/>
        <v>15532</v>
      </c>
      <c r="F13" s="46">
        <v>15564</v>
      </c>
      <c r="G13" s="45">
        <v>15564</v>
      </c>
      <c r="H13" s="44">
        <f t="shared" si="1"/>
        <v>15564</v>
      </c>
      <c r="I13" s="46">
        <v>15713</v>
      </c>
      <c r="J13" s="45">
        <v>15713</v>
      </c>
      <c r="K13" s="44">
        <f t="shared" si="2"/>
        <v>15713</v>
      </c>
      <c r="L13" s="46">
        <v>15893</v>
      </c>
      <c r="M13" s="45">
        <v>15893</v>
      </c>
      <c r="N13" s="44">
        <f t="shared" si="3"/>
        <v>15893</v>
      </c>
      <c r="O13" s="46">
        <v>16083</v>
      </c>
      <c r="P13" s="45">
        <v>16083</v>
      </c>
      <c r="Q13" s="44">
        <f t="shared" si="4"/>
        <v>16083</v>
      </c>
      <c r="R13" s="52">
        <v>15532</v>
      </c>
      <c r="S13" s="51">
        <v>1.3120000000000001</v>
      </c>
      <c r="T13" s="51">
        <v>1.1875</v>
      </c>
      <c r="U13" s="50">
        <v>103.35</v>
      </c>
      <c r="V13" s="43">
        <v>11838.41</v>
      </c>
      <c r="W13" s="43">
        <v>11855.58</v>
      </c>
      <c r="X13" s="49">
        <f t="shared" si="5"/>
        <v>13079.578947368422</v>
      </c>
      <c r="Y13" s="48">
        <v>1.3128</v>
      </c>
    </row>
    <row r="14" spans="1:25" x14ac:dyDescent="0.2">
      <c r="B14" s="47">
        <v>44144</v>
      </c>
      <c r="C14" s="46">
        <v>15862</v>
      </c>
      <c r="D14" s="45">
        <v>15862</v>
      </c>
      <c r="E14" s="44">
        <f t="shared" si="0"/>
        <v>15862</v>
      </c>
      <c r="F14" s="46">
        <v>15917</v>
      </c>
      <c r="G14" s="45">
        <v>15917</v>
      </c>
      <c r="H14" s="44">
        <f t="shared" si="1"/>
        <v>15917</v>
      </c>
      <c r="I14" s="46">
        <v>16056</v>
      </c>
      <c r="J14" s="45">
        <v>16056</v>
      </c>
      <c r="K14" s="44">
        <f t="shared" si="2"/>
        <v>16056</v>
      </c>
      <c r="L14" s="46">
        <v>16235</v>
      </c>
      <c r="M14" s="45">
        <v>16235</v>
      </c>
      <c r="N14" s="44">
        <f t="shared" si="3"/>
        <v>16235</v>
      </c>
      <c r="O14" s="46">
        <v>16425</v>
      </c>
      <c r="P14" s="45">
        <v>16425</v>
      </c>
      <c r="Q14" s="44">
        <f t="shared" si="4"/>
        <v>16425</v>
      </c>
      <c r="R14" s="52">
        <v>15862</v>
      </c>
      <c r="S14" s="51">
        <v>1.3169999999999999</v>
      </c>
      <c r="T14" s="51">
        <v>1.1894</v>
      </c>
      <c r="U14" s="50">
        <v>104.97</v>
      </c>
      <c r="V14" s="43">
        <v>12044.04</v>
      </c>
      <c r="W14" s="43">
        <v>12078.46</v>
      </c>
      <c r="X14" s="49">
        <f t="shared" si="5"/>
        <v>13336.135866823608</v>
      </c>
      <c r="Y14" s="48">
        <v>1.3178000000000001</v>
      </c>
    </row>
    <row r="15" spans="1:25" x14ac:dyDescent="0.2">
      <c r="B15" s="47">
        <v>44145</v>
      </c>
      <c r="C15" s="46">
        <v>15700</v>
      </c>
      <c r="D15" s="45">
        <v>15700</v>
      </c>
      <c r="E15" s="44">
        <f t="shared" si="0"/>
        <v>15700</v>
      </c>
      <c r="F15" s="46">
        <v>15753</v>
      </c>
      <c r="G15" s="45">
        <v>15753</v>
      </c>
      <c r="H15" s="44">
        <f t="shared" si="1"/>
        <v>15753</v>
      </c>
      <c r="I15" s="46">
        <v>15897</v>
      </c>
      <c r="J15" s="45">
        <v>15897</v>
      </c>
      <c r="K15" s="44">
        <f t="shared" si="2"/>
        <v>15897</v>
      </c>
      <c r="L15" s="46">
        <v>16083</v>
      </c>
      <c r="M15" s="45">
        <v>16083</v>
      </c>
      <c r="N15" s="44">
        <f t="shared" si="3"/>
        <v>16083</v>
      </c>
      <c r="O15" s="46">
        <v>16268</v>
      </c>
      <c r="P15" s="45">
        <v>16268</v>
      </c>
      <c r="Q15" s="44">
        <f t="shared" si="4"/>
        <v>16268</v>
      </c>
      <c r="R15" s="52">
        <v>15700</v>
      </c>
      <c r="S15" s="51">
        <v>1.3250999999999999</v>
      </c>
      <c r="T15" s="51">
        <v>1.181</v>
      </c>
      <c r="U15" s="50">
        <v>105.29</v>
      </c>
      <c r="V15" s="43">
        <v>11848.16</v>
      </c>
      <c r="W15" s="43">
        <v>11880.09</v>
      </c>
      <c r="X15" s="49">
        <f t="shared" si="5"/>
        <v>13293.818797629126</v>
      </c>
      <c r="Y15" s="48">
        <v>1.3260000000000001</v>
      </c>
    </row>
    <row r="16" spans="1:25" x14ac:dyDescent="0.2">
      <c r="B16" s="47">
        <v>44146</v>
      </c>
      <c r="C16" s="46">
        <v>15807</v>
      </c>
      <c r="D16" s="45">
        <v>15807</v>
      </c>
      <c r="E16" s="44">
        <f t="shared" si="0"/>
        <v>15807</v>
      </c>
      <c r="F16" s="46">
        <v>15836</v>
      </c>
      <c r="G16" s="45">
        <v>15836</v>
      </c>
      <c r="H16" s="44">
        <f t="shared" si="1"/>
        <v>15836</v>
      </c>
      <c r="I16" s="46">
        <v>15978</v>
      </c>
      <c r="J16" s="45">
        <v>15978</v>
      </c>
      <c r="K16" s="44">
        <f t="shared" si="2"/>
        <v>15978</v>
      </c>
      <c r="L16" s="46">
        <v>16160</v>
      </c>
      <c r="M16" s="45">
        <v>16160</v>
      </c>
      <c r="N16" s="44">
        <f t="shared" si="3"/>
        <v>16160</v>
      </c>
      <c r="O16" s="46">
        <v>16345</v>
      </c>
      <c r="P16" s="45">
        <v>16345</v>
      </c>
      <c r="Q16" s="44">
        <f t="shared" si="4"/>
        <v>16345</v>
      </c>
      <c r="R16" s="52">
        <v>15807</v>
      </c>
      <c r="S16" s="51">
        <v>1.3227</v>
      </c>
      <c r="T16" s="51">
        <v>1.1774</v>
      </c>
      <c r="U16" s="50">
        <v>105.5</v>
      </c>
      <c r="V16" s="43">
        <v>11950.56</v>
      </c>
      <c r="W16" s="43">
        <v>11964.34</v>
      </c>
      <c r="X16" s="49">
        <f t="shared" si="5"/>
        <v>13425.343978257177</v>
      </c>
      <c r="Y16" s="48">
        <v>1.3236000000000001</v>
      </c>
    </row>
    <row r="17" spans="2:25" x14ac:dyDescent="0.2">
      <c r="B17" s="47">
        <v>44147</v>
      </c>
      <c r="C17" s="46">
        <v>15874</v>
      </c>
      <c r="D17" s="45">
        <v>15874</v>
      </c>
      <c r="E17" s="44">
        <f t="shared" si="0"/>
        <v>15874</v>
      </c>
      <c r="F17" s="46">
        <v>15922</v>
      </c>
      <c r="G17" s="45">
        <v>15922</v>
      </c>
      <c r="H17" s="44">
        <f t="shared" si="1"/>
        <v>15922</v>
      </c>
      <c r="I17" s="46">
        <v>16058</v>
      </c>
      <c r="J17" s="45">
        <v>16058</v>
      </c>
      <c r="K17" s="44">
        <f t="shared" si="2"/>
        <v>16058</v>
      </c>
      <c r="L17" s="46">
        <v>16238</v>
      </c>
      <c r="M17" s="45">
        <v>16238</v>
      </c>
      <c r="N17" s="44">
        <f t="shared" si="3"/>
        <v>16238</v>
      </c>
      <c r="O17" s="46">
        <v>16423</v>
      </c>
      <c r="P17" s="45">
        <v>16423</v>
      </c>
      <c r="Q17" s="44">
        <f t="shared" si="4"/>
        <v>16423</v>
      </c>
      <c r="R17" s="52">
        <v>15874</v>
      </c>
      <c r="S17" s="51">
        <v>1.3142</v>
      </c>
      <c r="T17" s="51">
        <v>1.1798</v>
      </c>
      <c r="U17" s="50">
        <v>105.34</v>
      </c>
      <c r="V17" s="43">
        <v>12078.83</v>
      </c>
      <c r="W17" s="43">
        <v>12107.06</v>
      </c>
      <c r="X17" s="49">
        <f t="shared" si="5"/>
        <v>13454.822851330735</v>
      </c>
      <c r="Y17" s="48">
        <v>1.3150999999999999</v>
      </c>
    </row>
    <row r="18" spans="2:25" x14ac:dyDescent="0.2">
      <c r="B18" s="47">
        <v>44148</v>
      </c>
      <c r="C18" s="46">
        <v>15815</v>
      </c>
      <c r="D18" s="45">
        <v>15815</v>
      </c>
      <c r="E18" s="44">
        <f t="shared" si="0"/>
        <v>15815</v>
      </c>
      <c r="F18" s="46">
        <v>15845</v>
      </c>
      <c r="G18" s="45">
        <v>15845</v>
      </c>
      <c r="H18" s="44">
        <f t="shared" si="1"/>
        <v>15845</v>
      </c>
      <c r="I18" s="46">
        <v>15976</v>
      </c>
      <c r="J18" s="45">
        <v>15976</v>
      </c>
      <c r="K18" s="44">
        <f t="shared" si="2"/>
        <v>15976</v>
      </c>
      <c r="L18" s="46">
        <v>16156</v>
      </c>
      <c r="M18" s="45">
        <v>16156</v>
      </c>
      <c r="N18" s="44">
        <f t="shared" si="3"/>
        <v>16156</v>
      </c>
      <c r="O18" s="46">
        <v>16341</v>
      </c>
      <c r="P18" s="45">
        <v>16341</v>
      </c>
      <c r="Q18" s="44">
        <f t="shared" si="4"/>
        <v>16341</v>
      </c>
      <c r="R18" s="52">
        <v>15815</v>
      </c>
      <c r="S18" s="51">
        <v>1.3165</v>
      </c>
      <c r="T18" s="51">
        <v>1.1816</v>
      </c>
      <c r="U18" s="50">
        <v>104.88</v>
      </c>
      <c r="V18" s="43">
        <v>12012.91</v>
      </c>
      <c r="W18" s="43">
        <v>12026.57</v>
      </c>
      <c r="X18" s="49">
        <f t="shared" si="5"/>
        <v>13384.394041976981</v>
      </c>
      <c r="Y18" s="48">
        <v>1.3174999999999999</v>
      </c>
    </row>
    <row r="19" spans="2:25" x14ac:dyDescent="0.2">
      <c r="B19" s="47">
        <v>44151</v>
      </c>
      <c r="C19" s="46">
        <v>16030</v>
      </c>
      <c r="D19" s="45">
        <v>16030</v>
      </c>
      <c r="E19" s="44">
        <f t="shared" si="0"/>
        <v>16030</v>
      </c>
      <c r="F19" s="46">
        <v>16083</v>
      </c>
      <c r="G19" s="45">
        <v>16083</v>
      </c>
      <c r="H19" s="44">
        <f t="shared" si="1"/>
        <v>16083</v>
      </c>
      <c r="I19" s="46">
        <v>16214</v>
      </c>
      <c r="J19" s="45">
        <v>16214</v>
      </c>
      <c r="K19" s="44">
        <f t="shared" si="2"/>
        <v>16214</v>
      </c>
      <c r="L19" s="46">
        <v>16391</v>
      </c>
      <c r="M19" s="45">
        <v>16391</v>
      </c>
      <c r="N19" s="44">
        <f t="shared" si="3"/>
        <v>16391</v>
      </c>
      <c r="O19" s="46">
        <v>16571</v>
      </c>
      <c r="P19" s="45">
        <v>16571</v>
      </c>
      <c r="Q19" s="44">
        <f t="shared" si="4"/>
        <v>16571</v>
      </c>
      <c r="R19" s="52">
        <v>16030</v>
      </c>
      <c r="S19" s="51">
        <v>1.3169999999999999</v>
      </c>
      <c r="T19" s="51">
        <v>1.1834</v>
      </c>
      <c r="U19" s="50">
        <v>104.91</v>
      </c>
      <c r="V19" s="43">
        <v>12171.6</v>
      </c>
      <c r="W19" s="43">
        <v>12202.58</v>
      </c>
      <c r="X19" s="49">
        <f t="shared" si="5"/>
        <v>13545.715734324827</v>
      </c>
      <c r="Y19" s="48">
        <v>1.3180000000000001</v>
      </c>
    </row>
    <row r="20" spans="2:25" x14ac:dyDescent="0.2">
      <c r="B20" s="47">
        <v>44152</v>
      </c>
      <c r="C20" s="46">
        <v>15703</v>
      </c>
      <c r="D20" s="45">
        <v>15703</v>
      </c>
      <c r="E20" s="44">
        <f t="shared" si="0"/>
        <v>15703</v>
      </c>
      <c r="F20" s="46">
        <v>15750</v>
      </c>
      <c r="G20" s="45">
        <v>15750</v>
      </c>
      <c r="H20" s="44">
        <f t="shared" si="1"/>
        <v>15750</v>
      </c>
      <c r="I20" s="46">
        <v>15881</v>
      </c>
      <c r="J20" s="45">
        <v>15881</v>
      </c>
      <c r="K20" s="44">
        <f t="shared" si="2"/>
        <v>15881</v>
      </c>
      <c r="L20" s="46">
        <v>16053</v>
      </c>
      <c r="M20" s="45">
        <v>16053</v>
      </c>
      <c r="N20" s="44">
        <f t="shared" si="3"/>
        <v>16053</v>
      </c>
      <c r="O20" s="46">
        <v>16228</v>
      </c>
      <c r="P20" s="45">
        <v>16228</v>
      </c>
      <c r="Q20" s="44">
        <f t="shared" si="4"/>
        <v>16228</v>
      </c>
      <c r="R20" s="52">
        <v>15703</v>
      </c>
      <c r="S20" s="51">
        <v>1.3259000000000001</v>
      </c>
      <c r="T20" s="51">
        <v>1.1880999999999999</v>
      </c>
      <c r="U20" s="50">
        <v>104.24</v>
      </c>
      <c r="V20" s="43">
        <v>11843.28</v>
      </c>
      <c r="W20" s="43">
        <v>11869.77</v>
      </c>
      <c r="X20" s="49">
        <f t="shared" si="5"/>
        <v>13216.900934264793</v>
      </c>
      <c r="Y20" s="48">
        <v>1.3269</v>
      </c>
    </row>
    <row r="21" spans="2:25" x14ac:dyDescent="0.2">
      <c r="B21" s="47">
        <v>44153</v>
      </c>
      <c r="C21" s="46">
        <v>15745</v>
      </c>
      <c r="D21" s="45">
        <v>15745</v>
      </c>
      <c r="E21" s="44">
        <f t="shared" si="0"/>
        <v>15745</v>
      </c>
      <c r="F21" s="46">
        <v>15777</v>
      </c>
      <c r="G21" s="45">
        <v>15777</v>
      </c>
      <c r="H21" s="44">
        <f t="shared" si="1"/>
        <v>15777</v>
      </c>
      <c r="I21" s="46">
        <v>15908</v>
      </c>
      <c r="J21" s="45">
        <v>15908</v>
      </c>
      <c r="K21" s="44">
        <f t="shared" si="2"/>
        <v>15908</v>
      </c>
      <c r="L21" s="46">
        <v>16080</v>
      </c>
      <c r="M21" s="45">
        <v>16080</v>
      </c>
      <c r="N21" s="44">
        <f t="shared" si="3"/>
        <v>16080</v>
      </c>
      <c r="O21" s="46">
        <v>16255</v>
      </c>
      <c r="P21" s="45">
        <v>16255</v>
      </c>
      <c r="Q21" s="44">
        <f t="shared" si="4"/>
        <v>16255</v>
      </c>
      <c r="R21" s="52">
        <v>15745</v>
      </c>
      <c r="S21" s="51">
        <v>1.3277000000000001</v>
      </c>
      <c r="T21" s="51">
        <v>1.1869000000000001</v>
      </c>
      <c r="U21" s="50">
        <v>103.92</v>
      </c>
      <c r="V21" s="43">
        <v>11858.85</v>
      </c>
      <c r="W21" s="43">
        <v>11874.01</v>
      </c>
      <c r="X21" s="49">
        <f t="shared" si="5"/>
        <v>13265.650012637963</v>
      </c>
      <c r="Y21" s="48">
        <v>1.3287</v>
      </c>
    </row>
    <row r="22" spans="2:25" x14ac:dyDescent="0.2">
      <c r="B22" s="47">
        <v>44154</v>
      </c>
      <c r="C22" s="46">
        <v>15690</v>
      </c>
      <c r="D22" s="45">
        <v>15690</v>
      </c>
      <c r="E22" s="44">
        <f t="shared" si="0"/>
        <v>15690</v>
      </c>
      <c r="F22" s="46">
        <v>15743</v>
      </c>
      <c r="G22" s="45">
        <v>15743</v>
      </c>
      <c r="H22" s="44">
        <f t="shared" si="1"/>
        <v>15743</v>
      </c>
      <c r="I22" s="46">
        <v>15878</v>
      </c>
      <c r="J22" s="45">
        <v>15878</v>
      </c>
      <c r="K22" s="44">
        <f t="shared" si="2"/>
        <v>15878</v>
      </c>
      <c r="L22" s="46">
        <v>16050</v>
      </c>
      <c r="M22" s="45">
        <v>16050</v>
      </c>
      <c r="N22" s="44">
        <f t="shared" si="3"/>
        <v>16050</v>
      </c>
      <c r="O22" s="46">
        <v>16225</v>
      </c>
      <c r="P22" s="45">
        <v>16225</v>
      </c>
      <c r="Q22" s="44">
        <f t="shared" si="4"/>
        <v>16225</v>
      </c>
      <c r="R22" s="52">
        <v>15690</v>
      </c>
      <c r="S22" s="51">
        <v>1.3232999999999999</v>
      </c>
      <c r="T22" s="51">
        <v>1.1836</v>
      </c>
      <c r="U22" s="50">
        <v>104.04</v>
      </c>
      <c r="V22" s="43">
        <v>11856.72</v>
      </c>
      <c r="W22" s="43">
        <v>11887.79</v>
      </c>
      <c r="X22" s="49">
        <f t="shared" si="5"/>
        <v>13256.167624197364</v>
      </c>
      <c r="Y22" s="48">
        <v>1.3243</v>
      </c>
    </row>
    <row r="23" spans="2:25" x14ac:dyDescent="0.2">
      <c r="B23" s="47">
        <v>44155</v>
      </c>
      <c r="C23" s="46">
        <v>15870</v>
      </c>
      <c r="D23" s="45">
        <v>15870</v>
      </c>
      <c r="E23" s="44">
        <f t="shared" si="0"/>
        <v>15870</v>
      </c>
      <c r="F23" s="46">
        <v>15900</v>
      </c>
      <c r="G23" s="45">
        <v>15900</v>
      </c>
      <c r="H23" s="44">
        <f t="shared" si="1"/>
        <v>15900</v>
      </c>
      <c r="I23" s="46">
        <v>16035</v>
      </c>
      <c r="J23" s="45">
        <v>16035</v>
      </c>
      <c r="K23" s="44">
        <f t="shared" si="2"/>
        <v>16035</v>
      </c>
      <c r="L23" s="46">
        <v>16207</v>
      </c>
      <c r="M23" s="45">
        <v>16207</v>
      </c>
      <c r="N23" s="44">
        <f t="shared" si="3"/>
        <v>16207</v>
      </c>
      <c r="O23" s="46">
        <v>16382</v>
      </c>
      <c r="P23" s="45">
        <v>16382</v>
      </c>
      <c r="Q23" s="44">
        <f t="shared" si="4"/>
        <v>16382</v>
      </c>
      <c r="R23" s="52">
        <v>15870</v>
      </c>
      <c r="S23" s="51">
        <v>1.3274999999999999</v>
      </c>
      <c r="T23" s="51">
        <v>1.1872</v>
      </c>
      <c r="U23" s="50">
        <v>103.8</v>
      </c>
      <c r="V23" s="43">
        <v>11954.8</v>
      </c>
      <c r="W23" s="43">
        <v>11968.39</v>
      </c>
      <c r="X23" s="49">
        <f t="shared" si="5"/>
        <v>13367.587601078167</v>
      </c>
      <c r="Y23" s="48">
        <v>1.3285</v>
      </c>
    </row>
    <row r="24" spans="2:25" x14ac:dyDescent="0.2">
      <c r="B24" s="47">
        <v>44158</v>
      </c>
      <c r="C24" s="46">
        <v>16017</v>
      </c>
      <c r="D24" s="45">
        <v>16017</v>
      </c>
      <c r="E24" s="44">
        <f t="shared" si="0"/>
        <v>16017</v>
      </c>
      <c r="F24" s="46">
        <v>16065</v>
      </c>
      <c r="G24" s="45">
        <v>16065</v>
      </c>
      <c r="H24" s="44">
        <f t="shared" si="1"/>
        <v>16065</v>
      </c>
      <c r="I24" s="46">
        <v>16195</v>
      </c>
      <c r="J24" s="45">
        <v>16195</v>
      </c>
      <c r="K24" s="44">
        <f t="shared" si="2"/>
        <v>16195</v>
      </c>
      <c r="L24" s="46">
        <v>16367</v>
      </c>
      <c r="M24" s="45">
        <v>16367</v>
      </c>
      <c r="N24" s="44">
        <f t="shared" si="3"/>
        <v>16367</v>
      </c>
      <c r="O24" s="46">
        <v>16542</v>
      </c>
      <c r="P24" s="45">
        <v>16542</v>
      </c>
      <c r="Q24" s="44">
        <f t="shared" si="4"/>
        <v>16542</v>
      </c>
      <c r="R24" s="52">
        <v>16017</v>
      </c>
      <c r="S24" s="51">
        <v>1.3392999999999999</v>
      </c>
      <c r="T24" s="51">
        <v>1.1902999999999999</v>
      </c>
      <c r="U24" s="50">
        <v>103.73</v>
      </c>
      <c r="V24" s="43">
        <v>11959.23</v>
      </c>
      <c r="W24" s="43">
        <v>11986.12</v>
      </c>
      <c r="X24" s="49">
        <f t="shared" si="5"/>
        <v>13456.271528186173</v>
      </c>
      <c r="Y24" s="48">
        <v>1.3403</v>
      </c>
    </row>
    <row r="25" spans="2:25" x14ac:dyDescent="0.2">
      <c r="B25" s="47">
        <v>44159</v>
      </c>
      <c r="C25" s="46">
        <v>16007</v>
      </c>
      <c r="D25" s="45">
        <v>16007</v>
      </c>
      <c r="E25" s="44">
        <f t="shared" si="0"/>
        <v>16007</v>
      </c>
      <c r="F25" s="46">
        <v>16068</v>
      </c>
      <c r="G25" s="45">
        <v>16068</v>
      </c>
      <c r="H25" s="44">
        <f t="shared" si="1"/>
        <v>16068</v>
      </c>
      <c r="I25" s="46">
        <v>16200</v>
      </c>
      <c r="J25" s="45">
        <v>16200</v>
      </c>
      <c r="K25" s="44">
        <f t="shared" si="2"/>
        <v>16200</v>
      </c>
      <c r="L25" s="46">
        <v>16372</v>
      </c>
      <c r="M25" s="45">
        <v>16372</v>
      </c>
      <c r="N25" s="44">
        <f t="shared" si="3"/>
        <v>16372</v>
      </c>
      <c r="O25" s="46">
        <v>16547</v>
      </c>
      <c r="P25" s="45">
        <v>16547</v>
      </c>
      <c r="Q25" s="44">
        <f t="shared" si="4"/>
        <v>16547</v>
      </c>
      <c r="R25" s="52">
        <v>16007</v>
      </c>
      <c r="S25" s="51">
        <v>1.3324</v>
      </c>
      <c r="T25" s="51">
        <v>1.1869000000000001</v>
      </c>
      <c r="U25" s="50">
        <v>104.53</v>
      </c>
      <c r="V25" s="43">
        <v>12013.66</v>
      </c>
      <c r="W25" s="43">
        <v>12050.4</v>
      </c>
      <c r="X25" s="49">
        <f t="shared" si="5"/>
        <v>13486.393124947341</v>
      </c>
      <c r="Y25" s="48">
        <v>1.3333999999999999</v>
      </c>
    </row>
    <row r="26" spans="2:25" x14ac:dyDescent="0.2">
      <c r="B26" s="47">
        <v>44160</v>
      </c>
      <c r="C26" s="46">
        <v>15975</v>
      </c>
      <c r="D26" s="45">
        <v>15975</v>
      </c>
      <c r="E26" s="44">
        <f t="shared" si="0"/>
        <v>15975</v>
      </c>
      <c r="F26" s="46">
        <v>16028</v>
      </c>
      <c r="G26" s="45">
        <v>16028</v>
      </c>
      <c r="H26" s="44">
        <f t="shared" si="1"/>
        <v>16028</v>
      </c>
      <c r="I26" s="46">
        <v>16150</v>
      </c>
      <c r="J26" s="45">
        <v>16150</v>
      </c>
      <c r="K26" s="44">
        <f t="shared" si="2"/>
        <v>16150</v>
      </c>
      <c r="L26" s="46">
        <v>16322</v>
      </c>
      <c r="M26" s="45">
        <v>16322</v>
      </c>
      <c r="N26" s="44">
        <f t="shared" si="3"/>
        <v>16322</v>
      </c>
      <c r="O26" s="46">
        <v>16497</v>
      </c>
      <c r="P26" s="45">
        <v>16497</v>
      </c>
      <c r="Q26" s="44">
        <f t="shared" si="4"/>
        <v>16497</v>
      </c>
      <c r="R26" s="52">
        <v>15975</v>
      </c>
      <c r="S26" s="51">
        <v>1.3349</v>
      </c>
      <c r="T26" s="51">
        <v>1.1895</v>
      </c>
      <c r="U26" s="50">
        <v>104.41</v>
      </c>
      <c r="V26" s="43">
        <v>11967.19</v>
      </c>
      <c r="W26" s="43">
        <v>11997.9</v>
      </c>
      <c r="X26" s="49">
        <f t="shared" si="5"/>
        <v>13430.01261034048</v>
      </c>
      <c r="Y26" s="48">
        <v>1.3359000000000001</v>
      </c>
    </row>
    <row r="27" spans="2:25" x14ac:dyDescent="0.2">
      <c r="B27" s="47">
        <v>44161</v>
      </c>
      <c r="C27" s="46">
        <v>16055</v>
      </c>
      <c r="D27" s="45">
        <v>16055</v>
      </c>
      <c r="E27" s="44">
        <f t="shared" si="0"/>
        <v>16055</v>
      </c>
      <c r="F27" s="46">
        <v>16073</v>
      </c>
      <c r="G27" s="45">
        <v>16073</v>
      </c>
      <c r="H27" s="44">
        <f t="shared" si="1"/>
        <v>16073</v>
      </c>
      <c r="I27" s="46">
        <v>16196</v>
      </c>
      <c r="J27" s="45">
        <v>16196</v>
      </c>
      <c r="K27" s="44">
        <f t="shared" si="2"/>
        <v>16196</v>
      </c>
      <c r="L27" s="46">
        <v>16371</v>
      </c>
      <c r="M27" s="45">
        <v>16371</v>
      </c>
      <c r="N27" s="44">
        <f t="shared" si="3"/>
        <v>16371</v>
      </c>
      <c r="O27" s="46">
        <v>16551</v>
      </c>
      <c r="P27" s="45">
        <v>16551</v>
      </c>
      <c r="Q27" s="44">
        <f t="shared" si="4"/>
        <v>16551</v>
      </c>
      <c r="R27" s="52">
        <v>16055</v>
      </c>
      <c r="S27" s="51">
        <v>1.3348</v>
      </c>
      <c r="T27" s="51">
        <v>1.1896</v>
      </c>
      <c r="U27" s="50">
        <v>104.26</v>
      </c>
      <c r="V27" s="43">
        <v>12028.02</v>
      </c>
      <c r="W27" s="43">
        <v>12032.49</v>
      </c>
      <c r="X27" s="49">
        <f t="shared" si="5"/>
        <v>13496.133154001345</v>
      </c>
      <c r="Y27" s="48">
        <v>1.3358000000000001</v>
      </c>
    </row>
    <row r="28" spans="2:25" x14ac:dyDescent="0.2">
      <c r="B28" s="47">
        <v>44162</v>
      </c>
      <c r="C28" s="46">
        <v>16373</v>
      </c>
      <c r="D28" s="45">
        <v>16373</v>
      </c>
      <c r="E28" s="44">
        <f t="shared" si="0"/>
        <v>16373</v>
      </c>
      <c r="F28" s="46">
        <v>16414</v>
      </c>
      <c r="G28" s="45">
        <v>16414</v>
      </c>
      <c r="H28" s="44">
        <f t="shared" si="1"/>
        <v>16414</v>
      </c>
      <c r="I28" s="46">
        <v>16537</v>
      </c>
      <c r="J28" s="45">
        <v>16537</v>
      </c>
      <c r="K28" s="44">
        <f t="shared" si="2"/>
        <v>16537</v>
      </c>
      <c r="L28" s="46">
        <v>16712</v>
      </c>
      <c r="M28" s="45">
        <v>16712</v>
      </c>
      <c r="N28" s="44">
        <f t="shared" si="3"/>
        <v>16712</v>
      </c>
      <c r="O28" s="46">
        <v>16892</v>
      </c>
      <c r="P28" s="45">
        <v>16892</v>
      </c>
      <c r="Q28" s="44">
        <f t="shared" si="4"/>
        <v>16892</v>
      </c>
      <c r="R28" s="52">
        <v>16373</v>
      </c>
      <c r="S28" s="51">
        <v>1.3329</v>
      </c>
      <c r="T28" s="51">
        <v>1.1924999999999999</v>
      </c>
      <c r="U28" s="50">
        <v>104.16</v>
      </c>
      <c r="V28" s="43">
        <v>12283.74</v>
      </c>
      <c r="W28" s="43">
        <v>12304.35</v>
      </c>
      <c r="X28" s="49">
        <f t="shared" si="5"/>
        <v>13729.979035639415</v>
      </c>
      <c r="Y28" s="48">
        <v>1.3340000000000001</v>
      </c>
    </row>
    <row r="29" spans="2:25" x14ac:dyDescent="0.2">
      <c r="B29" s="47">
        <v>44165</v>
      </c>
      <c r="C29" s="46">
        <v>16343</v>
      </c>
      <c r="D29" s="45">
        <v>16343</v>
      </c>
      <c r="E29" s="44">
        <f t="shared" si="0"/>
        <v>16343</v>
      </c>
      <c r="F29" s="46">
        <v>16388</v>
      </c>
      <c r="G29" s="45">
        <v>16388</v>
      </c>
      <c r="H29" s="44">
        <f t="shared" si="1"/>
        <v>16388</v>
      </c>
      <c r="I29" s="46">
        <v>16512</v>
      </c>
      <c r="J29" s="45">
        <v>16512</v>
      </c>
      <c r="K29" s="44">
        <f t="shared" si="2"/>
        <v>16512</v>
      </c>
      <c r="L29" s="46">
        <v>16685</v>
      </c>
      <c r="M29" s="45">
        <v>16685</v>
      </c>
      <c r="N29" s="44">
        <f t="shared" si="3"/>
        <v>16685</v>
      </c>
      <c r="O29" s="46">
        <v>16860</v>
      </c>
      <c r="P29" s="45">
        <v>16860</v>
      </c>
      <c r="Q29" s="44">
        <f t="shared" si="4"/>
        <v>16860</v>
      </c>
      <c r="R29" s="52">
        <v>16343</v>
      </c>
      <c r="S29" s="51">
        <v>1.3327</v>
      </c>
      <c r="T29" s="51">
        <v>1.1976</v>
      </c>
      <c r="U29" s="50">
        <v>104.13</v>
      </c>
      <c r="V29" s="43">
        <v>12263.07</v>
      </c>
      <c r="W29" s="43">
        <v>12285.78</v>
      </c>
      <c r="X29" s="49">
        <f t="shared" si="5"/>
        <v>13646.459585838344</v>
      </c>
      <c r="Y29" s="48">
        <v>1.3339000000000001</v>
      </c>
    </row>
    <row r="30" spans="2:25" s="10" customFormat="1" x14ac:dyDescent="0.2">
      <c r="B30" s="42" t="s">
        <v>11</v>
      </c>
      <c r="C30" s="41">
        <f>ROUND(AVERAGE(C9:C29),2)</f>
        <v>15796.05</v>
      </c>
      <c r="D30" s="40">
        <f>ROUND(AVERAGE(D9:D29),2)</f>
        <v>15796.05</v>
      </c>
      <c r="E30" s="39">
        <f>ROUND(AVERAGE(C30:D30),2)</f>
        <v>15796.05</v>
      </c>
      <c r="F30" s="41">
        <f>ROUND(AVERAGE(F9:F29),2)</f>
        <v>15837.43</v>
      </c>
      <c r="G30" s="40">
        <f>ROUND(AVERAGE(G9:G29),2)</f>
        <v>15837.43</v>
      </c>
      <c r="H30" s="39">
        <f>ROUND(AVERAGE(F30:G30),2)</f>
        <v>15837.43</v>
      </c>
      <c r="I30" s="41">
        <f>ROUND(AVERAGE(I9:I29),2)</f>
        <v>15974.9</v>
      </c>
      <c r="J30" s="40">
        <f>ROUND(AVERAGE(J9:J29),2)</f>
        <v>15974.9</v>
      </c>
      <c r="K30" s="39">
        <f>ROUND(AVERAGE(I30:J30),2)</f>
        <v>15974.9</v>
      </c>
      <c r="L30" s="41">
        <f>ROUND(AVERAGE(L9:L29),2)</f>
        <v>16151.76</v>
      </c>
      <c r="M30" s="40">
        <f>ROUND(AVERAGE(M9:M29),2)</f>
        <v>16151.76</v>
      </c>
      <c r="N30" s="39">
        <f>ROUND(AVERAGE(L30:M30),2)</f>
        <v>16151.76</v>
      </c>
      <c r="O30" s="41">
        <f>ROUND(AVERAGE(O9:O29),2)</f>
        <v>16335.1</v>
      </c>
      <c r="P30" s="40">
        <f>ROUND(AVERAGE(P9:P29),2)</f>
        <v>16335.1</v>
      </c>
      <c r="Q30" s="39">
        <f>ROUND(AVERAGE(O30:P30),2)</f>
        <v>16335.1</v>
      </c>
      <c r="R30" s="38">
        <f>ROUND(AVERAGE(R9:R29),2)</f>
        <v>15796.05</v>
      </c>
      <c r="S30" s="37">
        <f>ROUND(AVERAGE(S9:S29),4)</f>
        <v>1.3209</v>
      </c>
      <c r="T30" s="36">
        <f>ROUND(AVERAGE(T9:T29),4)</f>
        <v>1.1839999999999999</v>
      </c>
      <c r="U30" s="175">
        <f>ROUND(AVERAGE(U9:U29),2)</f>
        <v>104.43</v>
      </c>
      <c r="V30" s="35">
        <f>AVERAGE(V9:V29)</f>
        <v>11957.447619047618</v>
      </c>
      <c r="W30" s="35">
        <f>AVERAGE(W9:W29)</f>
        <v>11980.072380952379</v>
      </c>
      <c r="X30" s="35">
        <f>AVERAGE(X9:X29)</f>
        <v>13340.8955149468</v>
      </c>
      <c r="Y30" s="34">
        <f>AVERAGE(Y9:Y29)</f>
        <v>1.3218952380952382</v>
      </c>
    </row>
    <row r="31" spans="2:25" s="5" customFormat="1" x14ac:dyDescent="0.2">
      <c r="B31" s="33" t="s">
        <v>12</v>
      </c>
      <c r="C31" s="32">
        <f t="shared" ref="C31:Y31" si="6">MAX(C9:C29)</f>
        <v>16373</v>
      </c>
      <c r="D31" s="31">
        <f t="shared" si="6"/>
        <v>16373</v>
      </c>
      <c r="E31" s="30">
        <f t="shared" si="6"/>
        <v>16373</v>
      </c>
      <c r="F31" s="32">
        <f t="shared" si="6"/>
        <v>16414</v>
      </c>
      <c r="G31" s="31">
        <f t="shared" si="6"/>
        <v>16414</v>
      </c>
      <c r="H31" s="30">
        <f t="shared" si="6"/>
        <v>16414</v>
      </c>
      <c r="I31" s="32">
        <f t="shared" si="6"/>
        <v>16537</v>
      </c>
      <c r="J31" s="31">
        <f t="shared" si="6"/>
        <v>16537</v>
      </c>
      <c r="K31" s="30">
        <f t="shared" si="6"/>
        <v>16537</v>
      </c>
      <c r="L31" s="32">
        <f t="shared" si="6"/>
        <v>16712</v>
      </c>
      <c r="M31" s="31">
        <f t="shared" si="6"/>
        <v>16712</v>
      </c>
      <c r="N31" s="30">
        <f t="shared" si="6"/>
        <v>16712</v>
      </c>
      <c r="O31" s="32">
        <f t="shared" si="6"/>
        <v>16892</v>
      </c>
      <c r="P31" s="31">
        <f t="shared" si="6"/>
        <v>16892</v>
      </c>
      <c r="Q31" s="30">
        <f t="shared" si="6"/>
        <v>16892</v>
      </c>
      <c r="R31" s="29">
        <f t="shared" si="6"/>
        <v>16373</v>
      </c>
      <c r="S31" s="28">
        <f t="shared" si="6"/>
        <v>1.3392999999999999</v>
      </c>
      <c r="T31" s="27">
        <f t="shared" si="6"/>
        <v>1.1976</v>
      </c>
      <c r="U31" s="26">
        <f t="shared" si="6"/>
        <v>105.5</v>
      </c>
      <c r="V31" s="25">
        <f t="shared" si="6"/>
        <v>12283.74</v>
      </c>
      <c r="W31" s="25">
        <f t="shared" si="6"/>
        <v>12304.35</v>
      </c>
      <c r="X31" s="25">
        <f t="shared" si="6"/>
        <v>13729.979035639415</v>
      </c>
      <c r="Y31" s="24">
        <f t="shared" si="6"/>
        <v>1.3403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15113</v>
      </c>
      <c r="D32" s="21">
        <f t="shared" si="7"/>
        <v>15113</v>
      </c>
      <c r="E32" s="20">
        <f t="shared" si="7"/>
        <v>15113</v>
      </c>
      <c r="F32" s="22">
        <f t="shared" si="7"/>
        <v>15148</v>
      </c>
      <c r="G32" s="21">
        <f t="shared" si="7"/>
        <v>15148</v>
      </c>
      <c r="H32" s="20">
        <f t="shared" si="7"/>
        <v>15148</v>
      </c>
      <c r="I32" s="22">
        <f t="shared" si="7"/>
        <v>15311</v>
      </c>
      <c r="J32" s="21">
        <f t="shared" si="7"/>
        <v>15311</v>
      </c>
      <c r="K32" s="20">
        <f t="shared" si="7"/>
        <v>15311</v>
      </c>
      <c r="L32" s="22">
        <f t="shared" si="7"/>
        <v>15493</v>
      </c>
      <c r="M32" s="21">
        <f t="shared" si="7"/>
        <v>15493</v>
      </c>
      <c r="N32" s="20">
        <f t="shared" si="7"/>
        <v>15493</v>
      </c>
      <c r="O32" s="22">
        <f t="shared" si="7"/>
        <v>15703</v>
      </c>
      <c r="P32" s="21">
        <f t="shared" si="7"/>
        <v>15703</v>
      </c>
      <c r="Q32" s="20">
        <f t="shared" si="7"/>
        <v>15703</v>
      </c>
      <c r="R32" s="19">
        <f t="shared" si="7"/>
        <v>15113</v>
      </c>
      <c r="S32" s="18">
        <f t="shared" si="7"/>
        <v>1.2926</v>
      </c>
      <c r="T32" s="17">
        <f t="shared" si="7"/>
        <v>1.1646000000000001</v>
      </c>
      <c r="U32" s="16">
        <f t="shared" si="7"/>
        <v>103.35</v>
      </c>
      <c r="V32" s="15">
        <f t="shared" si="7"/>
        <v>11691.94</v>
      </c>
      <c r="W32" s="15">
        <f t="shared" si="7"/>
        <v>11710.86</v>
      </c>
      <c r="X32" s="15">
        <f t="shared" si="7"/>
        <v>12976.987806972351</v>
      </c>
      <c r="Y32" s="14">
        <f t="shared" si="7"/>
        <v>1.2935000000000001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44137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44137</v>
      </c>
      <c r="C9" s="46">
        <v>32480</v>
      </c>
      <c r="D9" s="45">
        <v>32480</v>
      </c>
      <c r="E9" s="44">
        <f t="shared" ref="E9:E29" si="0">AVERAGE(C9:D9)</f>
        <v>32480</v>
      </c>
      <c r="F9" s="46">
        <v>32835</v>
      </c>
      <c r="G9" s="45">
        <v>32835</v>
      </c>
      <c r="H9" s="44">
        <f t="shared" ref="H9:H29" si="1">AVERAGE(F9:G9)</f>
        <v>32835</v>
      </c>
      <c r="I9" s="46">
        <v>34715</v>
      </c>
      <c r="J9" s="45">
        <v>34715</v>
      </c>
      <c r="K9" s="44">
        <f t="shared" ref="K9:K29" si="2">AVERAGE(I9:J9)</f>
        <v>34715</v>
      </c>
      <c r="L9" s="52">
        <v>32480</v>
      </c>
      <c r="M9" s="51">
        <v>1.2926</v>
      </c>
      <c r="N9" s="53">
        <v>1.1646000000000001</v>
      </c>
      <c r="O9" s="50">
        <v>104.67</v>
      </c>
      <c r="P9" s="43">
        <v>25127.65</v>
      </c>
      <c r="Q9" s="43">
        <v>25384.62</v>
      </c>
      <c r="R9" s="49">
        <f t="shared" ref="R9:R29" si="3">L9/N9</f>
        <v>27889.404087240251</v>
      </c>
      <c r="S9" s="48">
        <v>1.2935000000000001</v>
      </c>
    </row>
    <row r="10" spans="1:19" x14ac:dyDescent="0.2">
      <c r="B10" s="47">
        <v>44138</v>
      </c>
      <c r="C10" s="46">
        <v>32475</v>
      </c>
      <c r="D10" s="45">
        <v>32475</v>
      </c>
      <c r="E10" s="44">
        <f t="shared" si="0"/>
        <v>32475</v>
      </c>
      <c r="F10" s="46">
        <v>32835</v>
      </c>
      <c r="G10" s="45">
        <v>32835</v>
      </c>
      <c r="H10" s="44">
        <f t="shared" si="1"/>
        <v>32835</v>
      </c>
      <c r="I10" s="46">
        <v>34710</v>
      </c>
      <c r="J10" s="45">
        <v>34710</v>
      </c>
      <c r="K10" s="44">
        <f t="shared" si="2"/>
        <v>34710</v>
      </c>
      <c r="L10" s="52">
        <v>32475</v>
      </c>
      <c r="M10" s="51">
        <v>1.2987</v>
      </c>
      <c r="N10" s="51">
        <v>1.1698999999999999</v>
      </c>
      <c r="O10" s="50">
        <v>104.69</v>
      </c>
      <c r="P10" s="43">
        <v>25005.78</v>
      </c>
      <c r="Q10" s="43">
        <v>25265.47</v>
      </c>
      <c r="R10" s="49">
        <f t="shared" si="3"/>
        <v>27758.782801948884</v>
      </c>
      <c r="S10" s="48">
        <v>1.2996000000000001</v>
      </c>
    </row>
    <row r="11" spans="1:19" x14ac:dyDescent="0.2">
      <c r="B11" s="47">
        <v>44139</v>
      </c>
      <c r="C11" s="46">
        <v>32475</v>
      </c>
      <c r="D11" s="45">
        <v>32475</v>
      </c>
      <c r="E11" s="44">
        <f t="shared" si="0"/>
        <v>32475</v>
      </c>
      <c r="F11" s="46">
        <v>32835</v>
      </c>
      <c r="G11" s="45">
        <v>32835</v>
      </c>
      <c r="H11" s="44">
        <f t="shared" si="1"/>
        <v>32835</v>
      </c>
      <c r="I11" s="46">
        <v>34705</v>
      </c>
      <c r="J11" s="45">
        <v>34705</v>
      </c>
      <c r="K11" s="44">
        <f t="shared" si="2"/>
        <v>34705</v>
      </c>
      <c r="L11" s="52">
        <v>32475</v>
      </c>
      <c r="M11" s="51">
        <v>1.3041</v>
      </c>
      <c r="N11" s="51">
        <v>1.1718999999999999</v>
      </c>
      <c r="O11" s="50">
        <v>104.38</v>
      </c>
      <c r="P11" s="43">
        <v>24902.23</v>
      </c>
      <c r="Q11" s="43">
        <v>25160.92</v>
      </c>
      <c r="R11" s="49">
        <f t="shared" si="3"/>
        <v>27711.408823278438</v>
      </c>
      <c r="S11" s="48">
        <v>1.3049999999999999</v>
      </c>
    </row>
    <row r="12" spans="1:19" x14ac:dyDescent="0.2">
      <c r="B12" s="47">
        <v>44140</v>
      </c>
      <c r="C12" s="46">
        <v>32475</v>
      </c>
      <c r="D12" s="45">
        <v>32475</v>
      </c>
      <c r="E12" s="44">
        <f t="shared" si="0"/>
        <v>32475</v>
      </c>
      <c r="F12" s="46">
        <v>32835</v>
      </c>
      <c r="G12" s="45">
        <v>32835</v>
      </c>
      <c r="H12" s="44">
        <f t="shared" si="1"/>
        <v>32835</v>
      </c>
      <c r="I12" s="46">
        <v>34700</v>
      </c>
      <c r="J12" s="45">
        <v>34700</v>
      </c>
      <c r="K12" s="44">
        <f t="shared" si="2"/>
        <v>34700</v>
      </c>
      <c r="L12" s="52">
        <v>32475</v>
      </c>
      <c r="M12" s="51">
        <v>1.3084</v>
      </c>
      <c r="N12" s="51">
        <v>1.1845000000000001</v>
      </c>
      <c r="O12" s="50">
        <v>103.81</v>
      </c>
      <c r="P12" s="43">
        <v>24820.39</v>
      </c>
      <c r="Q12" s="43">
        <v>25080.2</v>
      </c>
      <c r="R12" s="49">
        <f t="shared" si="3"/>
        <v>27416.631490080199</v>
      </c>
      <c r="S12" s="48">
        <v>1.3091999999999999</v>
      </c>
    </row>
    <row r="13" spans="1:19" x14ac:dyDescent="0.2">
      <c r="B13" s="47">
        <v>44141</v>
      </c>
      <c r="C13" s="46">
        <v>32480</v>
      </c>
      <c r="D13" s="45">
        <v>32480</v>
      </c>
      <c r="E13" s="44">
        <f t="shared" si="0"/>
        <v>32480</v>
      </c>
      <c r="F13" s="46">
        <v>32835</v>
      </c>
      <c r="G13" s="45">
        <v>32835</v>
      </c>
      <c r="H13" s="44">
        <f t="shared" si="1"/>
        <v>32835</v>
      </c>
      <c r="I13" s="46">
        <v>34700</v>
      </c>
      <c r="J13" s="45">
        <v>34700</v>
      </c>
      <c r="K13" s="44">
        <f t="shared" si="2"/>
        <v>34700</v>
      </c>
      <c r="L13" s="52">
        <v>32480</v>
      </c>
      <c r="M13" s="51">
        <v>1.3120000000000001</v>
      </c>
      <c r="N13" s="51">
        <v>1.1875</v>
      </c>
      <c r="O13" s="50">
        <v>103.35</v>
      </c>
      <c r="P13" s="43">
        <v>24756.1</v>
      </c>
      <c r="Q13" s="43">
        <v>25011.43</v>
      </c>
      <c r="R13" s="49">
        <f t="shared" si="3"/>
        <v>27351.57894736842</v>
      </c>
      <c r="S13" s="48">
        <v>1.3128</v>
      </c>
    </row>
    <row r="14" spans="1:19" x14ac:dyDescent="0.2">
      <c r="B14" s="47">
        <v>44144</v>
      </c>
      <c r="C14" s="46">
        <v>32465</v>
      </c>
      <c r="D14" s="45">
        <v>32465</v>
      </c>
      <c r="E14" s="44">
        <f t="shared" si="0"/>
        <v>32465</v>
      </c>
      <c r="F14" s="46">
        <v>32835</v>
      </c>
      <c r="G14" s="45">
        <v>32835</v>
      </c>
      <c r="H14" s="44">
        <f t="shared" si="1"/>
        <v>32835</v>
      </c>
      <c r="I14" s="46">
        <v>34680</v>
      </c>
      <c r="J14" s="45">
        <v>34680</v>
      </c>
      <c r="K14" s="44">
        <f t="shared" si="2"/>
        <v>34680</v>
      </c>
      <c r="L14" s="52">
        <v>32465</v>
      </c>
      <c r="M14" s="51">
        <v>1.3169999999999999</v>
      </c>
      <c r="N14" s="51">
        <v>1.1894</v>
      </c>
      <c r="O14" s="50">
        <v>104.97</v>
      </c>
      <c r="P14" s="43">
        <v>24650.720000000001</v>
      </c>
      <c r="Q14" s="43">
        <v>24916.53</v>
      </c>
      <c r="R14" s="49">
        <f t="shared" si="3"/>
        <v>27295.274928535397</v>
      </c>
      <c r="S14" s="48">
        <v>1.3178000000000001</v>
      </c>
    </row>
    <row r="15" spans="1:19" x14ac:dyDescent="0.2">
      <c r="B15" s="47">
        <v>44145</v>
      </c>
      <c r="C15" s="46">
        <v>32460</v>
      </c>
      <c r="D15" s="45">
        <v>32460</v>
      </c>
      <c r="E15" s="44">
        <f t="shared" si="0"/>
        <v>32460</v>
      </c>
      <c r="F15" s="46">
        <v>32835</v>
      </c>
      <c r="G15" s="45">
        <v>32835</v>
      </c>
      <c r="H15" s="44">
        <f t="shared" si="1"/>
        <v>32835</v>
      </c>
      <c r="I15" s="46">
        <v>34675</v>
      </c>
      <c r="J15" s="45">
        <v>34675</v>
      </c>
      <c r="K15" s="44">
        <f t="shared" si="2"/>
        <v>34675</v>
      </c>
      <c r="L15" s="52">
        <v>32460</v>
      </c>
      <c r="M15" s="51">
        <v>1.3250999999999999</v>
      </c>
      <c r="N15" s="51">
        <v>1.181</v>
      </c>
      <c r="O15" s="50">
        <v>105.29</v>
      </c>
      <c r="P15" s="43">
        <v>24496.26</v>
      </c>
      <c r="Q15" s="43">
        <v>24762.44</v>
      </c>
      <c r="R15" s="49">
        <f t="shared" si="3"/>
        <v>27485.182049110921</v>
      </c>
      <c r="S15" s="48">
        <v>1.3260000000000001</v>
      </c>
    </row>
    <row r="16" spans="1:19" x14ac:dyDescent="0.2">
      <c r="B16" s="47">
        <v>44146</v>
      </c>
      <c r="C16" s="46">
        <v>32455</v>
      </c>
      <c r="D16" s="45">
        <v>32455</v>
      </c>
      <c r="E16" s="44">
        <f t="shared" si="0"/>
        <v>32455</v>
      </c>
      <c r="F16" s="46">
        <v>32835</v>
      </c>
      <c r="G16" s="45">
        <v>32835</v>
      </c>
      <c r="H16" s="44">
        <f t="shared" si="1"/>
        <v>32835</v>
      </c>
      <c r="I16" s="46">
        <v>34670</v>
      </c>
      <c r="J16" s="45">
        <v>34670</v>
      </c>
      <c r="K16" s="44">
        <f t="shared" si="2"/>
        <v>34670</v>
      </c>
      <c r="L16" s="52">
        <v>32455</v>
      </c>
      <c r="M16" s="51">
        <v>1.3227</v>
      </c>
      <c r="N16" s="51">
        <v>1.1774</v>
      </c>
      <c r="O16" s="50">
        <v>105.5</v>
      </c>
      <c r="P16" s="43">
        <v>24536.93</v>
      </c>
      <c r="Q16" s="43">
        <v>24807.34</v>
      </c>
      <c r="R16" s="49">
        <f t="shared" si="3"/>
        <v>27564.973670800067</v>
      </c>
      <c r="S16" s="48">
        <v>1.3236000000000001</v>
      </c>
    </row>
    <row r="17" spans="2:19" x14ac:dyDescent="0.2">
      <c r="B17" s="47">
        <v>44147</v>
      </c>
      <c r="C17" s="46">
        <v>32455</v>
      </c>
      <c r="D17" s="45">
        <v>32455</v>
      </c>
      <c r="E17" s="44">
        <f t="shared" si="0"/>
        <v>32455</v>
      </c>
      <c r="F17" s="46">
        <v>32835</v>
      </c>
      <c r="G17" s="45">
        <v>32835</v>
      </c>
      <c r="H17" s="44">
        <f t="shared" si="1"/>
        <v>32835</v>
      </c>
      <c r="I17" s="46">
        <v>34660</v>
      </c>
      <c r="J17" s="45">
        <v>34660</v>
      </c>
      <c r="K17" s="44">
        <f t="shared" si="2"/>
        <v>34660</v>
      </c>
      <c r="L17" s="52">
        <v>32455</v>
      </c>
      <c r="M17" s="51">
        <v>1.3142</v>
      </c>
      <c r="N17" s="51">
        <v>1.1798</v>
      </c>
      <c r="O17" s="50">
        <v>105.34</v>
      </c>
      <c r="P17" s="43">
        <v>24695.63</v>
      </c>
      <c r="Q17" s="43">
        <v>24967.68</v>
      </c>
      <c r="R17" s="49">
        <f t="shared" si="3"/>
        <v>27508.899813527718</v>
      </c>
      <c r="S17" s="48">
        <v>1.3150999999999999</v>
      </c>
    </row>
    <row r="18" spans="2:19" x14ac:dyDescent="0.2">
      <c r="B18" s="47">
        <v>44148</v>
      </c>
      <c r="C18" s="46">
        <v>32460</v>
      </c>
      <c r="D18" s="45">
        <v>32460</v>
      </c>
      <c r="E18" s="44">
        <f t="shared" si="0"/>
        <v>32460</v>
      </c>
      <c r="F18" s="46">
        <v>32835</v>
      </c>
      <c r="G18" s="45">
        <v>32835</v>
      </c>
      <c r="H18" s="44">
        <f t="shared" si="1"/>
        <v>32835</v>
      </c>
      <c r="I18" s="46">
        <v>34660</v>
      </c>
      <c r="J18" s="45">
        <v>34660</v>
      </c>
      <c r="K18" s="44">
        <f t="shared" si="2"/>
        <v>34660</v>
      </c>
      <c r="L18" s="52">
        <v>32460</v>
      </c>
      <c r="M18" s="51">
        <v>1.3165</v>
      </c>
      <c r="N18" s="51">
        <v>1.1816</v>
      </c>
      <c r="O18" s="50">
        <v>104.88</v>
      </c>
      <c r="P18" s="43">
        <v>24656.29</v>
      </c>
      <c r="Q18" s="43">
        <v>24922.2</v>
      </c>
      <c r="R18" s="49">
        <f t="shared" si="3"/>
        <v>27471.225457007447</v>
      </c>
      <c r="S18" s="48">
        <v>1.3174999999999999</v>
      </c>
    </row>
    <row r="19" spans="2:19" x14ac:dyDescent="0.2">
      <c r="B19" s="47">
        <v>44151</v>
      </c>
      <c r="C19" s="46">
        <v>32440</v>
      </c>
      <c r="D19" s="45">
        <v>32440</v>
      </c>
      <c r="E19" s="44">
        <f t="shared" si="0"/>
        <v>32440</v>
      </c>
      <c r="F19" s="46">
        <v>32835</v>
      </c>
      <c r="G19" s="45">
        <v>32835</v>
      </c>
      <c r="H19" s="44">
        <f t="shared" si="1"/>
        <v>32835</v>
      </c>
      <c r="I19" s="46">
        <v>34640</v>
      </c>
      <c r="J19" s="45">
        <v>34640</v>
      </c>
      <c r="K19" s="44">
        <f t="shared" si="2"/>
        <v>34640</v>
      </c>
      <c r="L19" s="52">
        <v>32440</v>
      </c>
      <c r="M19" s="51">
        <v>1.3169999999999999</v>
      </c>
      <c r="N19" s="51">
        <v>1.1834</v>
      </c>
      <c r="O19" s="50">
        <v>104.91</v>
      </c>
      <c r="P19" s="43">
        <v>24631.74</v>
      </c>
      <c r="Q19" s="43">
        <v>24912.75</v>
      </c>
      <c r="R19" s="49">
        <f t="shared" si="3"/>
        <v>27412.540138583743</v>
      </c>
      <c r="S19" s="48">
        <v>1.3180000000000001</v>
      </c>
    </row>
    <row r="20" spans="2:19" x14ac:dyDescent="0.2">
      <c r="B20" s="47">
        <v>44152</v>
      </c>
      <c r="C20" s="46">
        <v>32000</v>
      </c>
      <c r="D20" s="45">
        <v>32000</v>
      </c>
      <c r="E20" s="44">
        <f t="shared" si="0"/>
        <v>32000</v>
      </c>
      <c r="F20" s="46">
        <v>32395</v>
      </c>
      <c r="G20" s="45">
        <v>32395</v>
      </c>
      <c r="H20" s="44">
        <f t="shared" si="1"/>
        <v>32395</v>
      </c>
      <c r="I20" s="46">
        <v>34195</v>
      </c>
      <c r="J20" s="45">
        <v>34195</v>
      </c>
      <c r="K20" s="44">
        <f t="shared" si="2"/>
        <v>34195</v>
      </c>
      <c r="L20" s="52">
        <v>32000</v>
      </c>
      <c r="M20" s="51">
        <v>1.3259000000000001</v>
      </c>
      <c r="N20" s="51">
        <v>1.1880999999999999</v>
      </c>
      <c r="O20" s="50">
        <v>104.24</v>
      </c>
      <c r="P20" s="43">
        <v>24134.55</v>
      </c>
      <c r="Q20" s="43">
        <v>24414.05</v>
      </c>
      <c r="R20" s="49">
        <f t="shared" si="3"/>
        <v>26933.759784529924</v>
      </c>
      <c r="S20" s="48">
        <v>1.3269</v>
      </c>
    </row>
    <row r="21" spans="2:19" x14ac:dyDescent="0.2">
      <c r="B21" s="47">
        <v>44153</v>
      </c>
      <c r="C21" s="46">
        <v>31995</v>
      </c>
      <c r="D21" s="45">
        <v>31995</v>
      </c>
      <c r="E21" s="44">
        <f t="shared" si="0"/>
        <v>31995</v>
      </c>
      <c r="F21" s="46">
        <v>32395</v>
      </c>
      <c r="G21" s="45">
        <v>32395</v>
      </c>
      <c r="H21" s="44">
        <f t="shared" si="1"/>
        <v>32395</v>
      </c>
      <c r="I21" s="46">
        <v>34190</v>
      </c>
      <c r="J21" s="45">
        <v>34190</v>
      </c>
      <c r="K21" s="44">
        <f t="shared" si="2"/>
        <v>34190</v>
      </c>
      <c r="L21" s="52">
        <v>31995</v>
      </c>
      <c r="M21" s="51">
        <v>1.3277000000000001</v>
      </c>
      <c r="N21" s="51">
        <v>1.1869000000000001</v>
      </c>
      <c r="O21" s="50">
        <v>103.92</v>
      </c>
      <c r="P21" s="43">
        <v>24098.06</v>
      </c>
      <c r="Q21" s="43">
        <v>24380.97</v>
      </c>
      <c r="R21" s="49">
        <f t="shared" si="3"/>
        <v>26956.778161597438</v>
      </c>
      <c r="S21" s="48">
        <v>1.3287</v>
      </c>
    </row>
    <row r="22" spans="2:19" x14ac:dyDescent="0.2">
      <c r="B22" s="47">
        <v>44154</v>
      </c>
      <c r="C22" s="46">
        <v>32000</v>
      </c>
      <c r="D22" s="45">
        <v>32000</v>
      </c>
      <c r="E22" s="44">
        <f t="shared" si="0"/>
        <v>32000</v>
      </c>
      <c r="F22" s="46">
        <v>32395</v>
      </c>
      <c r="G22" s="45">
        <v>32395</v>
      </c>
      <c r="H22" s="44">
        <f t="shared" si="1"/>
        <v>32395</v>
      </c>
      <c r="I22" s="46">
        <v>34185</v>
      </c>
      <c r="J22" s="45">
        <v>34185</v>
      </c>
      <c r="K22" s="44">
        <f t="shared" si="2"/>
        <v>34185</v>
      </c>
      <c r="L22" s="52">
        <v>32000</v>
      </c>
      <c r="M22" s="51">
        <v>1.3232999999999999</v>
      </c>
      <c r="N22" s="51">
        <v>1.1836</v>
      </c>
      <c r="O22" s="50">
        <v>104.04</v>
      </c>
      <c r="P22" s="43">
        <v>24181.97</v>
      </c>
      <c r="Q22" s="43">
        <v>24461.98</v>
      </c>
      <c r="R22" s="49">
        <f t="shared" si="3"/>
        <v>27036.160865157148</v>
      </c>
      <c r="S22" s="48">
        <v>1.3243</v>
      </c>
    </row>
    <row r="23" spans="2:19" x14ac:dyDescent="0.2">
      <c r="B23" s="47">
        <v>44155</v>
      </c>
      <c r="C23" s="46">
        <v>32000</v>
      </c>
      <c r="D23" s="45">
        <v>32000</v>
      </c>
      <c r="E23" s="44">
        <f t="shared" si="0"/>
        <v>32000</v>
      </c>
      <c r="F23" s="46">
        <v>32390</v>
      </c>
      <c r="G23" s="45">
        <v>32390</v>
      </c>
      <c r="H23" s="44">
        <f t="shared" si="1"/>
        <v>32390</v>
      </c>
      <c r="I23" s="46">
        <v>34180</v>
      </c>
      <c r="J23" s="45">
        <v>34180</v>
      </c>
      <c r="K23" s="44">
        <f t="shared" si="2"/>
        <v>34180</v>
      </c>
      <c r="L23" s="52">
        <v>32000</v>
      </c>
      <c r="M23" s="51">
        <v>1.3274999999999999</v>
      </c>
      <c r="N23" s="51">
        <v>1.1872</v>
      </c>
      <c r="O23" s="50">
        <v>103.8</v>
      </c>
      <c r="P23" s="43">
        <v>24105.46</v>
      </c>
      <c r="Q23" s="43">
        <v>24380.880000000001</v>
      </c>
      <c r="R23" s="49">
        <f t="shared" si="3"/>
        <v>26954.177897574122</v>
      </c>
      <c r="S23" s="48">
        <v>1.3285</v>
      </c>
    </row>
    <row r="24" spans="2:19" x14ac:dyDescent="0.2">
      <c r="B24" s="47">
        <v>44158</v>
      </c>
      <c r="C24" s="46">
        <v>31980</v>
      </c>
      <c r="D24" s="45">
        <v>31980</v>
      </c>
      <c r="E24" s="44">
        <f t="shared" si="0"/>
        <v>31980</v>
      </c>
      <c r="F24" s="46">
        <v>32390</v>
      </c>
      <c r="G24" s="45">
        <v>32390</v>
      </c>
      <c r="H24" s="44">
        <f t="shared" si="1"/>
        <v>32390</v>
      </c>
      <c r="I24" s="46">
        <v>34160</v>
      </c>
      <c r="J24" s="45">
        <v>34160</v>
      </c>
      <c r="K24" s="44">
        <f t="shared" si="2"/>
        <v>34160</v>
      </c>
      <c r="L24" s="52">
        <v>31980</v>
      </c>
      <c r="M24" s="51">
        <v>1.3392999999999999</v>
      </c>
      <c r="N24" s="51">
        <v>1.1902999999999999</v>
      </c>
      <c r="O24" s="50">
        <v>103.73</v>
      </c>
      <c r="P24" s="43">
        <v>23878.15</v>
      </c>
      <c r="Q24" s="43">
        <v>24166.23</v>
      </c>
      <c r="R24" s="49">
        <f t="shared" si="3"/>
        <v>26867.176342098632</v>
      </c>
      <c r="S24" s="48">
        <v>1.3403</v>
      </c>
    </row>
    <row r="25" spans="2:19" x14ac:dyDescent="0.2">
      <c r="B25" s="47">
        <v>44159</v>
      </c>
      <c r="C25" s="46">
        <v>31980</v>
      </c>
      <c r="D25" s="45">
        <v>31980</v>
      </c>
      <c r="E25" s="44">
        <f t="shared" si="0"/>
        <v>31980</v>
      </c>
      <c r="F25" s="46">
        <v>32390</v>
      </c>
      <c r="G25" s="45">
        <v>32390</v>
      </c>
      <c r="H25" s="44">
        <f t="shared" si="1"/>
        <v>32390</v>
      </c>
      <c r="I25" s="46">
        <v>34150</v>
      </c>
      <c r="J25" s="45">
        <v>34150</v>
      </c>
      <c r="K25" s="44">
        <f t="shared" si="2"/>
        <v>34150</v>
      </c>
      <c r="L25" s="52">
        <v>31980</v>
      </c>
      <c r="M25" s="51">
        <v>1.3324</v>
      </c>
      <c r="N25" s="51">
        <v>1.1869000000000001</v>
      </c>
      <c r="O25" s="50">
        <v>104.53</v>
      </c>
      <c r="P25" s="43">
        <v>24001.8</v>
      </c>
      <c r="Q25" s="43">
        <v>24291.29</v>
      </c>
      <c r="R25" s="49">
        <f t="shared" si="3"/>
        <v>26944.140197152243</v>
      </c>
      <c r="S25" s="48">
        <v>1.3333999999999999</v>
      </c>
    </row>
    <row r="26" spans="2:19" x14ac:dyDescent="0.2">
      <c r="B26" s="47">
        <v>44160</v>
      </c>
      <c r="C26" s="46">
        <v>31975</v>
      </c>
      <c r="D26" s="45">
        <v>31975</v>
      </c>
      <c r="E26" s="44">
        <f t="shared" si="0"/>
        <v>31975</v>
      </c>
      <c r="F26" s="46">
        <v>32390</v>
      </c>
      <c r="G26" s="45">
        <v>32390</v>
      </c>
      <c r="H26" s="44">
        <f t="shared" si="1"/>
        <v>32390</v>
      </c>
      <c r="I26" s="46">
        <v>34145</v>
      </c>
      <c r="J26" s="45">
        <v>34145</v>
      </c>
      <c r="K26" s="44">
        <f t="shared" si="2"/>
        <v>34145</v>
      </c>
      <c r="L26" s="52">
        <v>31975</v>
      </c>
      <c r="M26" s="51">
        <v>1.3349</v>
      </c>
      <c r="N26" s="51">
        <v>1.1895</v>
      </c>
      <c r="O26" s="50">
        <v>104.41</v>
      </c>
      <c r="P26" s="43">
        <v>23953.11</v>
      </c>
      <c r="Q26" s="43">
        <v>24245.83</v>
      </c>
      <c r="R26" s="49">
        <f t="shared" si="3"/>
        <v>26881.042454812945</v>
      </c>
      <c r="S26" s="48">
        <v>1.3359000000000001</v>
      </c>
    </row>
    <row r="27" spans="2:19" x14ac:dyDescent="0.2">
      <c r="B27" s="47">
        <v>44161</v>
      </c>
      <c r="C27" s="46">
        <v>31980</v>
      </c>
      <c r="D27" s="45">
        <v>31980</v>
      </c>
      <c r="E27" s="44">
        <f t="shared" si="0"/>
        <v>31980</v>
      </c>
      <c r="F27" s="46">
        <v>32390</v>
      </c>
      <c r="G27" s="45">
        <v>32390</v>
      </c>
      <c r="H27" s="44">
        <f t="shared" si="1"/>
        <v>32390</v>
      </c>
      <c r="I27" s="46">
        <v>34140</v>
      </c>
      <c r="J27" s="45">
        <v>34140</v>
      </c>
      <c r="K27" s="44">
        <f t="shared" si="2"/>
        <v>34140</v>
      </c>
      <c r="L27" s="52">
        <v>31980</v>
      </c>
      <c r="M27" s="51">
        <v>1.3348</v>
      </c>
      <c r="N27" s="51">
        <v>1.1896</v>
      </c>
      <c r="O27" s="50">
        <v>104.26</v>
      </c>
      <c r="P27" s="43">
        <v>23958.65</v>
      </c>
      <c r="Q27" s="43">
        <v>24247.64</v>
      </c>
      <c r="R27" s="49">
        <f t="shared" si="3"/>
        <v>26882.985877605919</v>
      </c>
      <c r="S27" s="48">
        <v>1.3358000000000001</v>
      </c>
    </row>
    <row r="28" spans="2:19" x14ac:dyDescent="0.2">
      <c r="B28" s="47">
        <v>44162</v>
      </c>
      <c r="C28" s="46">
        <v>31985</v>
      </c>
      <c r="D28" s="45">
        <v>31985</v>
      </c>
      <c r="E28" s="44">
        <f t="shared" si="0"/>
        <v>31985</v>
      </c>
      <c r="F28" s="46">
        <v>32390</v>
      </c>
      <c r="G28" s="45">
        <v>32390</v>
      </c>
      <c r="H28" s="44">
        <f t="shared" si="1"/>
        <v>32390</v>
      </c>
      <c r="I28" s="46">
        <v>34140</v>
      </c>
      <c r="J28" s="45">
        <v>34140</v>
      </c>
      <c r="K28" s="44">
        <f t="shared" si="2"/>
        <v>34140</v>
      </c>
      <c r="L28" s="52">
        <v>31985</v>
      </c>
      <c r="M28" s="51">
        <v>1.3329</v>
      </c>
      <c r="N28" s="51">
        <v>1.1924999999999999</v>
      </c>
      <c r="O28" s="50">
        <v>104.16</v>
      </c>
      <c r="P28" s="43">
        <v>23996.55</v>
      </c>
      <c r="Q28" s="43">
        <v>24280.36</v>
      </c>
      <c r="R28" s="49">
        <f t="shared" si="3"/>
        <v>26821.802935010484</v>
      </c>
      <c r="S28" s="48">
        <v>1.3340000000000001</v>
      </c>
    </row>
    <row r="29" spans="2:19" x14ac:dyDescent="0.2">
      <c r="B29" s="47">
        <v>44165</v>
      </c>
      <c r="C29" s="46">
        <v>31990</v>
      </c>
      <c r="D29" s="45">
        <v>31990</v>
      </c>
      <c r="E29" s="44">
        <f t="shared" si="0"/>
        <v>31990</v>
      </c>
      <c r="F29" s="46">
        <v>32390</v>
      </c>
      <c r="G29" s="45">
        <v>32390</v>
      </c>
      <c r="H29" s="44">
        <f t="shared" si="1"/>
        <v>32390</v>
      </c>
      <c r="I29" s="46">
        <v>34140</v>
      </c>
      <c r="J29" s="45">
        <v>34140</v>
      </c>
      <c r="K29" s="44">
        <f t="shared" si="2"/>
        <v>34140</v>
      </c>
      <c r="L29" s="52">
        <v>31990</v>
      </c>
      <c r="M29" s="51">
        <v>1.3327</v>
      </c>
      <c r="N29" s="51">
        <v>1.1976</v>
      </c>
      <c r="O29" s="50">
        <v>104.13</v>
      </c>
      <c r="P29" s="43">
        <v>24003.9</v>
      </c>
      <c r="Q29" s="43">
        <v>24282.18</v>
      </c>
      <c r="R29" s="49">
        <f t="shared" si="3"/>
        <v>26711.756847027387</v>
      </c>
      <c r="S29" s="48">
        <v>1.3339000000000001</v>
      </c>
    </row>
    <row r="30" spans="2:19" s="10" customFormat="1" x14ac:dyDescent="0.2">
      <c r="B30" s="42" t="s">
        <v>11</v>
      </c>
      <c r="C30" s="41">
        <f>ROUND(AVERAGE(C9:C29),2)</f>
        <v>32238.33</v>
      </c>
      <c r="D30" s="40">
        <f>ROUND(AVERAGE(D9:D29),2)</f>
        <v>32238.33</v>
      </c>
      <c r="E30" s="39">
        <f>ROUND(AVERAGE(C30:D30),2)</f>
        <v>32238.33</v>
      </c>
      <c r="F30" s="41">
        <f>ROUND(AVERAGE(F9:F29),2)</f>
        <v>32623.81</v>
      </c>
      <c r="G30" s="40">
        <f>ROUND(AVERAGE(G9:G29),2)</f>
        <v>32623.81</v>
      </c>
      <c r="H30" s="39">
        <f>ROUND(AVERAGE(F30:G30),2)</f>
        <v>32623.81</v>
      </c>
      <c r="I30" s="41">
        <f>ROUND(AVERAGE(I9:I29),2)</f>
        <v>34435.24</v>
      </c>
      <c r="J30" s="40">
        <f>ROUND(AVERAGE(J9:J29),2)</f>
        <v>34435.24</v>
      </c>
      <c r="K30" s="39">
        <f>ROUND(AVERAGE(I30:J30),2)</f>
        <v>34435.24</v>
      </c>
      <c r="L30" s="38">
        <f>ROUND(AVERAGE(L9:L29),2)</f>
        <v>32238.33</v>
      </c>
      <c r="M30" s="37">
        <f>ROUND(AVERAGE(M9:M29),4)</f>
        <v>1.3209</v>
      </c>
      <c r="N30" s="36">
        <f>ROUND(AVERAGE(N9:N29),4)</f>
        <v>1.1839999999999999</v>
      </c>
      <c r="O30" s="175">
        <f>ROUND(AVERAGE(O9:O29),2)</f>
        <v>104.43</v>
      </c>
      <c r="P30" s="35">
        <f>AVERAGE(P9:P29)</f>
        <v>24409.139047619054</v>
      </c>
      <c r="Q30" s="35">
        <f>AVERAGE(Q9:Q29)</f>
        <v>24682.999523809522</v>
      </c>
      <c r="R30" s="35">
        <f>AVERAGE(R9:R29)</f>
        <v>27231.22302714513</v>
      </c>
      <c r="S30" s="34">
        <f>AVERAGE(S9:S29)</f>
        <v>1.3218952380952382</v>
      </c>
    </row>
    <row r="31" spans="2:19" s="5" customFormat="1" x14ac:dyDescent="0.2">
      <c r="B31" s="33" t="s">
        <v>12</v>
      </c>
      <c r="C31" s="32">
        <f t="shared" ref="C31:S31" si="4">MAX(C9:C29)</f>
        <v>32480</v>
      </c>
      <c r="D31" s="31">
        <f t="shared" si="4"/>
        <v>32480</v>
      </c>
      <c r="E31" s="30">
        <f t="shared" si="4"/>
        <v>32480</v>
      </c>
      <c r="F31" s="32">
        <f t="shared" si="4"/>
        <v>32835</v>
      </c>
      <c r="G31" s="31">
        <f t="shared" si="4"/>
        <v>32835</v>
      </c>
      <c r="H31" s="30">
        <f t="shared" si="4"/>
        <v>32835</v>
      </c>
      <c r="I31" s="32">
        <f t="shared" si="4"/>
        <v>34715</v>
      </c>
      <c r="J31" s="31">
        <f t="shared" si="4"/>
        <v>34715</v>
      </c>
      <c r="K31" s="30">
        <f t="shared" si="4"/>
        <v>34715</v>
      </c>
      <c r="L31" s="29">
        <f t="shared" si="4"/>
        <v>32480</v>
      </c>
      <c r="M31" s="28">
        <f t="shared" si="4"/>
        <v>1.3392999999999999</v>
      </c>
      <c r="N31" s="27">
        <f t="shared" si="4"/>
        <v>1.1976</v>
      </c>
      <c r="O31" s="26">
        <f t="shared" si="4"/>
        <v>105.5</v>
      </c>
      <c r="P31" s="25">
        <f t="shared" si="4"/>
        <v>25127.65</v>
      </c>
      <c r="Q31" s="25">
        <f t="shared" si="4"/>
        <v>25384.62</v>
      </c>
      <c r="R31" s="25">
        <f t="shared" si="4"/>
        <v>27889.404087240251</v>
      </c>
      <c r="S31" s="24">
        <f t="shared" si="4"/>
        <v>1.3403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31975</v>
      </c>
      <c r="D32" s="21">
        <f t="shared" si="5"/>
        <v>31975</v>
      </c>
      <c r="E32" s="20">
        <f t="shared" si="5"/>
        <v>31975</v>
      </c>
      <c r="F32" s="22">
        <f t="shared" si="5"/>
        <v>32390</v>
      </c>
      <c r="G32" s="21">
        <f t="shared" si="5"/>
        <v>32390</v>
      </c>
      <c r="H32" s="20">
        <f t="shared" si="5"/>
        <v>32390</v>
      </c>
      <c r="I32" s="22">
        <f t="shared" si="5"/>
        <v>34140</v>
      </c>
      <c r="J32" s="21">
        <f t="shared" si="5"/>
        <v>34140</v>
      </c>
      <c r="K32" s="20">
        <f t="shared" si="5"/>
        <v>34140</v>
      </c>
      <c r="L32" s="19">
        <f t="shared" si="5"/>
        <v>31975</v>
      </c>
      <c r="M32" s="18">
        <f t="shared" si="5"/>
        <v>1.2926</v>
      </c>
      <c r="N32" s="17">
        <f t="shared" si="5"/>
        <v>1.1646000000000001</v>
      </c>
      <c r="O32" s="16">
        <f t="shared" si="5"/>
        <v>103.35</v>
      </c>
      <c r="P32" s="15">
        <f t="shared" si="5"/>
        <v>23878.15</v>
      </c>
      <c r="Q32" s="15">
        <f t="shared" si="5"/>
        <v>24166.23</v>
      </c>
      <c r="R32" s="15">
        <f t="shared" si="5"/>
        <v>26711.756847027387</v>
      </c>
      <c r="S32" s="14">
        <f t="shared" si="5"/>
        <v>1.2935000000000001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4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44165</v>
      </c>
      <c r="D5" s="74"/>
      <c r="F5" s="75">
        <v>44165</v>
      </c>
      <c r="G5" s="74"/>
      <c r="I5" s="75">
        <v>44165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44137</v>
      </c>
      <c r="D8" s="68">
        <v>6726.62</v>
      </c>
      <c r="F8" s="69">
        <f t="shared" ref="F8:F28" si="0">C8</f>
        <v>44137</v>
      </c>
      <c r="G8" s="68">
        <v>1846</v>
      </c>
      <c r="I8" s="69">
        <f t="shared" ref="I8:I28" si="1">C8</f>
        <v>44137</v>
      </c>
      <c r="J8" s="68">
        <v>2539.2600000000002</v>
      </c>
    </row>
    <row r="9" spans="2:10" x14ac:dyDescent="0.2">
      <c r="C9" s="69">
        <v>44138</v>
      </c>
      <c r="D9" s="68">
        <v>6813.4</v>
      </c>
      <c r="F9" s="69">
        <f t="shared" si="0"/>
        <v>44138</v>
      </c>
      <c r="G9" s="68">
        <v>1869.36</v>
      </c>
      <c r="I9" s="69">
        <f t="shared" si="1"/>
        <v>44138</v>
      </c>
      <c r="J9" s="68">
        <v>2562</v>
      </c>
    </row>
    <row r="10" spans="2:10" x14ac:dyDescent="0.2">
      <c r="C10" s="69">
        <v>44139</v>
      </c>
      <c r="D10" s="68">
        <v>6760.57</v>
      </c>
      <c r="F10" s="69">
        <f t="shared" si="0"/>
        <v>44139</v>
      </c>
      <c r="G10" s="68">
        <v>1880.64</v>
      </c>
      <c r="I10" s="69">
        <f t="shared" si="1"/>
        <v>44139</v>
      </c>
      <c r="J10" s="68">
        <v>2545.5</v>
      </c>
    </row>
    <row r="11" spans="2:10" x14ac:dyDescent="0.2">
      <c r="C11" s="69">
        <v>44140</v>
      </c>
      <c r="D11" s="68">
        <v>6824.2</v>
      </c>
      <c r="F11" s="69">
        <f t="shared" si="0"/>
        <v>44140</v>
      </c>
      <c r="G11" s="68">
        <v>1902.04</v>
      </c>
      <c r="I11" s="69">
        <f t="shared" si="1"/>
        <v>44140</v>
      </c>
      <c r="J11" s="68">
        <v>2583.25</v>
      </c>
    </row>
    <row r="12" spans="2:10" x14ac:dyDescent="0.2">
      <c r="C12" s="69">
        <v>44141</v>
      </c>
      <c r="D12" s="68">
        <v>6852</v>
      </c>
      <c r="F12" s="69">
        <f t="shared" si="0"/>
        <v>44141</v>
      </c>
      <c r="G12" s="68">
        <v>1895.5</v>
      </c>
      <c r="I12" s="69">
        <f t="shared" si="1"/>
        <v>44141</v>
      </c>
      <c r="J12" s="68">
        <v>2606.71</v>
      </c>
    </row>
    <row r="13" spans="2:10" x14ac:dyDescent="0.2">
      <c r="C13" s="69">
        <v>44144</v>
      </c>
      <c r="D13" s="68">
        <v>6963.26</v>
      </c>
      <c r="F13" s="69">
        <f t="shared" si="0"/>
        <v>44144</v>
      </c>
      <c r="G13" s="68">
        <v>1911.36</v>
      </c>
      <c r="I13" s="69">
        <f t="shared" si="1"/>
        <v>44144</v>
      </c>
      <c r="J13" s="68">
        <v>2676.23</v>
      </c>
    </row>
    <row r="14" spans="2:10" x14ac:dyDescent="0.2">
      <c r="C14" s="69">
        <v>44145</v>
      </c>
      <c r="D14" s="68">
        <v>6892.5</v>
      </c>
      <c r="F14" s="69">
        <f t="shared" si="0"/>
        <v>44145</v>
      </c>
      <c r="G14" s="68">
        <v>1901.5</v>
      </c>
      <c r="I14" s="69">
        <f t="shared" si="1"/>
        <v>44145</v>
      </c>
      <c r="J14" s="68">
        <v>2633.5</v>
      </c>
    </row>
    <row r="15" spans="2:10" x14ac:dyDescent="0.2">
      <c r="C15" s="69">
        <v>44146</v>
      </c>
      <c r="D15" s="68">
        <v>6951</v>
      </c>
      <c r="F15" s="69">
        <f t="shared" si="0"/>
        <v>44146</v>
      </c>
      <c r="G15" s="68">
        <v>1915.77</v>
      </c>
      <c r="I15" s="69">
        <f t="shared" si="1"/>
        <v>44146</v>
      </c>
      <c r="J15" s="68">
        <v>2643.64</v>
      </c>
    </row>
    <row r="16" spans="2:10" x14ac:dyDescent="0.2">
      <c r="C16" s="69">
        <v>44147</v>
      </c>
      <c r="D16" s="68">
        <v>6894</v>
      </c>
      <c r="F16" s="69">
        <f t="shared" si="0"/>
        <v>44147</v>
      </c>
      <c r="G16" s="68">
        <v>1924</v>
      </c>
      <c r="I16" s="69">
        <f t="shared" si="1"/>
        <v>44147</v>
      </c>
      <c r="J16" s="68">
        <v>2619.29</v>
      </c>
    </row>
    <row r="17" spans="2:10" x14ac:dyDescent="0.2">
      <c r="C17" s="69">
        <v>44148</v>
      </c>
      <c r="D17" s="68">
        <v>6937.5</v>
      </c>
      <c r="F17" s="69">
        <f t="shared" si="0"/>
        <v>44148</v>
      </c>
      <c r="G17" s="68">
        <v>1938.04</v>
      </c>
      <c r="I17" s="69">
        <f t="shared" si="1"/>
        <v>44148</v>
      </c>
      <c r="J17" s="68">
        <v>2624.2</v>
      </c>
    </row>
    <row r="18" spans="2:10" x14ac:dyDescent="0.2">
      <c r="C18" s="69">
        <v>44151</v>
      </c>
      <c r="D18" s="68">
        <v>7170.47</v>
      </c>
      <c r="F18" s="69">
        <f t="shared" si="0"/>
        <v>44151</v>
      </c>
      <c r="G18" s="68">
        <v>1941.77</v>
      </c>
      <c r="I18" s="69">
        <f t="shared" si="1"/>
        <v>44151</v>
      </c>
      <c r="J18" s="68">
        <v>2666.5</v>
      </c>
    </row>
    <row r="19" spans="2:10" x14ac:dyDescent="0.2">
      <c r="C19" s="69">
        <v>44152</v>
      </c>
      <c r="D19" s="68">
        <v>7083.92</v>
      </c>
      <c r="F19" s="69">
        <f t="shared" si="0"/>
        <v>44152</v>
      </c>
      <c r="G19" s="68">
        <v>1950.5</v>
      </c>
      <c r="I19" s="69">
        <f t="shared" si="1"/>
        <v>44152</v>
      </c>
      <c r="J19" s="68">
        <v>2670.5</v>
      </c>
    </row>
    <row r="20" spans="2:10" x14ac:dyDescent="0.2">
      <c r="C20" s="69">
        <v>44153</v>
      </c>
      <c r="D20" s="68">
        <v>7118.59</v>
      </c>
      <c r="F20" s="69">
        <f t="shared" si="0"/>
        <v>44153</v>
      </c>
      <c r="G20" s="68">
        <v>1985.02</v>
      </c>
      <c r="I20" s="69">
        <f t="shared" si="1"/>
        <v>44153</v>
      </c>
      <c r="J20" s="68">
        <v>2740.5</v>
      </c>
    </row>
    <row r="21" spans="2:10" x14ac:dyDescent="0.2">
      <c r="C21" s="69">
        <v>44154</v>
      </c>
      <c r="D21" s="68">
        <v>7055.47</v>
      </c>
      <c r="F21" s="69">
        <f t="shared" si="0"/>
        <v>44154</v>
      </c>
      <c r="G21" s="68">
        <v>1991</v>
      </c>
      <c r="I21" s="69">
        <f t="shared" si="1"/>
        <v>44154</v>
      </c>
      <c r="J21" s="68">
        <v>2746.6</v>
      </c>
    </row>
    <row r="22" spans="2:10" x14ac:dyDescent="0.2">
      <c r="C22" s="69">
        <v>44155</v>
      </c>
      <c r="D22" s="68">
        <v>7152.52</v>
      </c>
      <c r="F22" s="69">
        <f t="shared" si="0"/>
        <v>44155</v>
      </c>
      <c r="G22" s="68">
        <v>1996.95</v>
      </c>
      <c r="I22" s="69">
        <f t="shared" si="1"/>
        <v>44155</v>
      </c>
      <c r="J22" s="68">
        <v>2787.87</v>
      </c>
    </row>
    <row r="23" spans="2:10" x14ac:dyDescent="0.2">
      <c r="C23" s="69">
        <v>44158</v>
      </c>
      <c r="D23" s="68">
        <v>7231.55</v>
      </c>
      <c r="F23" s="69">
        <f t="shared" si="0"/>
        <v>44158</v>
      </c>
      <c r="G23" s="68">
        <v>1991</v>
      </c>
      <c r="I23" s="69">
        <f t="shared" si="1"/>
        <v>44158</v>
      </c>
      <c r="J23" s="68">
        <v>2783.55</v>
      </c>
    </row>
    <row r="24" spans="2:10" x14ac:dyDescent="0.2">
      <c r="C24" s="69">
        <v>44159</v>
      </c>
      <c r="D24" s="68">
        <v>7305.4</v>
      </c>
      <c r="F24" s="69">
        <f t="shared" si="0"/>
        <v>44159</v>
      </c>
      <c r="G24" s="68">
        <v>1983.14</v>
      </c>
      <c r="I24" s="69">
        <f t="shared" si="1"/>
        <v>44159</v>
      </c>
      <c r="J24" s="68">
        <v>2756</v>
      </c>
    </row>
    <row r="25" spans="2:10" x14ac:dyDescent="0.2">
      <c r="C25" s="69">
        <v>44160</v>
      </c>
      <c r="D25" s="68">
        <v>7279.92</v>
      </c>
      <c r="F25" s="69">
        <f t="shared" si="0"/>
        <v>44160</v>
      </c>
      <c r="G25" s="68">
        <v>1994.12</v>
      </c>
      <c r="I25" s="69">
        <f t="shared" si="1"/>
        <v>44160</v>
      </c>
      <c r="J25" s="68">
        <v>2735.76</v>
      </c>
    </row>
    <row r="26" spans="2:10" x14ac:dyDescent="0.2">
      <c r="C26" s="69">
        <v>44161</v>
      </c>
      <c r="D26" s="68">
        <v>7401.41</v>
      </c>
      <c r="F26" s="69">
        <f t="shared" si="0"/>
        <v>44161</v>
      </c>
      <c r="G26" s="68">
        <v>1980.35</v>
      </c>
      <c r="I26" s="69">
        <f t="shared" si="1"/>
        <v>44161</v>
      </c>
      <c r="J26" s="68">
        <v>2784.23</v>
      </c>
    </row>
    <row r="27" spans="2:10" x14ac:dyDescent="0.2">
      <c r="C27" s="69">
        <v>44162</v>
      </c>
      <c r="D27" s="68">
        <v>7483.86</v>
      </c>
      <c r="F27" s="69">
        <f t="shared" si="0"/>
        <v>44162</v>
      </c>
      <c r="G27" s="68">
        <v>1984.99</v>
      </c>
      <c r="I27" s="69">
        <f t="shared" si="1"/>
        <v>44162</v>
      </c>
      <c r="J27" s="68">
        <v>2772.9</v>
      </c>
    </row>
    <row r="28" spans="2:10" ht="13.5" thickBot="1" x14ac:dyDescent="0.25">
      <c r="C28" s="69">
        <v>44165</v>
      </c>
      <c r="D28" s="68">
        <v>7673.3</v>
      </c>
      <c r="F28" s="69">
        <f t="shared" si="0"/>
        <v>44165</v>
      </c>
      <c r="G28" s="68">
        <v>2014.1</v>
      </c>
      <c r="I28" s="69">
        <f t="shared" si="1"/>
        <v>44165</v>
      </c>
      <c r="J28" s="68">
        <v>2827.5</v>
      </c>
    </row>
    <row r="29" spans="2:10" x14ac:dyDescent="0.2">
      <c r="B29" s="5"/>
      <c r="C29" s="67" t="s">
        <v>11</v>
      </c>
      <c r="D29" s="66">
        <f>ROUND(AVERAGE(D8:D28),2)</f>
        <v>7074.83</v>
      </c>
      <c r="F29" s="67" t="s">
        <v>11</v>
      </c>
      <c r="G29" s="66">
        <f>ROUND(AVERAGE(G8:G28),2)</f>
        <v>1942.72</v>
      </c>
      <c r="I29" s="67" t="s">
        <v>11</v>
      </c>
      <c r="J29" s="66">
        <f>ROUND(AVERAGE(J8:J28),2)</f>
        <v>2681.21</v>
      </c>
    </row>
    <row r="30" spans="2:10" x14ac:dyDescent="0.2">
      <c r="B30" s="5"/>
      <c r="C30" s="65" t="s">
        <v>12</v>
      </c>
      <c r="D30" s="64">
        <f>MAX(D8:D28)</f>
        <v>7673.3</v>
      </c>
      <c r="F30" s="65" t="s">
        <v>12</v>
      </c>
      <c r="G30" s="64">
        <f>MAX(G8:G28)</f>
        <v>2014.1</v>
      </c>
      <c r="I30" s="65" t="s">
        <v>12</v>
      </c>
      <c r="J30" s="64">
        <f>MAX(J8:J28)</f>
        <v>2827.5</v>
      </c>
    </row>
    <row r="31" spans="2:10" x14ac:dyDescent="0.2">
      <c r="B31" s="5"/>
      <c r="C31" s="63" t="s">
        <v>13</v>
      </c>
      <c r="D31" s="62">
        <f>MIN(D8:D28)</f>
        <v>6726.62</v>
      </c>
      <c r="F31" s="63" t="s">
        <v>13</v>
      </c>
      <c r="G31" s="62">
        <f>MIN(G8:G28)</f>
        <v>1846</v>
      </c>
      <c r="I31" s="63" t="s">
        <v>13</v>
      </c>
      <c r="J31" s="62">
        <f>MIN(J8:J28)</f>
        <v>2539.2600000000002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7074.83</v>
      </c>
      <c r="D11" s="155">
        <f>ABR!G29</f>
        <v>1942.72</v>
      </c>
      <c r="E11" s="155">
        <f>ABR!J29</f>
        <v>2681.21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1.3209</v>
      </c>
    </row>
    <row r="18" spans="2:9" x14ac:dyDescent="0.2">
      <c r="B18" s="151" t="s">
        <v>43</v>
      </c>
      <c r="C18" s="150">
        <f>'Averages Inc. Euro Eq'!F67</f>
        <v>104.43</v>
      </c>
    </row>
    <row r="19" spans="2:9" x14ac:dyDescent="0.2">
      <c r="B19" s="151" t="s">
        <v>41</v>
      </c>
      <c r="C19" s="149">
        <f>'Averages Inc. Euro Eq'!F68</f>
        <v>1.1839999999999999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1932.12</v>
      </c>
      <c r="D13" s="113">
        <v>1606.88</v>
      </c>
      <c r="E13" s="113">
        <v>7063.43</v>
      </c>
      <c r="F13" s="113">
        <v>1914.48</v>
      </c>
      <c r="G13" s="113">
        <v>15796.05</v>
      </c>
      <c r="H13" s="113">
        <v>18567.900000000001</v>
      </c>
      <c r="I13" s="113">
        <v>2669.69</v>
      </c>
      <c r="J13" s="113">
        <v>1757.31</v>
      </c>
      <c r="K13" s="113">
        <v>0.5</v>
      </c>
      <c r="L13" s="113">
        <v>32238.33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1932.12</v>
      </c>
      <c r="D15" s="113">
        <v>1606.88</v>
      </c>
      <c r="E15" s="113">
        <v>7063.43</v>
      </c>
      <c r="F15" s="113">
        <v>1914.48</v>
      </c>
      <c r="G15" s="113">
        <v>15796.05</v>
      </c>
      <c r="H15" s="113">
        <v>18567.900000000001</v>
      </c>
      <c r="I15" s="113">
        <v>2669.69</v>
      </c>
      <c r="J15" s="113">
        <v>1757.31</v>
      </c>
      <c r="K15" s="113">
        <v>1</v>
      </c>
      <c r="L15" s="113">
        <v>32238.33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1932.12</v>
      </c>
      <c r="D17" s="113">
        <v>1606.88</v>
      </c>
      <c r="E17" s="113">
        <v>7063.43</v>
      </c>
      <c r="F17" s="113">
        <v>1914.48</v>
      </c>
      <c r="G17" s="113">
        <v>15796.05</v>
      </c>
      <c r="H17" s="113">
        <v>18567.900000000001</v>
      </c>
      <c r="I17" s="113">
        <v>2669.69</v>
      </c>
      <c r="J17" s="113">
        <v>1757.31</v>
      </c>
      <c r="K17" s="113">
        <v>0.75</v>
      </c>
      <c r="L17" s="113">
        <v>32238.33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1945.5</v>
      </c>
      <c r="D19" s="113">
        <v>1627.86</v>
      </c>
      <c r="E19" s="113">
        <v>7078.19</v>
      </c>
      <c r="F19" s="113">
        <v>1929.79</v>
      </c>
      <c r="G19" s="113">
        <v>15837.43</v>
      </c>
      <c r="H19" s="113">
        <v>18538.71</v>
      </c>
      <c r="I19" s="113">
        <v>2682.26</v>
      </c>
      <c r="J19" s="113">
        <v>1779.79</v>
      </c>
      <c r="K19" s="113">
        <v>0.5</v>
      </c>
      <c r="L19" s="113">
        <v>32623.81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1945.5</v>
      </c>
      <c r="D21" s="113">
        <v>1627.86</v>
      </c>
      <c r="E21" s="113">
        <v>7078.19</v>
      </c>
      <c r="F21" s="113">
        <v>1929.79</v>
      </c>
      <c r="G21" s="113">
        <v>15837.43</v>
      </c>
      <c r="H21" s="113">
        <v>18538.71</v>
      </c>
      <c r="I21" s="113">
        <v>2682.26</v>
      </c>
      <c r="J21" s="113">
        <v>1779.79</v>
      </c>
      <c r="K21" s="113">
        <v>1</v>
      </c>
      <c r="L21" s="113">
        <v>32623.81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1945.5</v>
      </c>
      <c r="D23" s="113">
        <v>1627.86</v>
      </c>
      <c r="E23" s="113">
        <v>7078.19</v>
      </c>
      <c r="F23" s="113">
        <v>1929.79</v>
      </c>
      <c r="G23" s="113">
        <v>15837.43</v>
      </c>
      <c r="H23" s="113">
        <v>18538.71</v>
      </c>
      <c r="I23" s="113">
        <v>2682.26</v>
      </c>
      <c r="J23" s="113">
        <v>1779.79</v>
      </c>
      <c r="K23" s="113">
        <v>0.75</v>
      </c>
      <c r="L23" s="113">
        <v>32623.81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1976.5</v>
      </c>
      <c r="D25" s="113">
        <v>1627.69</v>
      </c>
      <c r="E25" s="113">
        <v>7083.19</v>
      </c>
      <c r="F25" s="113">
        <v>1963.12</v>
      </c>
      <c r="G25" s="113">
        <v>15974.9</v>
      </c>
      <c r="H25" s="113"/>
      <c r="I25" s="113">
        <v>2705.12</v>
      </c>
      <c r="J25" s="113">
        <v>1802.38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1976.5</v>
      </c>
      <c r="D27" s="113">
        <v>1627.69</v>
      </c>
      <c r="E27" s="113">
        <v>7083.19</v>
      </c>
      <c r="F27" s="113">
        <v>1963.12</v>
      </c>
      <c r="G27" s="113">
        <v>15974.9</v>
      </c>
      <c r="H27" s="113"/>
      <c r="I27" s="113">
        <v>2705.12</v>
      </c>
      <c r="J27" s="113">
        <v>1802.38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1976.5</v>
      </c>
      <c r="D29" s="113">
        <v>1627.69</v>
      </c>
      <c r="E29" s="113">
        <v>7083.19</v>
      </c>
      <c r="F29" s="113">
        <v>1963.12</v>
      </c>
      <c r="G29" s="113">
        <v>15974.9</v>
      </c>
      <c r="H29" s="113"/>
      <c r="I29" s="113">
        <v>2705.12</v>
      </c>
      <c r="J29" s="113">
        <v>1802.38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2025.43</v>
      </c>
      <c r="D31" s="113"/>
      <c r="E31" s="113">
        <v>7081.26</v>
      </c>
      <c r="F31" s="113">
        <v>1996.55</v>
      </c>
      <c r="G31" s="113">
        <v>16151.76</v>
      </c>
      <c r="H31" s="113"/>
      <c r="I31" s="113">
        <v>2707.67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2025.43</v>
      </c>
      <c r="D33" s="113"/>
      <c r="E33" s="113">
        <v>7081.26</v>
      </c>
      <c r="F33" s="113">
        <v>1996.55</v>
      </c>
      <c r="G33" s="113">
        <v>16151.76</v>
      </c>
      <c r="H33" s="113"/>
      <c r="I33" s="113">
        <v>2707.67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2025.43</v>
      </c>
      <c r="D35" s="113"/>
      <c r="E35" s="113">
        <v>7081.26</v>
      </c>
      <c r="F35" s="113">
        <v>1996.55</v>
      </c>
      <c r="G35" s="113">
        <v>16151.76</v>
      </c>
      <c r="H35" s="113"/>
      <c r="I35" s="113">
        <v>2707.67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2078.7600000000002</v>
      </c>
      <c r="D37" s="113"/>
      <c r="E37" s="113">
        <v>7085.24</v>
      </c>
      <c r="F37" s="113">
        <v>2026.55</v>
      </c>
      <c r="G37" s="113">
        <v>16335.1</v>
      </c>
      <c r="H37" s="113"/>
      <c r="I37" s="113">
        <v>2695.69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2078.7600000000002</v>
      </c>
      <c r="D39" s="113"/>
      <c r="E39" s="113">
        <v>7085.24</v>
      </c>
      <c r="F39" s="113">
        <v>2026.55</v>
      </c>
      <c r="G39" s="113">
        <v>16335.1</v>
      </c>
      <c r="H39" s="113"/>
      <c r="I39" s="113">
        <v>2695.69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2078.7600000000002</v>
      </c>
      <c r="D41" s="113"/>
      <c r="E41" s="113">
        <v>7085.24</v>
      </c>
      <c r="F41" s="113">
        <v>2026.55</v>
      </c>
      <c r="G41" s="113">
        <v>16335.1</v>
      </c>
      <c r="H41" s="113"/>
      <c r="I41" s="113">
        <v>2695.69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18386.099999999999</v>
      </c>
      <c r="I43" s="113"/>
      <c r="J43" s="113"/>
      <c r="K43" s="113">
        <v>0.5</v>
      </c>
      <c r="L43" s="113">
        <v>34435.24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18386.099999999999</v>
      </c>
      <c r="I45" s="113"/>
      <c r="J45" s="113"/>
      <c r="K45" s="113">
        <v>1</v>
      </c>
      <c r="L45" s="113">
        <v>34435.24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18386.099999999999</v>
      </c>
      <c r="I47" s="110"/>
      <c r="J47" s="110"/>
      <c r="K47" s="110">
        <v>0.75</v>
      </c>
      <c r="L47" s="110">
        <v>34435.24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1631.78</v>
      </c>
    </row>
    <row r="55" spans="2:5" x14ac:dyDescent="0.2">
      <c r="B55" s="100" t="s">
        <v>56</v>
      </c>
      <c r="C55" s="101">
        <v>1357.06</v>
      </c>
    </row>
    <row r="56" spans="2:5" x14ac:dyDescent="0.2">
      <c r="B56" s="100" t="s">
        <v>55</v>
      </c>
      <c r="C56" s="101">
        <v>5965.07</v>
      </c>
    </row>
    <row r="57" spans="2:5" x14ac:dyDescent="0.2">
      <c r="B57" s="100" t="s">
        <v>54</v>
      </c>
      <c r="C57" s="101">
        <v>1616.67</v>
      </c>
    </row>
    <row r="58" spans="2:5" x14ac:dyDescent="0.2">
      <c r="B58" s="100" t="s">
        <v>53</v>
      </c>
      <c r="C58" s="101">
        <v>13340.9</v>
      </c>
    </row>
    <row r="59" spans="2:5" x14ac:dyDescent="0.2">
      <c r="B59" s="100" t="s">
        <v>52</v>
      </c>
      <c r="C59" s="101">
        <v>15681.8</v>
      </c>
    </row>
    <row r="60" spans="2:5" x14ac:dyDescent="0.2">
      <c r="B60" s="100" t="s">
        <v>51</v>
      </c>
      <c r="C60" s="101">
        <v>2254.59</v>
      </c>
    </row>
    <row r="61" spans="2:5" x14ac:dyDescent="0.2">
      <c r="B61" s="98" t="s">
        <v>50</v>
      </c>
      <c r="C61" s="97">
        <v>1484.18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5346.35</v>
      </c>
      <c r="E65" s="96" t="s">
        <v>46</v>
      </c>
    </row>
    <row r="66" spans="2:9" x14ac:dyDescent="0.2">
      <c r="B66" s="93" t="s">
        <v>45</v>
      </c>
      <c r="D66" s="92">
        <v>5353.63</v>
      </c>
      <c r="E66" s="95" t="s">
        <v>10</v>
      </c>
      <c r="F66" s="90">
        <v>1.3209</v>
      </c>
    </row>
    <row r="67" spans="2:9" x14ac:dyDescent="0.2">
      <c r="B67" s="93" t="s">
        <v>44</v>
      </c>
      <c r="D67" s="92">
        <v>1448.9</v>
      </c>
      <c r="E67" s="95" t="s">
        <v>43</v>
      </c>
      <c r="F67" s="94">
        <v>104.43</v>
      </c>
    </row>
    <row r="68" spans="2:9" x14ac:dyDescent="0.2">
      <c r="B68" s="93" t="s">
        <v>42</v>
      </c>
      <c r="D68" s="92">
        <v>1459.43</v>
      </c>
      <c r="E68" s="91" t="s">
        <v>41</v>
      </c>
      <c r="F68" s="90">
        <v>1.1839999999999999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B2DA3C-B02A-4A19-B615-582CDA77EDEA}"/>
</file>

<file path=customXml/itemProps2.xml><?xml version="1.0" encoding="utf-8"?>
<ds:datastoreItem xmlns:ds="http://schemas.openxmlformats.org/officeDocument/2006/customXml" ds:itemID="{64BA2ACA-9F43-4782-B4BC-D55331D598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2011-08-25T10:07:39Z</cp:lastPrinted>
  <dcterms:created xsi:type="dcterms:W3CDTF">2012-05-31T12:49:12Z</dcterms:created>
  <dcterms:modified xsi:type="dcterms:W3CDTF">2020-11-30T17:58:21Z</dcterms:modified>
</cp:coreProperties>
</file>