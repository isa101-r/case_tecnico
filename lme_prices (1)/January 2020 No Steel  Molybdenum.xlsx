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370" yWindow="720" windowWidth="21840" windowHeight="11205" tabRatio="993" activeTab="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E11" i="13"/>
  <c r="J32" i="12"/>
  <c r="G32" i="12"/>
  <c r="D32" i="12"/>
  <c r="J31" i="12"/>
  <c r="G31" i="12"/>
  <c r="D31" i="12"/>
  <c r="J30" i="12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R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K32" i="10"/>
  <c r="J32" i="10"/>
  <c r="I32" i="10"/>
  <c r="G32" i="10"/>
  <c r="F32" i="10"/>
  <c r="E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H31" i="10"/>
  <c r="G31" i="10"/>
  <c r="F31" i="10"/>
  <c r="D31" i="10"/>
  <c r="E31" i="10" s="1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3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Q32" i="8"/>
  <c r="P32" i="8"/>
  <c r="O32" i="8"/>
  <c r="M32" i="8"/>
  <c r="L32" i="8"/>
  <c r="J32" i="8"/>
  <c r="I32" i="8"/>
  <c r="G32" i="8"/>
  <c r="F32" i="8"/>
  <c r="E32" i="8"/>
  <c r="D32" i="8"/>
  <c r="C32" i="8"/>
  <c r="Y31" i="8"/>
  <c r="W31" i="8"/>
  <c r="V31" i="8"/>
  <c r="U31" i="8"/>
  <c r="T31" i="8"/>
  <c r="S31" i="8"/>
  <c r="R31" i="8"/>
  <c r="P31" i="8"/>
  <c r="Q31" i="8" s="1"/>
  <c r="O31" i="8"/>
  <c r="M31" i="8"/>
  <c r="L31" i="8"/>
  <c r="N31" i="8" s="1"/>
  <c r="J31" i="8"/>
  <c r="I31" i="8"/>
  <c r="K31" i="8" s="1"/>
  <c r="H31" i="8"/>
  <c r="G31" i="8"/>
  <c r="F31" i="8"/>
  <c r="D31" i="8"/>
  <c r="E31" i="8" s="1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3" i="8" s="1"/>
  <c r="K10" i="8"/>
  <c r="H10" i="8"/>
  <c r="E10" i="8"/>
  <c r="X9" i="8"/>
  <c r="X32" i="8" s="1"/>
  <c r="Q9" i="8"/>
  <c r="Q33" i="8" s="1"/>
  <c r="N9" i="8"/>
  <c r="N32" i="8" s="1"/>
  <c r="K9" i="8"/>
  <c r="K32" i="8" s="1"/>
  <c r="H9" i="8"/>
  <c r="H32" i="8" s="1"/>
  <c r="E9" i="8"/>
  <c r="E33" i="8" s="1"/>
  <c r="S33" i="7"/>
  <c r="R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H31" i="7" s="1"/>
  <c r="F31" i="7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H33" i="7" s="1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E32" i="6"/>
  <c r="D32" i="6"/>
  <c r="C32" i="6"/>
  <c r="Y31" i="6"/>
  <c r="W31" i="6"/>
  <c r="V31" i="6"/>
  <c r="U31" i="6"/>
  <c r="T31" i="6"/>
  <c r="S31" i="6"/>
  <c r="R31" i="6"/>
  <c r="P31" i="6"/>
  <c r="Q31" i="6" s="1"/>
  <c r="O31" i="6"/>
  <c r="M31" i="6"/>
  <c r="L31" i="6"/>
  <c r="N31" i="6" s="1"/>
  <c r="J31" i="6"/>
  <c r="I31" i="6"/>
  <c r="K31" i="6" s="1"/>
  <c r="H31" i="6"/>
  <c r="G31" i="6"/>
  <c r="F31" i="6"/>
  <c r="D31" i="6"/>
  <c r="E31" i="6" s="1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3" i="6" s="1"/>
  <c r="K10" i="6"/>
  <c r="H10" i="6"/>
  <c r="E10" i="6"/>
  <c r="X9" i="6"/>
  <c r="X32" i="6" s="1"/>
  <c r="Q9" i="6"/>
  <c r="Q33" i="6" s="1"/>
  <c r="N9" i="6"/>
  <c r="N32" i="6" s="1"/>
  <c r="K9" i="6"/>
  <c r="K32" i="6" s="1"/>
  <c r="H9" i="6"/>
  <c r="H32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N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Q31" i="5"/>
  <c r="P31" i="5"/>
  <c r="O31" i="5"/>
  <c r="M31" i="5"/>
  <c r="N31" i="5" s="1"/>
  <c r="L31" i="5"/>
  <c r="J31" i="5"/>
  <c r="I31" i="5"/>
  <c r="K31" i="5" s="1"/>
  <c r="G31" i="5"/>
  <c r="F31" i="5"/>
  <c r="H31" i="5" s="1"/>
  <c r="E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2" i="5" s="1"/>
  <c r="Q10" i="5"/>
  <c r="N10" i="5"/>
  <c r="K10" i="5"/>
  <c r="H10" i="5"/>
  <c r="H32" i="5" s="1"/>
  <c r="E10" i="5"/>
  <c r="X9" i="5"/>
  <c r="X31" i="5" s="1"/>
  <c r="Q9" i="5"/>
  <c r="Q32" i="5" s="1"/>
  <c r="N9" i="5"/>
  <c r="N33" i="5" s="1"/>
  <c r="K9" i="5"/>
  <c r="K32" i="5" s="1"/>
  <c r="H9" i="5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N31" i="4"/>
  <c r="M31" i="4"/>
  <c r="L31" i="4"/>
  <c r="J31" i="4"/>
  <c r="K31" i="4" s="1"/>
  <c r="I31" i="4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3" i="4" s="1"/>
  <c r="Q10" i="4"/>
  <c r="N10" i="4"/>
  <c r="K10" i="4"/>
  <c r="H10" i="4"/>
  <c r="H33" i="4" s="1"/>
  <c r="E10" i="4"/>
  <c r="X9" i="4"/>
  <c r="X31" i="4" s="1"/>
  <c r="Q9" i="4"/>
  <c r="Q32" i="4" s="1"/>
  <c r="N9" i="4"/>
  <c r="N32" i="4" s="1"/>
  <c r="K9" i="4"/>
  <c r="K33" i="4" s="1"/>
  <c r="H9" i="4"/>
  <c r="H32" i="4" s="1"/>
  <c r="E9" i="4"/>
  <c r="E32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H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E31" i="3"/>
  <c r="D31" i="3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3" i="3" s="1"/>
  <c r="K9" i="3"/>
  <c r="K32" i="3" s="1"/>
  <c r="H9" i="3"/>
  <c r="H33" i="3" s="1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H31" i="2"/>
  <c r="G31" i="2"/>
  <c r="F31" i="2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2" i="2" s="1"/>
  <c r="K9" i="2"/>
  <c r="K33" i="2" s="1"/>
  <c r="H9" i="2"/>
  <c r="H33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N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Q31" i="1"/>
  <c r="P31" i="1"/>
  <c r="O31" i="1"/>
  <c r="M31" i="1"/>
  <c r="N31" i="1" s="1"/>
  <c r="L31" i="1"/>
  <c r="J31" i="1"/>
  <c r="I31" i="1"/>
  <c r="K31" i="1" s="1"/>
  <c r="G31" i="1"/>
  <c r="F31" i="1"/>
  <c r="H31" i="1" s="1"/>
  <c r="E31" i="1"/>
  <c r="D31" i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2" i="1" s="1"/>
  <c r="N9" i="1"/>
  <c r="N33" i="1" s="1"/>
  <c r="K9" i="1"/>
  <c r="K32" i="1" s="1"/>
  <c r="H9" i="1"/>
  <c r="H32" i="1" s="1"/>
  <c r="E9" i="1"/>
  <c r="E32" i="1" s="1"/>
  <c r="K33" i="5" l="1"/>
  <c r="E33" i="7"/>
  <c r="K33" i="1"/>
  <c r="K33" i="3"/>
  <c r="X31" i="6"/>
  <c r="H33" i="1"/>
  <c r="X33" i="1"/>
  <c r="H32" i="2"/>
  <c r="R31" i="3"/>
  <c r="E32" i="3"/>
  <c r="X32" i="4"/>
  <c r="E33" i="4"/>
  <c r="Q33" i="4"/>
  <c r="H33" i="5"/>
  <c r="X33" i="5"/>
  <c r="K33" i="6"/>
  <c r="K32" i="7"/>
  <c r="K33" i="8"/>
  <c r="H32" i="10"/>
  <c r="X32" i="1"/>
  <c r="E33" i="1"/>
  <c r="Q33" i="1"/>
  <c r="R31" i="2"/>
  <c r="E32" i="2"/>
  <c r="R32" i="3"/>
  <c r="N33" i="4"/>
  <c r="E33" i="5"/>
  <c r="Q33" i="5"/>
  <c r="H33" i="6"/>
  <c r="X33" i="6"/>
  <c r="H32" i="7"/>
  <c r="H33" i="8"/>
  <c r="X33" i="8"/>
  <c r="R31" i="10"/>
  <c r="X31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<sst xmlns="http://schemas.openxmlformats.org/spreadsheetml/2006/main" count="429" uniqueCount="99">
  <si>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</si>
  <si>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</si>
  <si>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</si>
  <si>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</si>
  <si>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</si>
  <si>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</si>
  <si>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</si>
  <si>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</si>
  <si>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</si>
  <si>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</si>
  <si>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</si>
  <si>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</si>
  <si>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</si>
  <si>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</si>
  <si>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</si>
  <si>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</si>
  <si>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</si>
  <si>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</si>
  <si>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</si>
  <si>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</si>
  <si>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</si>
  <si>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</si>
  <si>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</si>
  <si>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</si>
  <si>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</si>
  <si>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</si>
  <si>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</si>
  <si>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</si>
  <si>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</si>
  <si>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</si>
  <si>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</si>
  <si>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</si>
  <si>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</si>
  <si>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</si>
  <si>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</si>
  <si>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</si>
  <si>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</si>
  <si>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</si>
  <si>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</si>
  <si>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</si>
  <si>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</si>
  <si>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</si>
  <si>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</si>
  <si>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</si>
  <si>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</si>
  <si>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</si>
  <si>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</si>
  <si>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</si>
  <si>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</si>
  <si>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</si>
  <si>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</si>
  <si>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</si>
  <si>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</si>
  <si>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</si>
  <si>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</si>
  <si>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</si>
  <si>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</si>
  <si>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</si>
  <si>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</si>
  <si>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</si>
  <si>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</si>
  <si>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</si>
  <si>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</si>
  <si>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</si>
  <si>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</si>
  <si>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</si>
  <si>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</si>
  <si>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</si>
  <si>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</si>
  <si>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</si>
  <si>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</si>
  <si>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</si>
  <si>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</si>
  <si>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</si>
  <si>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</si>
  <si>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</si>
  <si>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</si>
  <si>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</si>
  <si>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</si>
  <si>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</si>
  <si>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</si>
  <si>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</si>
  <si>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</si>
  <si>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</si>
  <si>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</si>
  <si>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</si>
  <si>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</si>
  <si>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</si>
  <si>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</si>
  <si>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</si>
  <si>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</si>
  <si>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</si>
  <si>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</si>
  <si>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</si>
  <si>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</si>
  <si>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JANUARY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</si>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</sst>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 activeCell="E50" sqref="E5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43832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43832</v>
      </c>
      <c r="C9" s="46">
        <v>6165</v>
      </c>
      <c r="D9" s="45">
        <v>6165.5</v>
      </c>
      <c r="E9" s="44">
        <f t="shared" ref="E9:E30" si="0">AVERAGE(C9:D9)</f>
        <v>6165.25</v>
      </c>
      <c r="F9" s="46">
        <v>6190</v>
      </c>
      <c r="G9" s="45">
        <v>6192</v>
      </c>
      <c r="H9" s="44">
        <f t="shared" ref="H9:H30" si="1">AVERAGE(F9:G9)</f>
        <v>6191</v>
      </c>
      <c r="I9" s="46">
        <v>6245</v>
      </c>
      <c r="J9" s="45">
        <v>6255</v>
      </c>
      <c r="K9" s="44">
        <f t="shared" ref="K9:K30" si="2">AVERAGE(I9:J9)</f>
        <v>6250</v>
      </c>
      <c r="L9" s="46">
        <v>6275</v>
      </c>
      <c r="M9" s="45">
        <v>6285</v>
      </c>
      <c r="N9" s="44">
        <f t="shared" ref="N9:N30" si="3">AVERAGE(L9:M9)</f>
        <v>6280</v>
      </c>
      <c r="O9" s="46">
        <v>6320</v>
      </c>
      <c r="P9" s="45">
        <v>6330</v>
      </c>
      <c r="Q9" s="44">
        <f t="shared" ref="Q9:Q30" si="4">AVERAGE(O9:P9)</f>
        <v>6325</v>
      </c>
      <c r="R9" s="52">
        <v>6165.5</v>
      </c>
      <c r="S9" s="51">
        <v>1.3197000000000001</v>
      </c>
      <c r="T9" s="53">
        <v>1.1193</v>
      </c>
      <c r="U9" s="50">
        <v>108.79</v>
      </c>
      <c r="V9" s="43">
        <v>4671.8999999999996</v>
      </c>
      <c r="W9" s="43">
        <v>4680.2700000000004</v>
      </c>
      <c r="X9" s="49">
        <f t="shared" ref="X9:X30" si="5">R9/T9</f>
        <v>5508.3534351827038</v>
      </c>
      <c r="Y9" s="48">
        <v>1.323</v>
      </c>
    </row>
    <row r="10" spans="1:25" x14ac:dyDescent="0.2">
      <c r="B10" s="47">
        <v>43833</v>
      </c>
      <c r="C10" s="46">
        <v>6075</v>
      </c>
      <c r="D10" s="45">
        <v>6077</v>
      </c>
      <c r="E10" s="44">
        <f t="shared" si="0"/>
        <v>6076</v>
      </c>
      <c r="F10" s="46">
        <v>6102</v>
      </c>
      <c r="G10" s="45">
        <v>6105</v>
      </c>
      <c r="H10" s="44">
        <f t="shared" si="1"/>
        <v>6103.5</v>
      </c>
      <c r="I10" s="46">
        <v>6170</v>
      </c>
      <c r="J10" s="45">
        <v>6180</v>
      </c>
      <c r="K10" s="44">
        <f t="shared" si="2"/>
        <v>6175</v>
      </c>
      <c r="L10" s="46">
        <v>6205</v>
      </c>
      <c r="M10" s="45">
        <v>6215</v>
      </c>
      <c r="N10" s="44">
        <f t="shared" si="3"/>
        <v>6210</v>
      </c>
      <c r="O10" s="46">
        <v>6250</v>
      </c>
      <c r="P10" s="45">
        <v>6260</v>
      </c>
      <c r="Q10" s="44">
        <f t="shared" si="4"/>
        <v>6255</v>
      </c>
      <c r="R10" s="52">
        <v>6077</v>
      </c>
      <c r="S10" s="51">
        <v>1.3081</v>
      </c>
      <c r="T10" s="51">
        <v>1.1138999999999999</v>
      </c>
      <c r="U10" s="50">
        <v>108.07</v>
      </c>
      <c r="V10" s="43">
        <v>4645.67</v>
      </c>
      <c r="W10" s="43">
        <v>4655.33</v>
      </c>
      <c r="X10" s="49">
        <f t="shared" si="5"/>
        <v>5455.6064278660569</v>
      </c>
      <c r="Y10" s="48">
        <v>1.3113999999999999</v>
      </c>
    </row>
    <row r="11" spans="1:25" x14ac:dyDescent="0.2">
      <c r="B11" s="47">
        <v>43836</v>
      </c>
      <c r="C11" s="46">
        <v>6097</v>
      </c>
      <c r="D11" s="45">
        <v>6097.5</v>
      </c>
      <c r="E11" s="44">
        <f t="shared" si="0"/>
        <v>6097.25</v>
      </c>
      <c r="F11" s="46">
        <v>6119</v>
      </c>
      <c r="G11" s="45">
        <v>6119.5</v>
      </c>
      <c r="H11" s="44">
        <f t="shared" si="1"/>
        <v>6119.25</v>
      </c>
      <c r="I11" s="46">
        <v>6190</v>
      </c>
      <c r="J11" s="45">
        <v>6200</v>
      </c>
      <c r="K11" s="44">
        <f t="shared" si="2"/>
        <v>6195</v>
      </c>
      <c r="L11" s="46">
        <v>6230</v>
      </c>
      <c r="M11" s="45">
        <v>6240</v>
      </c>
      <c r="N11" s="44">
        <f t="shared" si="3"/>
        <v>6235</v>
      </c>
      <c r="O11" s="46">
        <v>6275</v>
      </c>
      <c r="P11" s="45">
        <v>6285</v>
      </c>
      <c r="Q11" s="44">
        <f t="shared" si="4"/>
        <v>6280</v>
      </c>
      <c r="R11" s="52">
        <v>6097.5</v>
      </c>
      <c r="S11" s="51">
        <v>1.3140000000000001</v>
      </c>
      <c r="T11" s="51">
        <v>1.1198999999999999</v>
      </c>
      <c r="U11" s="50">
        <v>108.16</v>
      </c>
      <c r="V11" s="43">
        <v>4640.41</v>
      </c>
      <c r="W11" s="43">
        <v>4645.49</v>
      </c>
      <c r="X11" s="49">
        <f t="shared" si="5"/>
        <v>5444.6825609429416</v>
      </c>
      <c r="Y11" s="48">
        <v>1.3172999999999999</v>
      </c>
    </row>
    <row r="12" spans="1:25" x14ac:dyDescent="0.2">
      <c r="B12" s="47">
        <v>43837</v>
      </c>
      <c r="C12" s="46">
        <v>6134</v>
      </c>
      <c r="D12" s="45">
        <v>6134.5</v>
      </c>
      <c r="E12" s="44">
        <f t="shared" si="0"/>
        <v>6134.25</v>
      </c>
      <c r="F12" s="46">
        <v>6157</v>
      </c>
      <c r="G12" s="45">
        <v>6159</v>
      </c>
      <c r="H12" s="44">
        <f t="shared" si="1"/>
        <v>6158</v>
      </c>
      <c r="I12" s="46">
        <v>6230</v>
      </c>
      <c r="J12" s="45">
        <v>6240</v>
      </c>
      <c r="K12" s="44">
        <f t="shared" si="2"/>
        <v>6235</v>
      </c>
      <c r="L12" s="46">
        <v>6270</v>
      </c>
      <c r="M12" s="45">
        <v>6280</v>
      </c>
      <c r="N12" s="44">
        <f t="shared" si="3"/>
        <v>6275</v>
      </c>
      <c r="O12" s="46">
        <v>6315</v>
      </c>
      <c r="P12" s="45">
        <v>6325</v>
      </c>
      <c r="Q12" s="44">
        <f t="shared" si="4"/>
        <v>6320</v>
      </c>
      <c r="R12" s="52">
        <v>6134.5</v>
      </c>
      <c r="S12" s="51">
        <v>1.3121</v>
      </c>
      <c r="T12" s="51">
        <v>1.1174999999999999</v>
      </c>
      <c r="U12" s="50">
        <v>108.43</v>
      </c>
      <c r="V12" s="43">
        <v>4675.33</v>
      </c>
      <c r="W12" s="43">
        <v>4694</v>
      </c>
      <c r="X12" s="49">
        <f t="shared" si="5"/>
        <v>5489.4854586129759</v>
      </c>
      <c r="Y12" s="48">
        <v>1.3121</v>
      </c>
    </row>
    <row r="13" spans="1:25" x14ac:dyDescent="0.2">
      <c r="B13" s="47">
        <v>43838</v>
      </c>
      <c r="C13" s="46">
        <v>6153.5</v>
      </c>
      <c r="D13" s="45">
        <v>6154</v>
      </c>
      <c r="E13" s="44">
        <f t="shared" si="0"/>
        <v>6153.75</v>
      </c>
      <c r="F13" s="46">
        <v>6174</v>
      </c>
      <c r="G13" s="45">
        <v>6175</v>
      </c>
      <c r="H13" s="44">
        <f t="shared" si="1"/>
        <v>6174.5</v>
      </c>
      <c r="I13" s="46">
        <v>6245</v>
      </c>
      <c r="J13" s="45">
        <v>6255</v>
      </c>
      <c r="K13" s="44">
        <f t="shared" si="2"/>
        <v>6250</v>
      </c>
      <c r="L13" s="46">
        <v>6285</v>
      </c>
      <c r="M13" s="45">
        <v>6295</v>
      </c>
      <c r="N13" s="44">
        <f t="shared" si="3"/>
        <v>6290</v>
      </c>
      <c r="O13" s="46">
        <v>6330</v>
      </c>
      <c r="P13" s="45">
        <v>6340</v>
      </c>
      <c r="Q13" s="44">
        <f t="shared" si="4"/>
        <v>6335</v>
      </c>
      <c r="R13" s="52">
        <v>6154</v>
      </c>
      <c r="S13" s="51">
        <v>1.3093999999999999</v>
      </c>
      <c r="T13" s="51">
        <v>1.1115999999999999</v>
      </c>
      <c r="U13" s="50">
        <v>108.77</v>
      </c>
      <c r="V13" s="43">
        <v>4699.8599999999997</v>
      </c>
      <c r="W13" s="43">
        <v>4703.6899999999996</v>
      </c>
      <c r="X13" s="49">
        <f t="shared" si="5"/>
        <v>5536.1640878013677</v>
      </c>
      <c r="Y13" s="48">
        <v>1.3128</v>
      </c>
    </row>
    <row r="14" spans="1:25" x14ac:dyDescent="0.2">
      <c r="B14" s="47">
        <v>43839</v>
      </c>
      <c r="C14" s="46">
        <v>6155</v>
      </c>
      <c r="D14" s="45">
        <v>6156</v>
      </c>
      <c r="E14" s="44">
        <f t="shared" si="0"/>
        <v>6155.5</v>
      </c>
      <c r="F14" s="46">
        <v>6184</v>
      </c>
      <c r="G14" s="45">
        <v>6186</v>
      </c>
      <c r="H14" s="44">
        <f t="shared" si="1"/>
        <v>6185</v>
      </c>
      <c r="I14" s="46">
        <v>6260</v>
      </c>
      <c r="J14" s="45">
        <v>6270</v>
      </c>
      <c r="K14" s="44">
        <f t="shared" si="2"/>
        <v>6265</v>
      </c>
      <c r="L14" s="46">
        <v>6300</v>
      </c>
      <c r="M14" s="45">
        <v>6310</v>
      </c>
      <c r="N14" s="44">
        <f t="shared" si="3"/>
        <v>6305</v>
      </c>
      <c r="O14" s="46">
        <v>6345</v>
      </c>
      <c r="P14" s="45">
        <v>6355</v>
      </c>
      <c r="Q14" s="44">
        <f t="shared" si="4"/>
        <v>6350</v>
      </c>
      <c r="R14" s="52">
        <v>6156</v>
      </c>
      <c r="S14" s="51">
        <v>1.3038000000000001</v>
      </c>
      <c r="T14" s="51">
        <v>1.1113999999999999</v>
      </c>
      <c r="U14" s="50">
        <v>109.36</v>
      </c>
      <c r="V14" s="43">
        <v>4721.58</v>
      </c>
      <c r="W14" s="43">
        <v>4732.25</v>
      </c>
      <c r="X14" s="49">
        <f t="shared" si="5"/>
        <v>5538.9598704336877</v>
      </c>
      <c r="Y14" s="48">
        <v>1.3071999999999999</v>
      </c>
    </row>
    <row r="15" spans="1:25" x14ac:dyDescent="0.2">
      <c r="B15" s="47">
        <v>43840</v>
      </c>
      <c r="C15" s="46">
        <v>6153</v>
      </c>
      <c r="D15" s="45">
        <v>6157</v>
      </c>
      <c r="E15" s="44">
        <f t="shared" si="0"/>
        <v>6155</v>
      </c>
      <c r="F15" s="46">
        <v>6179</v>
      </c>
      <c r="G15" s="45">
        <v>6184</v>
      </c>
      <c r="H15" s="44">
        <f t="shared" si="1"/>
        <v>6181.5</v>
      </c>
      <c r="I15" s="46">
        <v>6260</v>
      </c>
      <c r="J15" s="45">
        <v>6270</v>
      </c>
      <c r="K15" s="44">
        <f t="shared" si="2"/>
        <v>6265</v>
      </c>
      <c r="L15" s="46">
        <v>6300</v>
      </c>
      <c r="M15" s="45">
        <v>6310</v>
      </c>
      <c r="N15" s="44">
        <f t="shared" si="3"/>
        <v>6305</v>
      </c>
      <c r="O15" s="46">
        <v>6345</v>
      </c>
      <c r="P15" s="45">
        <v>6355</v>
      </c>
      <c r="Q15" s="44">
        <f t="shared" si="4"/>
        <v>6350</v>
      </c>
      <c r="R15" s="52">
        <v>6157</v>
      </c>
      <c r="S15" s="51">
        <v>1.3085</v>
      </c>
      <c r="T15" s="51">
        <v>1.1099000000000001</v>
      </c>
      <c r="U15" s="50">
        <v>109.64</v>
      </c>
      <c r="V15" s="43">
        <v>4705.3900000000003</v>
      </c>
      <c r="W15" s="43">
        <v>4713.7700000000004</v>
      </c>
      <c r="X15" s="49">
        <f t="shared" si="5"/>
        <v>5547.346607802504</v>
      </c>
      <c r="Y15" s="48">
        <v>1.3119000000000001</v>
      </c>
    </row>
    <row r="16" spans="1:25" x14ac:dyDescent="0.2">
      <c r="B16" s="47">
        <v>43843</v>
      </c>
      <c r="C16" s="46">
        <v>6176.5</v>
      </c>
      <c r="D16" s="45">
        <v>6177</v>
      </c>
      <c r="E16" s="44">
        <f t="shared" si="0"/>
        <v>6176.75</v>
      </c>
      <c r="F16" s="46">
        <v>6200</v>
      </c>
      <c r="G16" s="45">
        <v>6201</v>
      </c>
      <c r="H16" s="44">
        <f t="shared" si="1"/>
        <v>6200.5</v>
      </c>
      <c r="I16" s="46">
        <v>6280</v>
      </c>
      <c r="J16" s="45">
        <v>6290</v>
      </c>
      <c r="K16" s="44">
        <f t="shared" si="2"/>
        <v>6285</v>
      </c>
      <c r="L16" s="46">
        <v>6320</v>
      </c>
      <c r="M16" s="45">
        <v>6330</v>
      </c>
      <c r="N16" s="44">
        <f t="shared" si="3"/>
        <v>6325</v>
      </c>
      <c r="O16" s="46">
        <v>6365</v>
      </c>
      <c r="P16" s="45">
        <v>6375</v>
      </c>
      <c r="Q16" s="44">
        <f t="shared" si="4"/>
        <v>6370</v>
      </c>
      <c r="R16" s="52">
        <v>6177</v>
      </c>
      <c r="S16" s="51">
        <v>1.2976000000000001</v>
      </c>
      <c r="T16" s="51">
        <v>1.1125</v>
      </c>
      <c r="U16" s="50">
        <v>109.9</v>
      </c>
      <c r="V16" s="43">
        <v>4760.33</v>
      </c>
      <c r="W16" s="43">
        <v>4765.6000000000004</v>
      </c>
      <c r="X16" s="49">
        <f t="shared" si="5"/>
        <v>5552.3595505617977</v>
      </c>
      <c r="Y16" s="48">
        <v>1.3011999999999999</v>
      </c>
    </row>
    <row r="17" spans="2:25" x14ac:dyDescent="0.2">
      <c r="B17" s="47">
        <v>43844</v>
      </c>
      <c r="C17" s="46">
        <v>6246</v>
      </c>
      <c r="D17" s="45">
        <v>6247</v>
      </c>
      <c r="E17" s="44">
        <f t="shared" si="0"/>
        <v>6246.5</v>
      </c>
      <c r="F17" s="46">
        <v>6279</v>
      </c>
      <c r="G17" s="45">
        <v>6280</v>
      </c>
      <c r="H17" s="44">
        <f t="shared" si="1"/>
        <v>6279.5</v>
      </c>
      <c r="I17" s="46">
        <v>6355</v>
      </c>
      <c r="J17" s="45">
        <v>6365</v>
      </c>
      <c r="K17" s="44">
        <f t="shared" si="2"/>
        <v>6360</v>
      </c>
      <c r="L17" s="46">
        <v>6395</v>
      </c>
      <c r="M17" s="45">
        <v>6405</v>
      </c>
      <c r="N17" s="44">
        <f t="shared" si="3"/>
        <v>6400</v>
      </c>
      <c r="O17" s="46">
        <v>6440</v>
      </c>
      <c r="P17" s="45">
        <v>6450</v>
      </c>
      <c r="Q17" s="44">
        <f t="shared" si="4"/>
        <v>6445</v>
      </c>
      <c r="R17" s="52">
        <v>6247</v>
      </c>
      <c r="S17" s="51">
        <v>1.2975000000000001</v>
      </c>
      <c r="T17" s="51">
        <v>1.1120000000000001</v>
      </c>
      <c r="U17" s="50">
        <v>110.07</v>
      </c>
      <c r="V17" s="43">
        <v>4814.6400000000003</v>
      </c>
      <c r="W17" s="43">
        <v>4826.6899999999996</v>
      </c>
      <c r="X17" s="49">
        <f t="shared" si="5"/>
        <v>5617.8057553956833</v>
      </c>
      <c r="Y17" s="48">
        <v>1.3010999999999999</v>
      </c>
    </row>
    <row r="18" spans="2:25" x14ac:dyDescent="0.2">
      <c r="B18" s="47">
        <v>43845</v>
      </c>
      <c r="C18" s="46">
        <v>6231</v>
      </c>
      <c r="D18" s="45">
        <v>6232</v>
      </c>
      <c r="E18" s="44">
        <f t="shared" si="0"/>
        <v>6231.5</v>
      </c>
      <c r="F18" s="46">
        <v>6268</v>
      </c>
      <c r="G18" s="45">
        <v>6270</v>
      </c>
      <c r="H18" s="44">
        <f t="shared" si="1"/>
        <v>6269</v>
      </c>
      <c r="I18" s="46">
        <v>6340</v>
      </c>
      <c r="J18" s="45">
        <v>6350</v>
      </c>
      <c r="K18" s="44">
        <f t="shared" si="2"/>
        <v>6345</v>
      </c>
      <c r="L18" s="46">
        <v>6380</v>
      </c>
      <c r="M18" s="45">
        <v>6390</v>
      </c>
      <c r="N18" s="44">
        <f t="shared" si="3"/>
        <v>6385</v>
      </c>
      <c r="O18" s="46">
        <v>6425</v>
      </c>
      <c r="P18" s="45">
        <v>6435</v>
      </c>
      <c r="Q18" s="44">
        <f t="shared" si="4"/>
        <v>6430</v>
      </c>
      <c r="R18" s="52">
        <v>6232</v>
      </c>
      <c r="S18" s="51">
        <v>1.3007</v>
      </c>
      <c r="T18" s="51">
        <v>1.1141000000000001</v>
      </c>
      <c r="U18" s="50">
        <v>109.87</v>
      </c>
      <c r="V18" s="43">
        <v>4791.2700000000004</v>
      </c>
      <c r="W18" s="43">
        <v>4806.8100000000004</v>
      </c>
      <c r="X18" s="49">
        <f t="shared" si="5"/>
        <v>5593.7528049546718</v>
      </c>
      <c r="Y18" s="48">
        <v>1.3044</v>
      </c>
    </row>
    <row r="19" spans="2:25" x14ac:dyDescent="0.2">
      <c r="B19" s="47">
        <v>43846</v>
      </c>
      <c r="C19" s="46">
        <v>6300</v>
      </c>
      <c r="D19" s="45">
        <v>6300.5</v>
      </c>
      <c r="E19" s="44">
        <f t="shared" si="0"/>
        <v>6300.25</v>
      </c>
      <c r="F19" s="46">
        <v>6325</v>
      </c>
      <c r="G19" s="45">
        <v>6330</v>
      </c>
      <c r="H19" s="44">
        <f t="shared" si="1"/>
        <v>6327.5</v>
      </c>
      <c r="I19" s="46">
        <v>6390</v>
      </c>
      <c r="J19" s="45">
        <v>6400</v>
      </c>
      <c r="K19" s="44">
        <f t="shared" si="2"/>
        <v>6395</v>
      </c>
      <c r="L19" s="46">
        <v>6425</v>
      </c>
      <c r="M19" s="45">
        <v>6435</v>
      </c>
      <c r="N19" s="44">
        <f t="shared" si="3"/>
        <v>6430</v>
      </c>
      <c r="O19" s="46">
        <v>6465</v>
      </c>
      <c r="P19" s="45">
        <v>6475</v>
      </c>
      <c r="Q19" s="44">
        <f t="shared" si="4"/>
        <v>6470</v>
      </c>
      <c r="R19" s="52">
        <v>6300.5</v>
      </c>
      <c r="S19" s="51">
        <v>1.3066</v>
      </c>
      <c r="T19" s="51">
        <v>1.1165</v>
      </c>
      <c r="U19" s="50">
        <v>109.98</v>
      </c>
      <c r="V19" s="43">
        <v>4822.0600000000004</v>
      </c>
      <c r="W19" s="43">
        <v>4830.95</v>
      </c>
      <c r="X19" s="49">
        <f t="shared" si="5"/>
        <v>5643.0810568741599</v>
      </c>
      <c r="Y19" s="48">
        <v>1.3103</v>
      </c>
    </row>
    <row r="20" spans="2:25" x14ac:dyDescent="0.2">
      <c r="B20" s="47">
        <v>43847</v>
      </c>
      <c r="C20" s="46">
        <v>6275.5</v>
      </c>
      <c r="D20" s="45">
        <v>6276.5</v>
      </c>
      <c r="E20" s="44">
        <f t="shared" si="0"/>
        <v>6276</v>
      </c>
      <c r="F20" s="46">
        <v>6305</v>
      </c>
      <c r="G20" s="45">
        <v>6306</v>
      </c>
      <c r="H20" s="44">
        <f t="shared" si="1"/>
        <v>6305.5</v>
      </c>
      <c r="I20" s="46">
        <v>6375</v>
      </c>
      <c r="J20" s="45">
        <v>6385</v>
      </c>
      <c r="K20" s="44">
        <f t="shared" si="2"/>
        <v>6380</v>
      </c>
      <c r="L20" s="46">
        <v>6410</v>
      </c>
      <c r="M20" s="45">
        <v>6420</v>
      </c>
      <c r="N20" s="44">
        <f t="shared" si="3"/>
        <v>6415</v>
      </c>
      <c r="O20" s="46">
        <v>6450</v>
      </c>
      <c r="P20" s="45">
        <v>6460</v>
      </c>
      <c r="Q20" s="44">
        <f t="shared" si="4"/>
        <v>6455</v>
      </c>
      <c r="R20" s="52">
        <v>6276.5</v>
      </c>
      <c r="S20" s="51">
        <v>1.3051999999999999</v>
      </c>
      <c r="T20" s="51">
        <v>1.111</v>
      </c>
      <c r="U20" s="50">
        <v>110.11</v>
      </c>
      <c r="V20" s="43">
        <v>4808.84</v>
      </c>
      <c r="W20" s="43">
        <v>4817.79</v>
      </c>
      <c r="X20" s="49">
        <f t="shared" si="5"/>
        <v>5649.4149414941494</v>
      </c>
      <c r="Y20" s="48">
        <v>1.3089</v>
      </c>
    </row>
    <row r="21" spans="2:25" x14ac:dyDescent="0.2">
      <c r="B21" s="47">
        <v>43850</v>
      </c>
      <c r="C21" s="46">
        <v>6244</v>
      </c>
      <c r="D21" s="45">
        <v>6245</v>
      </c>
      <c r="E21" s="44">
        <f t="shared" si="0"/>
        <v>6244.5</v>
      </c>
      <c r="F21" s="46">
        <v>6270</v>
      </c>
      <c r="G21" s="45">
        <v>6271</v>
      </c>
      <c r="H21" s="44">
        <f t="shared" si="1"/>
        <v>6270.5</v>
      </c>
      <c r="I21" s="46">
        <v>6345</v>
      </c>
      <c r="J21" s="45">
        <v>6355</v>
      </c>
      <c r="K21" s="44">
        <f t="shared" si="2"/>
        <v>6350</v>
      </c>
      <c r="L21" s="46">
        <v>6375</v>
      </c>
      <c r="M21" s="45">
        <v>6385</v>
      </c>
      <c r="N21" s="44">
        <f t="shared" si="3"/>
        <v>6380</v>
      </c>
      <c r="O21" s="46">
        <v>6415</v>
      </c>
      <c r="P21" s="45">
        <v>6425</v>
      </c>
      <c r="Q21" s="44">
        <f t="shared" si="4"/>
        <v>6420</v>
      </c>
      <c r="R21" s="52">
        <v>6245</v>
      </c>
      <c r="S21" s="51">
        <v>1.2990999999999999</v>
      </c>
      <c r="T21" s="51">
        <v>1.1084000000000001</v>
      </c>
      <c r="U21" s="50">
        <v>110.19</v>
      </c>
      <c r="V21" s="43">
        <v>4807.17</v>
      </c>
      <c r="W21" s="43">
        <v>4827.1899999999996</v>
      </c>
      <c r="X21" s="49">
        <f t="shared" si="5"/>
        <v>5634.2475640562971</v>
      </c>
      <c r="Y21" s="48">
        <v>1.2990999999999999</v>
      </c>
    </row>
    <row r="22" spans="2:25" x14ac:dyDescent="0.2">
      <c r="B22" s="47">
        <v>43851</v>
      </c>
      <c r="C22" s="46">
        <v>6158</v>
      </c>
      <c r="D22" s="45">
        <v>6158.5</v>
      </c>
      <c r="E22" s="44">
        <f t="shared" si="0"/>
        <v>6158.25</v>
      </c>
      <c r="F22" s="46">
        <v>6184</v>
      </c>
      <c r="G22" s="45">
        <v>6186</v>
      </c>
      <c r="H22" s="44">
        <f t="shared" si="1"/>
        <v>6185</v>
      </c>
      <c r="I22" s="46">
        <v>6260</v>
      </c>
      <c r="J22" s="45">
        <v>6270</v>
      </c>
      <c r="K22" s="44">
        <f t="shared" si="2"/>
        <v>6265</v>
      </c>
      <c r="L22" s="46">
        <v>6300</v>
      </c>
      <c r="M22" s="45">
        <v>6310</v>
      </c>
      <c r="N22" s="44">
        <f t="shared" si="3"/>
        <v>6305</v>
      </c>
      <c r="O22" s="46">
        <v>6340</v>
      </c>
      <c r="P22" s="45">
        <v>6350</v>
      </c>
      <c r="Q22" s="44">
        <f t="shared" si="4"/>
        <v>6345</v>
      </c>
      <c r="R22" s="52">
        <v>6158.5</v>
      </c>
      <c r="S22" s="51">
        <v>1.3048999999999999</v>
      </c>
      <c r="T22" s="51">
        <v>1.1109</v>
      </c>
      <c r="U22" s="50">
        <v>110.05</v>
      </c>
      <c r="V22" s="43">
        <v>4719.5200000000004</v>
      </c>
      <c r="W22" s="43">
        <v>4727.1899999999996</v>
      </c>
      <c r="X22" s="49">
        <f t="shared" si="5"/>
        <v>5543.7033036276889</v>
      </c>
      <c r="Y22" s="48">
        <v>1.3086</v>
      </c>
    </row>
    <row r="23" spans="2:25" x14ac:dyDescent="0.2">
      <c r="B23" s="47">
        <v>43852</v>
      </c>
      <c r="C23" s="46">
        <v>6103</v>
      </c>
      <c r="D23" s="45">
        <v>6103.5</v>
      </c>
      <c r="E23" s="44">
        <f t="shared" si="0"/>
        <v>6103.25</v>
      </c>
      <c r="F23" s="46">
        <v>6138</v>
      </c>
      <c r="G23" s="45">
        <v>6139</v>
      </c>
      <c r="H23" s="44">
        <f t="shared" si="1"/>
        <v>6138.5</v>
      </c>
      <c r="I23" s="46">
        <v>6220</v>
      </c>
      <c r="J23" s="45">
        <v>6230</v>
      </c>
      <c r="K23" s="44">
        <f t="shared" si="2"/>
        <v>6225</v>
      </c>
      <c r="L23" s="46">
        <v>6260</v>
      </c>
      <c r="M23" s="45">
        <v>6270</v>
      </c>
      <c r="N23" s="44">
        <f t="shared" si="3"/>
        <v>6265</v>
      </c>
      <c r="O23" s="46">
        <v>6300</v>
      </c>
      <c r="P23" s="45">
        <v>6310</v>
      </c>
      <c r="Q23" s="44">
        <f t="shared" si="4"/>
        <v>6305</v>
      </c>
      <c r="R23" s="52">
        <v>6103.5</v>
      </c>
      <c r="S23" s="51">
        <v>1.3121</v>
      </c>
      <c r="T23" s="51">
        <v>1.1083000000000001</v>
      </c>
      <c r="U23" s="50">
        <v>109.98</v>
      </c>
      <c r="V23" s="43">
        <v>4651.7</v>
      </c>
      <c r="W23" s="43">
        <v>4665.6000000000004</v>
      </c>
      <c r="X23" s="49">
        <f t="shared" si="5"/>
        <v>5507.0829197870607</v>
      </c>
      <c r="Y23" s="48">
        <v>1.3158000000000001</v>
      </c>
    </row>
    <row r="24" spans="2:25" x14ac:dyDescent="0.2">
      <c r="B24" s="47">
        <v>43853</v>
      </c>
      <c r="C24" s="46">
        <v>6048</v>
      </c>
      <c r="D24" s="45">
        <v>6050</v>
      </c>
      <c r="E24" s="44">
        <f t="shared" si="0"/>
        <v>6049</v>
      </c>
      <c r="F24" s="46">
        <v>6081</v>
      </c>
      <c r="G24" s="45">
        <v>6082</v>
      </c>
      <c r="H24" s="44">
        <f t="shared" si="1"/>
        <v>6081.5</v>
      </c>
      <c r="I24" s="46">
        <v>6160</v>
      </c>
      <c r="J24" s="45">
        <v>6170</v>
      </c>
      <c r="K24" s="44">
        <f t="shared" si="2"/>
        <v>6165</v>
      </c>
      <c r="L24" s="46">
        <v>6200</v>
      </c>
      <c r="M24" s="45">
        <v>6210</v>
      </c>
      <c r="N24" s="44">
        <f t="shared" si="3"/>
        <v>6205</v>
      </c>
      <c r="O24" s="46">
        <v>6240</v>
      </c>
      <c r="P24" s="45">
        <v>6250</v>
      </c>
      <c r="Q24" s="44">
        <f t="shared" si="4"/>
        <v>6245</v>
      </c>
      <c r="R24" s="52">
        <v>6050</v>
      </c>
      <c r="S24" s="51">
        <v>1.3124</v>
      </c>
      <c r="T24" s="51">
        <v>1.1085</v>
      </c>
      <c r="U24" s="50">
        <v>109.6</v>
      </c>
      <c r="V24" s="43">
        <v>4609.88</v>
      </c>
      <c r="W24" s="43">
        <v>4621.2299999999996</v>
      </c>
      <c r="X24" s="49">
        <f t="shared" si="5"/>
        <v>5457.8258908434818</v>
      </c>
      <c r="Y24" s="48">
        <v>1.3161</v>
      </c>
    </row>
    <row r="25" spans="2:25" x14ac:dyDescent="0.2">
      <c r="B25" s="47">
        <v>43854</v>
      </c>
      <c r="C25" s="46">
        <v>5965</v>
      </c>
      <c r="D25" s="45">
        <v>5968</v>
      </c>
      <c r="E25" s="44">
        <f t="shared" si="0"/>
        <v>5966.5</v>
      </c>
      <c r="F25" s="46">
        <v>5993</v>
      </c>
      <c r="G25" s="45">
        <v>5996</v>
      </c>
      <c r="H25" s="44">
        <f t="shared" si="1"/>
        <v>5994.5</v>
      </c>
      <c r="I25" s="46">
        <v>6075</v>
      </c>
      <c r="J25" s="45">
        <v>6085</v>
      </c>
      <c r="K25" s="44">
        <f t="shared" si="2"/>
        <v>6080</v>
      </c>
      <c r="L25" s="46">
        <v>6115</v>
      </c>
      <c r="M25" s="45">
        <v>6125</v>
      </c>
      <c r="N25" s="44">
        <f t="shared" si="3"/>
        <v>6120</v>
      </c>
      <c r="O25" s="46">
        <v>6155</v>
      </c>
      <c r="P25" s="45">
        <v>6165</v>
      </c>
      <c r="Q25" s="44">
        <f t="shared" si="4"/>
        <v>6160</v>
      </c>
      <c r="R25" s="52">
        <v>5968</v>
      </c>
      <c r="S25" s="51">
        <v>1.3083</v>
      </c>
      <c r="T25" s="51">
        <v>1.1028</v>
      </c>
      <c r="U25" s="50">
        <v>109.62</v>
      </c>
      <c r="V25" s="43">
        <v>4561.6400000000003</v>
      </c>
      <c r="W25" s="43">
        <v>4570.12</v>
      </c>
      <c r="X25" s="49">
        <f t="shared" si="5"/>
        <v>5411.6793616249543</v>
      </c>
      <c r="Y25" s="48">
        <v>1.3120000000000001</v>
      </c>
    </row>
    <row r="26" spans="2:25" x14ac:dyDescent="0.2">
      <c r="B26" s="47">
        <v>43857</v>
      </c>
      <c r="C26" s="46">
        <v>5778</v>
      </c>
      <c r="D26" s="45">
        <v>5779</v>
      </c>
      <c r="E26" s="44">
        <f t="shared" si="0"/>
        <v>5778.5</v>
      </c>
      <c r="F26" s="46">
        <v>5808</v>
      </c>
      <c r="G26" s="45">
        <v>5809</v>
      </c>
      <c r="H26" s="44">
        <f t="shared" si="1"/>
        <v>5808.5</v>
      </c>
      <c r="I26" s="46">
        <v>5885</v>
      </c>
      <c r="J26" s="45">
        <v>5895</v>
      </c>
      <c r="K26" s="44">
        <f t="shared" si="2"/>
        <v>5890</v>
      </c>
      <c r="L26" s="46">
        <v>5925</v>
      </c>
      <c r="M26" s="45">
        <v>5935</v>
      </c>
      <c r="N26" s="44">
        <f t="shared" si="3"/>
        <v>5930</v>
      </c>
      <c r="O26" s="46">
        <v>5965</v>
      </c>
      <c r="P26" s="45">
        <v>5975</v>
      </c>
      <c r="Q26" s="44">
        <f t="shared" si="4"/>
        <v>5970</v>
      </c>
      <c r="R26" s="52">
        <v>5779</v>
      </c>
      <c r="S26" s="51">
        <v>1.3068</v>
      </c>
      <c r="T26" s="51">
        <v>1.1023000000000001</v>
      </c>
      <c r="U26" s="50">
        <v>108.96</v>
      </c>
      <c r="V26" s="43">
        <v>4422.25</v>
      </c>
      <c r="W26" s="43">
        <v>4432.66</v>
      </c>
      <c r="X26" s="49">
        <f t="shared" si="5"/>
        <v>5242.6744080558829</v>
      </c>
      <c r="Y26" s="48">
        <v>1.3105</v>
      </c>
    </row>
    <row r="27" spans="2:25" x14ac:dyDescent="0.2">
      <c r="B27" s="47">
        <v>43858</v>
      </c>
      <c r="C27" s="46">
        <v>5714</v>
      </c>
      <c r="D27" s="45">
        <v>5715</v>
      </c>
      <c r="E27" s="44">
        <f t="shared" si="0"/>
        <v>5714.5</v>
      </c>
      <c r="F27" s="46">
        <v>5745</v>
      </c>
      <c r="G27" s="45">
        <v>5746</v>
      </c>
      <c r="H27" s="44">
        <f t="shared" si="1"/>
        <v>5745.5</v>
      </c>
      <c r="I27" s="46">
        <v>5825</v>
      </c>
      <c r="J27" s="45">
        <v>5835</v>
      </c>
      <c r="K27" s="44">
        <f t="shared" si="2"/>
        <v>5830</v>
      </c>
      <c r="L27" s="46">
        <v>5865</v>
      </c>
      <c r="M27" s="45">
        <v>5875</v>
      </c>
      <c r="N27" s="44">
        <f t="shared" si="3"/>
        <v>5870</v>
      </c>
      <c r="O27" s="46">
        <v>5905</v>
      </c>
      <c r="P27" s="45">
        <v>5915</v>
      </c>
      <c r="Q27" s="44">
        <f t="shared" si="4"/>
        <v>5910</v>
      </c>
      <c r="R27" s="52">
        <v>5715</v>
      </c>
      <c r="S27" s="51">
        <v>1.3011999999999999</v>
      </c>
      <c r="T27" s="51">
        <v>1.1007</v>
      </c>
      <c r="U27" s="50">
        <v>109.06</v>
      </c>
      <c r="V27" s="43">
        <v>4392.1000000000004</v>
      </c>
      <c r="W27" s="43">
        <v>4403.3999999999996</v>
      </c>
      <c r="X27" s="49">
        <f t="shared" si="5"/>
        <v>5192.1504497138185</v>
      </c>
      <c r="Y27" s="48">
        <v>1.3048999999999999</v>
      </c>
    </row>
    <row r="28" spans="2:25" x14ac:dyDescent="0.2">
      <c r="B28" s="47">
        <v>43859</v>
      </c>
      <c r="C28" s="46">
        <v>5697.5</v>
      </c>
      <c r="D28" s="45">
        <v>5698</v>
      </c>
      <c r="E28" s="44">
        <f t="shared" si="0"/>
        <v>5697.75</v>
      </c>
      <c r="F28" s="46">
        <v>5722</v>
      </c>
      <c r="G28" s="45">
        <v>5723</v>
      </c>
      <c r="H28" s="44">
        <f t="shared" si="1"/>
        <v>5722.5</v>
      </c>
      <c r="I28" s="46">
        <v>5810</v>
      </c>
      <c r="J28" s="45">
        <v>5820</v>
      </c>
      <c r="K28" s="44">
        <f t="shared" si="2"/>
        <v>5815</v>
      </c>
      <c r="L28" s="46">
        <v>5860</v>
      </c>
      <c r="M28" s="45">
        <v>5870</v>
      </c>
      <c r="N28" s="44">
        <f t="shared" si="3"/>
        <v>5865</v>
      </c>
      <c r="O28" s="46">
        <v>5905</v>
      </c>
      <c r="P28" s="45">
        <v>5915</v>
      </c>
      <c r="Q28" s="44">
        <f t="shared" si="4"/>
        <v>5910</v>
      </c>
      <c r="R28" s="52">
        <v>5698</v>
      </c>
      <c r="S28" s="51">
        <v>1.3008999999999999</v>
      </c>
      <c r="T28" s="51">
        <v>1.0998000000000001</v>
      </c>
      <c r="U28" s="50">
        <v>109.12</v>
      </c>
      <c r="V28" s="43">
        <v>4380.04</v>
      </c>
      <c r="W28" s="43">
        <v>4387.12</v>
      </c>
      <c r="X28" s="49">
        <f t="shared" si="5"/>
        <v>5180.9419894526272</v>
      </c>
      <c r="Y28" s="48">
        <v>1.3045</v>
      </c>
    </row>
    <row r="29" spans="2:25" x14ac:dyDescent="0.2">
      <c r="B29" s="47">
        <v>43860</v>
      </c>
      <c r="C29" s="46">
        <v>5620</v>
      </c>
      <c r="D29" s="45">
        <v>5621</v>
      </c>
      <c r="E29" s="44">
        <f t="shared" si="0"/>
        <v>5620.5</v>
      </c>
      <c r="F29" s="46">
        <v>5634</v>
      </c>
      <c r="G29" s="45">
        <v>5635</v>
      </c>
      <c r="H29" s="44">
        <f t="shared" si="1"/>
        <v>5634.5</v>
      </c>
      <c r="I29" s="46">
        <v>5725</v>
      </c>
      <c r="J29" s="45">
        <v>5735</v>
      </c>
      <c r="K29" s="44">
        <f t="shared" si="2"/>
        <v>5730</v>
      </c>
      <c r="L29" s="46">
        <v>5775</v>
      </c>
      <c r="M29" s="45">
        <v>5785</v>
      </c>
      <c r="N29" s="44">
        <f t="shared" si="3"/>
        <v>5780</v>
      </c>
      <c r="O29" s="46">
        <v>5820</v>
      </c>
      <c r="P29" s="45">
        <v>5830</v>
      </c>
      <c r="Q29" s="44">
        <f t="shared" si="4"/>
        <v>5825</v>
      </c>
      <c r="R29" s="52">
        <v>5621</v>
      </c>
      <c r="S29" s="51">
        <v>1.3089</v>
      </c>
      <c r="T29" s="51">
        <v>1.1024</v>
      </c>
      <c r="U29" s="50">
        <v>108.78</v>
      </c>
      <c r="V29" s="43">
        <v>4294.45</v>
      </c>
      <c r="W29" s="43">
        <v>4294.6400000000003</v>
      </c>
      <c r="X29" s="49">
        <f t="shared" si="5"/>
        <v>5098.8751814223506</v>
      </c>
      <c r="Y29" s="48">
        <v>1.3121</v>
      </c>
    </row>
    <row r="30" spans="2:25" x14ac:dyDescent="0.2">
      <c r="B30" s="47">
        <v>43861</v>
      </c>
      <c r="C30" s="46">
        <v>5569</v>
      </c>
      <c r="D30" s="45">
        <v>5570</v>
      </c>
      <c r="E30" s="44">
        <f t="shared" si="0"/>
        <v>5569.5</v>
      </c>
      <c r="F30" s="46">
        <v>5587</v>
      </c>
      <c r="G30" s="45">
        <v>5588</v>
      </c>
      <c r="H30" s="44">
        <f t="shared" si="1"/>
        <v>5587.5</v>
      </c>
      <c r="I30" s="46">
        <v>5675</v>
      </c>
      <c r="J30" s="45">
        <v>5685</v>
      </c>
      <c r="K30" s="44">
        <f t="shared" si="2"/>
        <v>5680</v>
      </c>
      <c r="L30" s="46">
        <v>5730</v>
      </c>
      <c r="M30" s="45">
        <v>5740</v>
      </c>
      <c r="N30" s="44">
        <f t="shared" si="3"/>
        <v>5735</v>
      </c>
      <c r="O30" s="46">
        <v>5775</v>
      </c>
      <c r="P30" s="45">
        <v>5785</v>
      </c>
      <c r="Q30" s="44">
        <f t="shared" si="4"/>
        <v>5780</v>
      </c>
      <c r="R30" s="52">
        <v>5570</v>
      </c>
      <c r="S30" s="51">
        <v>1.3123</v>
      </c>
      <c r="T30" s="51">
        <v>1.1048</v>
      </c>
      <c r="U30" s="50">
        <v>108.97</v>
      </c>
      <c r="V30" s="43">
        <v>4244.46</v>
      </c>
      <c r="W30" s="43">
        <v>4247.8100000000004</v>
      </c>
      <c r="X30" s="49">
        <f t="shared" si="5"/>
        <v>5041.6364952932654</v>
      </c>
      <c r="Y30" s="48">
        <v>1.3154999999999999</v>
      </c>
    </row>
    <row r="31" spans="2:25" s="10" customFormat="1" x14ac:dyDescent="0.2">
      <c r="B31" s="42" t="s">
        <v>11</v>
      </c>
      <c r="C31" s="41">
        <f>ROUND(AVERAGE(C9:C30),2)</f>
        <v>6048.09</v>
      </c>
      <c r="D31" s="40">
        <f>ROUND(AVERAGE(D9:D30),2)</f>
        <v>6049.2</v>
      </c>
      <c r="E31" s="39">
        <f>ROUND(AVERAGE(C31:D31),2)</f>
        <v>6048.65</v>
      </c>
      <c r="F31" s="41">
        <f>ROUND(AVERAGE(F9:F30),2)</f>
        <v>6074.73</v>
      </c>
      <c r="G31" s="40">
        <f>ROUND(AVERAGE(G9:G30),2)</f>
        <v>6076.48</v>
      </c>
      <c r="H31" s="39">
        <f>ROUND(AVERAGE(F31:G31),2)</f>
        <v>6075.61</v>
      </c>
      <c r="I31" s="41">
        <f>ROUND(AVERAGE(I9:I30),2)</f>
        <v>6150.91</v>
      </c>
      <c r="J31" s="40">
        <f>ROUND(AVERAGE(J9:J30),2)</f>
        <v>6160.91</v>
      </c>
      <c r="K31" s="39">
        <f>ROUND(AVERAGE(I31:J31),2)</f>
        <v>6155.91</v>
      </c>
      <c r="L31" s="41">
        <f>ROUND(AVERAGE(L9:L30),2)</f>
        <v>6190.91</v>
      </c>
      <c r="M31" s="40">
        <f>ROUND(AVERAGE(M9:M30),2)</f>
        <v>6200.91</v>
      </c>
      <c r="N31" s="39">
        <f>ROUND(AVERAGE(L31:M31),2)</f>
        <v>6195.91</v>
      </c>
      <c r="O31" s="41">
        <f>ROUND(AVERAGE(O9:O30),2)</f>
        <v>6233.86</v>
      </c>
      <c r="P31" s="40">
        <f>ROUND(AVERAGE(P9:P30),2)</f>
        <v>6243.86</v>
      </c>
      <c r="Q31" s="39">
        <f>ROUND(AVERAGE(O31:P31),2)</f>
        <v>6238.86</v>
      </c>
      <c r="R31" s="38">
        <f>ROUND(AVERAGE(R9:R30),2)</f>
        <v>6049.2</v>
      </c>
      <c r="S31" s="37">
        <f>ROUND(AVERAGE(S9:S30),4)</f>
        <v>1.3068</v>
      </c>
      <c r="T31" s="36">
        <f>ROUND(AVERAGE(T9:T30),4)</f>
        <v>1.1099000000000001</v>
      </c>
      <c r="U31" s="175">
        <f>ROUND(AVERAGE(U9:U30),2)</f>
        <v>109.34</v>
      </c>
      <c r="V31" s="35">
        <f>AVERAGE(V9:V30)</f>
        <v>4629.1131818181821</v>
      </c>
      <c r="W31" s="35">
        <f>AVERAGE(W9:W30)</f>
        <v>4638.6181818181813</v>
      </c>
      <c r="X31" s="35">
        <f>AVERAGE(X9:X30)</f>
        <v>5449.4468237181873</v>
      </c>
      <c r="Y31" s="34">
        <f>AVERAGE(Y9:Y30)</f>
        <v>1.310031818181818</v>
      </c>
    </row>
    <row r="32" spans="2:25" s="5" customFormat="1" x14ac:dyDescent="0.2">
      <c r="B32" s="33" t="s">
        <v>12</v>
      </c>
      <c r="C32" s="32">
        <f t="shared" ref="C32:Y32" si="6">MAX(C9:C30)</f>
        <v>6300</v>
      </c>
      <c r="D32" s="31">
        <f t="shared" si="6"/>
        <v>6300.5</v>
      </c>
      <c r="E32" s="30">
        <f t="shared" si="6"/>
        <v>6300.25</v>
      </c>
      <c r="F32" s="32">
        <f t="shared" si="6"/>
        <v>6325</v>
      </c>
      <c r="G32" s="31">
        <f t="shared" si="6"/>
        <v>6330</v>
      </c>
      <c r="H32" s="30">
        <f t="shared" si="6"/>
        <v>6327.5</v>
      </c>
      <c r="I32" s="32">
        <f t="shared" si="6"/>
        <v>6390</v>
      </c>
      <c r="J32" s="31">
        <f t="shared" si="6"/>
        <v>6400</v>
      </c>
      <c r="K32" s="30">
        <f t="shared" si="6"/>
        <v>6395</v>
      </c>
      <c r="L32" s="32">
        <f t="shared" si="6"/>
        <v>6425</v>
      </c>
      <c r="M32" s="31">
        <f t="shared" si="6"/>
        <v>6435</v>
      </c>
      <c r="N32" s="30">
        <f t="shared" si="6"/>
        <v>6430</v>
      </c>
      <c r="O32" s="32">
        <f t="shared" si="6"/>
        <v>6465</v>
      </c>
      <c r="P32" s="31">
        <f t="shared" si="6"/>
        <v>6475</v>
      </c>
      <c r="Q32" s="30">
        <f t="shared" si="6"/>
        <v>6470</v>
      </c>
      <c r="R32" s="29">
        <f t="shared" si="6"/>
        <v>6300.5</v>
      </c>
      <c r="S32" s="28">
        <f t="shared" si="6"/>
        <v>1.3197000000000001</v>
      </c>
      <c r="T32" s="27">
        <f t="shared" si="6"/>
        <v>1.1198999999999999</v>
      </c>
      <c r="U32" s="26">
        <f t="shared" si="6"/>
        <v>110.19</v>
      </c>
      <c r="V32" s="25">
        <f t="shared" si="6"/>
        <v>4822.0600000000004</v>
      </c>
      <c r="W32" s="25">
        <f t="shared" si="6"/>
        <v>4830.95</v>
      </c>
      <c r="X32" s="25">
        <f t="shared" si="6"/>
        <v>5649.4149414941494</v>
      </c>
      <c r="Y32" s="24">
        <f t="shared" si="6"/>
        <v>1.323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5569</v>
      </c>
      <c r="D33" s="21">
        <f t="shared" si="7"/>
        <v>5570</v>
      </c>
      <c r="E33" s="20">
        <f t="shared" si="7"/>
        <v>5569.5</v>
      </c>
      <c r="F33" s="22">
        <f t="shared" si="7"/>
        <v>5587</v>
      </c>
      <c r="G33" s="21">
        <f t="shared" si="7"/>
        <v>5588</v>
      </c>
      <c r="H33" s="20">
        <f t="shared" si="7"/>
        <v>5587.5</v>
      </c>
      <c r="I33" s="22">
        <f t="shared" si="7"/>
        <v>5675</v>
      </c>
      <c r="J33" s="21">
        <f t="shared" si="7"/>
        <v>5685</v>
      </c>
      <c r="K33" s="20">
        <f t="shared" si="7"/>
        <v>5680</v>
      </c>
      <c r="L33" s="22">
        <f t="shared" si="7"/>
        <v>5730</v>
      </c>
      <c r="M33" s="21">
        <f t="shared" si="7"/>
        <v>5740</v>
      </c>
      <c r="N33" s="20">
        <f t="shared" si="7"/>
        <v>5735</v>
      </c>
      <c r="O33" s="22">
        <f t="shared" si="7"/>
        <v>5775</v>
      </c>
      <c r="P33" s="21">
        <f t="shared" si="7"/>
        <v>5785</v>
      </c>
      <c r="Q33" s="20">
        <f t="shared" si="7"/>
        <v>5780</v>
      </c>
      <c r="R33" s="19">
        <f t="shared" si="7"/>
        <v>5570</v>
      </c>
      <c r="S33" s="18">
        <f t="shared" si="7"/>
        <v>1.2975000000000001</v>
      </c>
      <c r="T33" s="17">
        <f t="shared" si="7"/>
        <v>1.0998000000000001</v>
      </c>
      <c r="U33" s="16">
        <f t="shared" si="7"/>
        <v>108.07</v>
      </c>
      <c r="V33" s="15">
        <f t="shared" si="7"/>
        <v>4244.46</v>
      </c>
      <c r="W33" s="15">
        <f t="shared" si="7"/>
        <v>4247.8100000000004</v>
      </c>
      <c r="X33" s="15">
        <f t="shared" si="7"/>
        <v>5041.6364952932654</v>
      </c>
      <c r="Y33" s="14">
        <f t="shared" si="7"/>
        <v>1.2990999999999999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43832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43832</v>
      </c>
      <c r="C9" s="46">
        <v>1315</v>
      </c>
      <c r="D9" s="45">
        <v>1325</v>
      </c>
      <c r="E9" s="44">
        <f t="shared" ref="E9:E30" si="0">AVERAGE(C9:D9)</f>
        <v>1320</v>
      </c>
      <c r="F9" s="46">
        <v>1330</v>
      </c>
      <c r="G9" s="45">
        <v>1340</v>
      </c>
      <c r="H9" s="44">
        <f t="shared" ref="H9:H30" si="1">AVERAGE(F9:G9)</f>
        <v>1335</v>
      </c>
      <c r="I9" s="46">
        <v>1335</v>
      </c>
      <c r="J9" s="45">
        <v>1345</v>
      </c>
      <c r="K9" s="44">
        <f t="shared" ref="K9:K30" si="2">AVERAGE(I9:J9)</f>
        <v>1340</v>
      </c>
      <c r="L9" s="52">
        <v>1325</v>
      </c>
      <c r="M9" s="51">
        <v>1.3197000000000001</v>
      </c>
      <c r="N9" s="53">
        <v>1.1193</v>
      </c>
      <c r="O9" s="50">
        <v>108.79</v>
      </c>
      <c r="P9" s="43">
        <v>1004.02</v>
      </c>
      <c r="Q9" s="43">
        <v>1012.85</v>
      </c>
      <c r="R9" s="49">
        <f t="shared" ref="R9:R30" si="3">L9/N9</f>
        <v>1183.7755740194766</v>
      </c>
      <c r="S9" s="48">
        <v>1.323</v>
      </c>
    </row>
    <row r="10" spans="1:19" x14ac:dyDescent="0.2">
      <c r="B10" s="47">
        <v>43833</v>
      </c>
      <c r="C10" s="46">
        <v>1320</v>
      </c>
      <c r="D10" s="45">
        <v>1330</v>
      </c>
      <c r="E10" s="44">
        <f t="shared" si="0"/>
        <v>1325</v>
      </c>
      <c r="F10" s="46">
        <v>1335</v>
      </c>
      <c r="G10" s="45">
        <v>1345</v>
      </c>
      <c r="H10" s="44">
        <f t="shared" si="1"/>
        <v>1340</v>
      </c>
      <c r="I10" s="46">
        <v>1340</v>
      </c>
      <c r="J10" s="45">
        <v>1350</v>
      </c>
      <c r="K10" s="44">
        <f t="shared" si="2"/>
        <v>1345</v>
      </c>
      <c r="L10" s="52">
        <v>1330</v>
      </c>
      <c r="M10" s="51">
        <v>1.3081</v>
      </c>
      <c r="N10" s="51">
        <v>1.1138999999999999</v>
      </c>
      <c r="O10" s="50">
        <v>108.07</v>
      </c>
      <c r="P10" s="43">
        <v>1016.74</v>
      </c>
      <c r="Q10" s="43">
        <v>1025.6199999999999</v>
      </c>
      <c r="R10" s="49">
        <f t="shared" si="3"/>
        <v>1194.0030523386301</v>
      </c>
      <c r="S10" s="48">
        <v>1.3113999999999999</v>
      </c>
    </row>
    <row r="11" spans="1:19" x14ac:dyDescent="0.2">
      <c r="B11" s="47">
        <v>43836</v>
      </c>
      <c r="C11" s="46">
        <v>1330</v>
      </c>
      <c r="D11" s="45">
        <v>1340</v>
      </c>
      <c r="E11" s="44">
        <f t="shared" si="0"/>
        <v>1335</v>
      </c>
      <c r="F11" s="46">
        <v>1345</v>
      </c>
      <c r="G11" s="45">
        <v>1355</v>
      </c>
      <c r="H11" s="44">
        <f t="shared" si="1"/>
        <v>1350</v>
      </c>
      <c r="I11" s="46">
        <v>1350</v>
      </c>
      <c r="J11" s="45">
        <v>1360</v>
      </c>
      <c r="K11" s="44">
        <f t="shared" si="2"/>
        <v>1355</v>
      </c>
      <c r="L11" s="52">
        <v>1340</v>
      </c>
      <c r="M11" s="51">
        <v>1.3140000000000001</v>
      </c>
      <c r="N11" s="51">
        <v>1.1198999999999999</v>
      </c>
      <c r="O11" s="50">
        <v>108.16</v>
      </c>
      <c r="P11" s="43">
        <v>1019.79</v>
      </c>
      <c r="Q11" s="43">
        <v>1028.6199999999999</v>
      </c>
      <c r="R11" s="49">
        <f t="shared" si="3"/>
        <v>1196.5354049468704</v>
      </c>
      <c r="S11" s="48">
        <v>1.3172999999999999</v>
      </c>
    </row>
    <row r="12" spans="1:19" x14ac:dyDescent="0.2">
      <c r="B12" s="47">
        <v>43837</v>
      </c>
      <c r="C12" s="46">
        <v>1375</v>
      </c>
      <c r="D12" s="45">
        <v>1385</v>
      </c>
      <c r="E12" s="44">
        <f t="shared" si="0"/>
        <v>1380</v>
      </c>
      <c r="F12" s="46">
        <v>1390</v>
      </c>
      <c r="G12" s="45">
        <v>1400</v>
      </c>
      <c r="H12" s="44">
        <f t="shared" si="1"/>
        <v>1395</v>
      </c>
      <c r="I12" s="46">
        <v>1395</v>
      </c>
      <c r="J12" s="45">
        <v>1405</v>
      </c>
      <c r="K12" s="44">
        <f t="shared" si="2"/>
        <v>1400</v>
      </c>
      <c r="L12" s="52">
        <v>1385</v>
      </c>
      <c r="M12" s="51">
        <v>1.3121</v>
      </c>
      <c r="N12" s="51">
        <v>1.1174999999999999</v>
      </c>
      <c r="O12" s="50">
        <v>108.43</v>
      </c>
      <c r="P12" s="43">
        <v>1055.56</v>
      </c>
      <c r="Q12" s="43">
        <v>1066.99</v>
      </c>
      <c r="R12" s="49">
        <f t="shared" si="3"/>
        <v>1239.3736017897093</v>
      </c>
      <c r="S12" s="48">
        <v>1.3121</v>
      </c>
    </row>
    <row r="13" spans="1:19" x14ac:dyDescent="0.2">
      <c r="B13" s="47">
        <v>43838</v>
      </c>
      <c r="C13" s="46">
        <v>1375</v>
      </c>
      <c r="D13" s="45">
        <v>1385</v>
      </c>
      <c r="E13" s="44">
        <f t="shared" si="0"/>
        <v>1380</v>
      </c>
      <c r="F13" s="46">
        <v>1390</v>
      </c>
      <c r="G13" s="45">
        <v>1400</v>
      </c>
      <c r="H13" s="44">
        <f t="shared" si="1"/>
        <v>1395</v>
      </c>
      <c r="I13" s="46">
        <v>1395</v>
      </c>
      <c r="J13" s="45">
        <v>1405</v>
      </c>
      <c r="K13" s="44">
        <f t="shared" si="2"/>
        <v>1400</v>
      </c>
      <c r="L13" s="52">
        <v>1385</v>
      </c>
      <c r="M13" s="51">
        <v>1.3093999999999999</v>
      </c>
      <c r="N13" s="51">
        <v>1.1115999999999999</v>
      </c>
      <c r="O13" s="50">
        <v>108.77</v>
      </c>
      <c r="P13" s="43">
        <v>1057.74</v>
      </c>
      <c r="Q13" s="43">
        <v>1066.42</v>
      </c>
      <c r="R13" s="49">
        <f t="shared" si="3"/>
        <v>1245.9517812162649</v>
      </c>
      <c r="S13" s="48">
        <v>1.3128</v>
      </c>
    </row>
    <row r="14" spans="1:19" x14ac:dyDescent="0.2">
      <c r="B14" s="47">
        <v>43839</v>
      </c>
      <c r="C14" s="46">
        <v>1360</v>
      </c>
      <c r="D14" s="45">
        <v>1370</v>
      </c>
      <c r="E14" s="44">
        <f t="shared" si="0"/>
        <v>1365</v>
      </c>
      <c r="F14" s="46">
        <v>1375</v>
      </c>
      <c r="G14" s="45">
        <v>1385</v>
      </c>
      <c r="H14" s="44">
        <f t="shared" si="1"/>
        <v>1380</v>
      </c>
      <c r="I14" s="46">
        <v>1380</v>
      </c>
      <c r="J14" s="45">
        <v>1390</v>
      </c>
      <c r="K14" s="44">
        <f t="shared" si="2"/>
        <v>1385</v>
      </c>
      <c r="L14" s="52">
        <v>1370</v>
      </c>
      <c r="M14" s="51">
        <v>1.3038000000000001</v>
      </c>
      <c r="N14" s="51">
        <v>1.1113999999999999</v>
      </c>
      <c r="O14" s="50">
        <v>109.36</v>
      </c>
      <c r="P14" s="43">
        <v>1050.77</v>
      </c>
      <c r="Q14" s="43">
        <v>1059.52</v>
      </c>
      <c r="R14" s="49">
        <f t="shared" si="3"/>
        <v>1232.6795033291344</v>
      </c>
      <c r="S14" s="48">
        <v>1.3071999999999999</v>
      </c>
    </row>
    <row r="15" spans="1:19" x14ac:dyDescent="0.2">
      <c r="B15" s="47">
        <v>43840</v>
      </c>
      <c r="C15" s="46">
        <v>1370</v>
      </c>
      <c r="D15" s="45">
        <v>1380</v>
      </c>
      <c r="E15" s="44">
        <f t="shared" si="0"/>
        <v>1375</v>
      </c>
      <c r="F15" s="46">
        <v>1380</v>
      </c>
      <c r="G15" s="45">
        <v>1390</v>
      </c>
      <c r="H15" s="44">
        <f t="shared" si="1"/>
        <v>1385</v>
      </c>
      <c r="I15" s="46">
        <v>1385</v>
      </c>
      <c r="J15" s="45">
        <v>1395</v>
      </c>
      <c r="K15" s="44">
        <f t="shared" si="2"/>
        <v>1390</v>
      </c>
      <c r="L15" s="52">
        <v>1380</v>
      </c>
      <c r="M15" s="51">
        <v>1.3085</v>
      </c>
      <c r="N15" s="51">
        <v>1.1099000000000001</v>
      </c>
      <c r="O15" s="50">
        <v>109.64</v>
      </c>
      <c r="P15" s="43">
        <v>1054.6400000000001</v>
      </c>
      <c r="Q15" s="43">
        <v>1059.53</v>
      </c>
      <c r="R15" s="49">
        <f t="shared" si="3"/>
        <v>1243.3552572303811</v>
      </c>
      <c r="S15" s="48">
        <v>1.3119000000000001</v>
      </c>
    </row>
    <row r="16" spans="1:19" x14ac:dyDescent="0.2">
      <c r="B16" s="47">
        <v>43843</v>
      </c>
      <c r="C16" s="46">
        <v>1330</v>
      </c>
      <c r="D16" s="45">
        <v>1340</v>
      </c>
      <c r="E16" s="44">
        <f t="shared" si="0"/>
        <v>1335</v>
      </c>
      <c r="F16" s="46">
        <v>1340</v>
      </c>
      <c r="G16" s="45">
        <v>1350</v>
      </c>
      <c r="H16" s="44">
        <f t="shared" si="1"/>
        <v>1345</v>
      </c>
      <c r="I16" s="46">
        <v>1345</v>
      </c>
      <c r="J16" s="45">
        <v>1355</v>
      </c>
      <c r="K16" s="44">
        <f t="shared" si="2"/>
        <v>1350</v>
      </c>
      <c r="L16" s="52">
        <v>1340</v>
      </c>
      <c r="M16" s="51">
        <v>1.2976000000000001</v>
      </c>
      <c r="N16" s="51">
        <v>1.1125</v>
      </c>
      <c r="O16" s="50">
        <v>109.9</v>
      </c>
      <c r="P16" s="43">
        <v>1032.68</v>
      </c>
      <c r="Q16" s="43">
        <v>1037.5</v>
      </c>
      <c r="R16" s="49">
        <f t="shared" si="3"/>
        <v>1204.4943820224719</v>
      </c>
      <c r="S16" s="48">
        <v>1.3011999999999999</v>
      </c>
    </row>
    <row r="17" spans="2:19" x14ac:dyDescent="0.2">
      <c r="B17" s="47">
        <v>43844</v>
      </c>
      <c r="C17" s="46">
        <v>1325</v>
      </c>
      <c r="D17" s="45">
        <v>1325.5</v>
      </c>
      <c r="E17" s="44">
        <f t="shared" si="0"/>
        <v>1325.25</v>
      </c>
      <c r="F17" s="46">
        <v>1335</v>
      </c>
      <c r="G17" s="45">
        <v>1345</v>
      </c>
      <c r="H17" s="44">
        <f t="shared" si="1"/>
        <v>1340</v>
      </c>
      <c r="I17" s="46">
        <v>1340</v>
      </c>
      <c r="J17" s="45">
        <v>1350</v>
      </c>
      <c r="K17" s="44">
        <f t="shared" si="2"/>
        <v>1345</v>
      </c>
      <c r="L17" s="52">
        <v>1325.5</v>
      </c>
      <c r="M17" s="51">
        <v>1.2975000000000001</v>
      </c>
      <c r="N17" s="51">
        <v>1.1120000000000001</v>
      </c>
      <c r="O17" s="50">
        <v>110.07</v>
      </c>
      <c r="P17" s="43">
        <v>1021.58</v>
      </c>
      <c r="Q17" s="43">
        <v>1033.74</v>
      </c>
      <c r="R17" s="49">
        <f t="shared" si="3"/>
        <v>1191.9964028776978</v>
      </c>
      <c r="S17" s="48">
        <v>1.3010999999999999</v>
      </c>
    </row>
    <row r="18" spans="2:19" x14ac:dyDescent="0.2">
      <c r="B18" s="47">
        <v>43845</v>
      </c>
      <c r="C18" s="46">
        <v>1380</v>
      </c>
      <c r="D18" s="45">
        <v>1390</v>
      </c>
      <c r="E18" s="44">
        <f t="shared" si="0"/>
        <v>1385</v>
      </c>
      <c r="F18" s="46">
        <v>1380</v>
      </c>
      <c r="G18" s="45">
        <v>1390</v>
      </c>
      <c r="H18" s="44">
        <f t="shared" si="1"/>
        <v>1385</v>
      </c>
      <c r="I18" s="46">
        <v>1385</v>
      </c>
      <c r="J18" s="45">
        <v>1395</v>
      </c>
      <c r="K18" s="44">
        <f t="shared" si="2"/>
        <v>1390</v>
      </c>
      <c r="L18" s="52">
        <v>1390</v>
      </c>
      <c r="M18" s="51">
        <v>1.3007</v>
      </c>
      <c r="N18" s="51">
        <v>1.1141000000000001</v>
      </c>
      <c r="O18" s="50">
        <v>109.87</v>
      </c>
      <c r="P18" s="43">
        <v>1068.6600000000001</v>
      </c>
      <c r="Q18" s="43">
        <v>1065.6199999999999</v>
      </c>
      <c r="R18" s="49">
        <f t="shared" si="3"/>
        <v>1247.6438380755767</v>
      </c>
      <c r="S18" s="48">
        <v>1.3044</v>
      </c>
    </row>
    <row r="19" spans="2:19" x14ac:dyDescent="0.2">
      <c r="B19" s="47">
        <v>43846</v>
      </c>
      <c r="C19" s="46">
        <v>1395</v>
      </c>
      <c r="D19" s="45">
        <v>1405</v>
      </c>
      <c r="E19" s="44">
        <f t="shared" si="0"/>
        <v>1400</v>
      </c>
      <c r="F19" s="46">
        <v>1395</v>
      </c>
      <c r="G19" s="45">
        <v>1405</v>
      </c>
      <c r="H19" s="44">
        <f t="shared" si="1"/>
        <v>1400</v>
      </c>
      <c r="I19" s="46">
        <v>1400</v>
      </c>
      <c r="J19" s="45">
        <v>1410</v>
      </c>
      <c r="K19" s="44">
        <f t="shared" si="2"/>
        <v>1405</v>
      </c>
      <c r="L19" s="52">
        <v>1405</v>
      </c>
      <c r="M19" s="51">
        <v>1.3066</v>
      </c>
      <c r="N19" s="51">
        <v>1.1165</v>
      </c>
      <c r="O19" s="50">
        <v>109.98</v>
      </c>
      <c r="P19" s="43">
        <v>1075.31</v>
      </c>
      <c r="Q19" s="43">
        <v>1072.27</v>
      </c>
      <c r="R19" s="49">
        <f t="shared" si="3"/>
        <v>1258.3967756381548</v>
      </c>
      <c r="S19" s="48">
        <v>1.3103</v>
      </c>
    </row>
    <row r="20" spans="2:19" x14ac:dyDescent="0.2">
      <c r="B20" s="47">
        <v>43847</v>
      </c>
      <c r="C20" s="46">
        <v>1395</v>
      </c>
      <c r="D20" s="45">
        <v>1405</v>
      </c>
      <c r="E20" s="44">
        <f t="shared" si="0"/>
        <v>1400</v>
      </c>
      <c r="F20" s="46">
        <v>1385</v>
      </c>
      <c r="G20" s="45">
        <v>1395</v>
      </c>
      <c r="H20" s="44">
        <f t="shared" si="1"/>
        <v>1390</v>
      </c>
      <c r="I20" s="46">
        <v>1390</v>
      </c>
      <c r="J20" s="45">
        <v>1400</v>
      </c>
      <c r="K20" s="44">
        <f t="shared" si="2"/>
        <v>1395</v>
      </c>
      <c r="L20" s="52">
        <v>1405</v>
      </c>
      <c r="M20" s="51">
        <v>1.3051999999999999</v>
      </c>
      <c r="N20" s="51">
        <v>1.111</v>
      </c>
      <c r="O20" s="50">
        <v>110.11</v>
      </c>
      <c r="P20" s="43">
        <v>1076.46</v>
      </c>
      <c r="Q20" s="43">
        <v>1065.78</v>
      </c>
      <c r="R20" s="49">
        <f t="shared" si="3"/>
        <v>1264.6264626462646</v>
      </c>
      <c r="S20" s="48">
        <v>1.3089</v>
      </c>
    </row>
    <row r="21" spans="2:19" x14ac:dyDescent="0.2">
      <c r="B21" s="47">
        <v>43850</v>
      </c>
      <c r="C21" s="46">
        <v>1430</v>
      </c>
      <c r="D21" s="45">
        <v>1440</v>
      </c>
      <c r="E21" s="44">
        <f t="shared" si="0"/>
        <v>1435</v>
      </c>
      <c r="F21" s="46">
        <v>1420</v>
      </c>
      <c r="G21" s="45">
        <v>1440</v>
      </c>
      <c r="H21" s="44">
        <f t="shared" si="1"/>
        <v>1430</v>
      </c>
      <c r="I21" s="46">
        <v>1430</v>
      </c>
      <c r="J21" s="45">
        <v>1440</v>
      </c>
      <c r="K21" s="44">
        <f t="shared" si="2"/>
        <v>1435</v>
      </c>
      <c r="L21" s="52">
        <v>1440</v>
      </c>
      <c r="M21" s="51">
        <v>1.2990999999999999</v>
      </c>
      <c r="N21" s="51">
        <v>1.1084000000000001</v>
      </c>
      <c r="O21" s="50">
        <v>110.19</v>
      </c>
      <c r="P21" s="43">
        <v>1108.46</v>
      </c>
      <c r="Q21" s="43">
        <v>1108.46</v>
      </c>
      <c r="R21" s="49">
        <f t="shared" si="3"/>
        <v>1299.1699747383616</v>
      </c>
      <c r="S21" s="48">
        <v>1.2990999999999999</v>
      </c>
    </row>
    <row r="22" spans="2:19" x14ac:dyDescent="0.2">
      <c r="B22" s="47">
        <v>43851</v>
      </c>
      <c r="C22" s="46">
        <v>1420</v>
      </c>
      <c r="D22" s="45">
        <v>1430</v>
      </c>
      <c r="E22" s="44">
        <f t="shared" si="0"/>
        <v>1425</v>
      </c>
      <c r="F22" s="46">
        <v>1410</v>
      </c>
      <c r="G22" s="45">
        <v>1420</v>
      </c>
      <c r="H22" s="44">
        <f t="shared" si="1"/>
        <v>1415</v>
      </c>
      <c r="I22" s="46">
        <v>1415</v>
      </c>
      <c r="J22" s="45">
        <v>1425</v>
      </c>
      <c r="K22" s="44">
        <f t="shared" si="2"/>
        <v>1420</v>
      </c>
      <c r="L22" s="52">
        <v>1430</v>
      </c>
      <c r="M22" s="51">
        <v>1.3048999999999999</v>
      </c>
      <c r="N22" s="51">
        <v>1.1109</v>
      </c>
      <c r="O22" s="50">
        <v>110.05</v>
      </c>
      <c r="P22" s="43">
        <v>1095.8699999999999</v>
      </c>
      <c r="Q22" s="43">
        <v>1085.1300000000001</v>
      </c>
      <c r="R22" s="49">
        <f t="shared" si="3"/>
        <v>1287.2445764695292</v>
      </c>
      <c r="S22" s="48">
        <v>1.3086</v>
      </c>
    </row>
    <row r="23" spans="2:19" x14ac:dyDescent="0.2">
      <c r="B23" s="47">
        <v>43852</v>
      </c>
      <c r="C23" s="46">
        <v>1415</v>
      </c>
      <c r="D23" s="45">
        <v>1425</v>
      </c>
      <c r="E23" s="44">
        <f t="shared" si="0"/>
        <v>1420</v>
      </c>
      <c r="F23" s="46">
        <v>1410</v>
      </c>
      <c r="G23" s="45">
        <v>1420</v>
      </c>
      <c r="H23" s="44">
        <f t="shared" si="1"/>
        <v>1415</v>
      </c>
      <c r="I23" s="46">
        <v>1415</v>
      </c>
      <c r="J23" s="45">
        <v>1425</v>
      </c>
      <c r="K23" s="44">
        <f t="shared" si="2"/>
        <v>1420</v>
      </c>
      <c r="L23" s="52">
        <v>1425</v>
      </c>
      <c r="M23" s="51">
        <v>1.3121</v>
      </c>
      <c r="N23" s="51">
        <v>1.1083000000000001</v>
      </c>
      <c r="O23" s="50">
        <v>109.98</v>
      </c>
      <c r="P23" s="43">
        <v>1086.05</v>
      </c>
      <c r="Q23" s="43">
        <v>1079.19</v>
      </c>
      <c r="R23" s="49">
        <f t="shared" si="3"/>
        <v>1285.7529549760895</v>
      </c>
      <c r="S23" s="48">
        <v>1.3158000000000001</v>
      </c>
    </row>
    <row r="24" spans="2:19" x14ac:dyDescent="0.2">
      <c r="B24" s="47">
        <v>43853</v>
      </c>
      <c r="C24" s="46">
        <v>1410</v>
      </c>
      <c r="D24" s="45">
        <v>1415</v>
      </c>
      <c r="E24" s="44">
        <f t="shared" si="0"/>
        <v>1412.5</v>
      </c>
      <c r="F24" s="46">
        <v>1400</v>
      </c>
      <c r="G24" s="45">
        <v>1410</v>
      </c>
      <c r="H24" s="44">
        <f t="shared" si="1"/>
        <v>1405</v>
      </c>
      <c r="I24" s="46">
        <v>1405</v>
      </c>
      <c r="J24" s="45">
        <v>1415</v>
      </c>
      <c r="K24" s="44">
        <f t="shared" si="2"/>
        <v>1410</v>
      </c>
      <c r="L24" s="52">
        <v>1415</v>
      </c>
      <c r="M24" s="51">
        <v>1.3124</v>
      </c>
      <c r="N24" s="51">
        <v>1.1085</v>
      </c>
      <c r="O24" s="50">
        <v>109.6</v>
      </c>
      <c r="P24" s="43">
        <v>1078.18</v>
      </c>
      <c r="Q24" s="43">
        <v>1071.3499999999999</v>
      </c>
      <c r="R24" s="49">
        <f t="shared" si="3"/>
        <v>1276.4997744700045</v>
      </c>
      <c r="S24" s="48">
        <v>1.3161</v>
      </c>
    </row>
    <row r="25" spans="2:19" x14ac:dyDescent="0.2">
      <c r="B25" s="47">
        <v>43854</v>
      </c>
      <c r="C25" s="46">
        <v>1430</v>
      </c>
      <c r="D25" s="45">
        <v>1440</v>
      </c>
      <c r="E25" s="44">
        <f t="shared" si="0"/>
        <v>1435</v>
      </c>
      <c r="F25" s="46">
        <v>1420</v>
      </c>
      <c r="G25" s="45">
        <v>1430</v>
      </c>
      <c r="H25" s="44">
        <f t="shared" si="1"/>
        <v>1425</v>
      </c>
      <c r="I25" s="46">
        <v>1425</v>
      </c>
      <c r="J25" s="45">
        <v>1435</v>
      </c>
      <c r="K25" s="44">
        <f t="shared" si="2"/>
        <v>1430</v>
      </c>
      <c r="L25" s="52">
        <v>1440</v>
      </c>
      <c r="M25" s="51">
        <v>1.3083</v>
      </c>
      <c r="N25" s="51">
        <v>1.1028</v>
      </c>
      <c r="O25" s="50">
        <v>109.62</v>
      </c>
      <c r="P25" s="43">
        <v>1100.6600000000001</v>
      </c>
      <c r="Q25" s="43">
        <v>1089.94</v>
      </c>
      <c r="R25" s="49">
        <f t="shared" si="3"/>
        <v>1305.7671381936889</v>
      </c>
      <c r="S25" s="48">
        <v>1.3120000000000001</v>
      </c>
    </row>
    <row r="26" spans="2:19" x14ac:dyDescent="0.2">
      <c r="B26" s="47">
        <v>43857</v>
      </c>
      <c r="C26" s="46">
        <v>1410</v>
      </c>
      <c r="D26" s="45">
        <v>1420</v>
      </c>
      <c r="E26" s="44">
        <f t="shared" si="0"/>
        <v>1415</v>
      </c>
      <c r="F26" s="46">
        <v>1410</v>
      </c>
      <c r="G26" s="45">
        <v>1420</v>
      </c>
      <c r="H26" s="44">
        <f t="shared" si="1"/>
        <v>1415</v>
      </c>
      <c r="I26" s="46">
        <v>1415</v>
      </c>
      <c r="J26" s="45">
        <v>1425</v>
      </c>
      <c r="K26" s="44">
        <f t="shared" si="2"/>
        <v>1420</v>
      </c>
      <c r="L26" s="52">
        <v>1420</v>
      </c>
      <c r="M26" s="51">
        <v>1.3068</v>
      </c>
      <c r="N26" s="51">
        <v>1.1023000000000001</v>
      </c>
      <c r="O26" s="50">
        <v>108.96</v>
      </c>
      <c r="P26" s="43">
        <v>1086.6199999999999</v>
      </c>
      <c r="Q26" s="43">
        <v>1083.56</v>
      </c>
      <c r="R26" s="49">
        <f t="shared" si="3"/>
        <v>1288.2155493059965</v>
      </c>
      <c r="S26" s="48">
        <v>1.3105</v>
      </c>
    </row>
    <row r="27" spans="2:19" x14ac:dyDescent="0.2">
      <c r="B27" s="47">
        <v>43858</v>
      </c>
      <c r="C27" s="46">
        <v>1365</v>
      </c>
      <c r="D27" s="45">
        <v>1375</v>
      </c>
      <c r="E27" s="44">
        <f t="shared" si="0"/>
        <v>1370</v>
      </c>
      <c r="F27" s="46">
        <v>1380</v>
      </c>
      <c r="G27" s="45">
        <v>1390</v>
      </c>
      <c r="H27" s="44">
        <f t="shared" si="1"/>
        <v>1385</v>
      </c>
      <c r="I27" s="46">
        <v>1385</v>
      </c>
      <c r="J27" s="45">
        <v>1395</v>
      </c>
      <c r="K27" s="44">
        <f t="shared" si="2"/>
        <v>1390</v>
      </c>
      <c r="L27" s="52">
        <v>1375</v>
      </c>
      <c r="M27" s="51">
        <v>1.3011999999999999</v>
      </c>
      <c r="N27" s="51">
        <v>1.1007</v>
      </c>
      <c r="O27" s="50">
        <v>109.06</v>
      </c>
      <c r="P27" s="43">
        <v>1056.72</v>
      </c>
      <c r="Q27" s="43">
        <v>1065.22</v>
      </c>
      <c r="R27" s="49">
        <f t="shared" si="3"/>
        <v>1249.2050513309712</v>
      </c>
      <c r="S27" s="48">
        <v>1.3048999999999999</v>
      </c>
    </row>
    <row r="28" spans="2:19" x14ac:dyDescent="0.2">
      <c r="B28" s="47">
        <v>43859</v>
      </c>
      <c r="C28" s="46">
        <v>1395</v>
      </c>
      <c r="D28" s="45">
        <v>1415</v>
      </c>
      <c r="E28" s="44">
        <f t="shared" si="0"/>
        <v>1405</v>
      </c>
      <c r="F28" s="46">
        <v>1400</v>
      </c>
      <c r="G28" s="45">
        <v>1420</v>
      </c>
      <c r="H28" s="44">
        <f t="shared" si="1"/>
        <v>1410</v>
      </c>
      <c r="I28" s="46">
        <v>1410</v>
      </c>
      <c r="J28" s="45">
        <v>1420</v>
      </c>
      <c r="K28" s="44">
        <f t="shared" si="2"/>
        <v>1415</v>
      </c>
      <c r="L28" s="52">
        <v>1415</v>
      </c>
      <c r="M28" s="51">
        <v>1.3008999999999999</v>
      </c>
      <c r="N28" s="51">
        <v>1.0998000000000001</v>
      </c>
      <c r="O28" s="50">
        <v>109.12</v>
      </c>
      <c r="P28" s="43">
        <v>1087.71</v>
      </c>
      <c r="Q28" s="43">
        <v>1088.54</v>
      </c>
      <c r="R28" s="49">
        <f t="shared" si="3"/>
        <v>1286.5975631933077</v>
      </c>
      <c r="S28" s="48">
        <v>1.3045</v>
      </c>
    </row>
    <row r="29" spans="2:19" x14ac:dyDescent="0.2">
      <c r="B29" s="47">
        <v>43860</v>
      </c>
      <c r="C29" s="46">
        <v>1360</v>
      </c>
      <c r="D29" s="45">
        <v>1362</v>
      </c>
      <c r="E29" s="44">
        <f t="shared" si="0"/>
        <v>1361</v>
      </c>
      <c r="F29" s="46">
        <v>1375</v>
      </c>
      <c r="G29" s="45">
        <v>1385</v>
      </c>
      <c r="H29" s="44">
        <f t="shared" si="1"/>
        <v>1380</v>
      </c>
      <c r="I29" s="46">
        <v>1380</v>
      </c>
      <c r="J29" s="45">
        <v>1390</v>
      </c>
      <c r="K29" s="44">
        <f t="shared" si="2"/>
        <v>1385</v>
      </c>
      <c r="L29" s="52">
        <v>1362</v>
      </c>
      <c r="M29" s="51">
        <v>1.3089</v>
      </c>
      <c r="N29" s="51">
        <v>1.1024</v>
      </c>
      <c r="O29" s="50">
        <v>108.78</v>
      </c>
      <c r="P29" s="43">
        <v>1040.57</v>
      </c>
      <c r="Q29" s="43">
        <v>1055.56</v>
      </c>
      <c r="R29" s="49">
        <f t="shared" si="3"/>
        <v>1235.4862119013062</v>
      </c>
      <c r="S29" s="48">
        <v>1.3121</v>
      </c>
    </row>
    <row r="30" spans="2:19" x14ac:dyDescent="0.2">
      <c r="B30" s="47">
        <v>43861</v>
      </c>
      <c r="C30" s="46">
        <v>1360</v>
      </c>
      <c r="D30" s="45">
        <v>1370</v>
      </c>
      <c r="E30" s="44">
        <f t="shared" si="0"/>
        <v>1365</v>
      </c>
      <c r="F30" s="46">
        <v>1375</v>
      </c>
      <c r="G30" s="45">
        <v>1385</v>
      </c>
      <c r="H30" s="44">
        <f t="shared" si="1"/>
        <v>1380</v>
      </c>
      <c r="I30" s="46">
        <v>1380</v>
      </c>
      <c r="J30" s="45">
        <v>1390</v>
      </c>
      <c r="K30" s="44">
        <f t="shared" si="2"/>
        <v>1385</v>
      </c>
      <c r="L30" s="52">
        <v>1370</v>
      </c>
      <c r="M30" s="51">
        <v>1.3123</v>
      </c>
      <c r="N30" s="51">
        <v>1.1048</v>
      </c>
      <c r="O30" s="50">
        <v>108.97</v>
      </c>
      <c r="P30" s="43">
        <v>1043.97</v>
      </c>
      <c r="Q30" s="43">
        <v>1052.83</v>
      </c>
      <c r="R30" s="49">
        <f t="shared" si="3"/>
        <v>1240.0434467776972</v>
      </c>
      <c r="S30" s="48">
        <v>1.3154999999999999</v>
      </c>
    </row>
    <row r="31" spans="2:19" s="10" customFormat="1" x14ac:dyDescent="0.2">
      <c r="B31" s="42" t="s">
        <v>11</v>
      </c>
      <c r="C31" s="41">
        <f>ROUND(AVERAGE(C9:C30),2)</f>
        <v>1375.68</v>
      </c>
      <c r="D31" s="40">
        <f>ROUND(AVERAGE(D9:D30),2)</f>
        <v>1385.11</v>
      </c>
      <c r="E31" s="39">
        <f>ROUND(AVERAGE(C31:D31),2)</f>
        <v>1380.4</v>
      </c>
      <c r="F31" s="41">
        <f>ROUND(AVERAGE(F9:F30),2)</f>
        <v>1380.91</v>
      </c>
      <c r="G31" s="40">
        <f>ROUND(AVERAGE(G9:G30),2)</f>
        <v>1391.82</v>
      </c>
      <c r="H31" s="39">
        <f>ROUND(AVERAGE(F31:G31),2)</f>
        <v>1386.37</v>
      </c>
      <c r="I31" s="41">
        <f>ROUND(AVERAGE(I9:I30),2)</f>
        <v>1386.36</v>
      </c>
      <c r="J31" s="40">
        <f>ROUND(AVERAGE(J9:J30),2)</f>
        <v>1396.36</v>
      </c>
      <c r="K31" s="39">
        <f>ROUND(AVERAGE(I31:J31),2)</f>
        <v>1391.36</v>
      </c>
      <c r="L31" s="38">
        <f>ROUND(AVERAGE(L9:L30),2)</f>
        <v>1385.11</v>
      </c>
      <c r="M31" s="37">
        <f>ROUND(AVERAGE(M9:M30),4)</f>
        <v>1.3068</v>
      </c>
      <c r="N31" s="36">
        <f>ROUND(AVERAGE(N9:N30),4)</f>
        <v>1.1099000000000001</v>
      </c>
      <c r="O31" s="175">
        <f>ROUND(AVERAGE(O9:O30),2)</f>
        <v>109.34</v>
      </c>
      <c r="P31" s="35">
        <f>AVERAGE(P9:P30)</f>
        <v>1059.9436363636362</v>
      </c>
      <c r="Q31" s="35">
        <f>AVERAGE(Q9:Q30)</f>
        <v>1062.4654545454548</v>
      </c>
      <c r="R31" s="35">
        <f>AVERAGE(R9:R30)</f>
        <v>1248.037012613072</v>
      </c>
      <c r="S31" s="34">
        <f>AVERAGE(S9:S30)</f>
        <v>1.310031818181818</v>
      </c>
    </row>
    <row r="32" spans="2:19" s="5" customFormat="1" x14ac:dyDescent="0.2">
      <c r="B32" s="33" t="s">
        <v>12</v>
      </c>
      <c r="C32" s="32">
        <f t="shared" ref="C32:S32" si="4">MAX(C9:C30)</f>
        <v>1430</v>
      </c>
      <c r="D32" s="31">
        <f t="shared" si="4"/>
        <v>1440</v>
      </c>
      <c r="E32" s="30">
        <f t="shared" si="4"/>
        <v>1435</v>
      </c>
      <c r="F32" s="32">
        <f t="shared" si="4"/>
        <v>1420</v>
      </c>
      <c r="G32" s="31">
        <f t="shared" si="4"/>
        <v>1440</v>
      </c>
      <c r="H32" s="30">
        <f t="shared" si="4"/>
        <v>1430</v>
      </c>
      <c r="I32" s="32">
        <f t="shared" si="4"/>
        <v>1430</v>
      </c>
      <c r="J32" s="31">
        <f t="shared" si="4"/>
        <v>1440</v>
      </c>
      <c r="K32" s="30">
        <f t="shared" si="4"/>
        <v>1435</v>
      </c>
      <c r="L32" s="29">
        <f t="shared" si="4"/>
        <v>1440</v>
      </c>
      <c r="M32" s="28">
        <f t="shared" si="4"/>
        <v>1.3197000000000001</v>
      </c>
      <c r="N32" s="27">
        <f t="shared" si="4"/>
        <v>1.1198999999999999</v>
      </c>
      <c r="O32" s="26">
        <f t="shared" si="4"/>
        <v>110.19</v>
      </c>
      <c r="P32" s="25">
        <f t="shared" si="4"/>
        <v>1108.46</v>
      </c>
      <c r="Q32" s="25">
        <f t="shared" si="4"/>
        <v>1108.46</v>
      </c>
      <c r="R32" s="25">
        <f t="shared" si="4"/>
        <v>1305.7671381936889</v>
      </c>
      <c r="S32" s="24">
        <f t="shared" si="4"/>
        <v>1.323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1315</v>
      </c>
      <c r="D33" s="21">
        <f t="shared" si="5"/>
        <v>1325</v>
      </c>
      <c r="E33" s="20">
        <f t="shared" si="5"/>
        <v>1320</v>
      </c>
      <c r="F33" s="22">
        <f t="shared" si="5"/>
        <v>1330</v>
      </c>
      <c r="G33" s="21">
        <f t="shared" si="5"/>
        <v>1340</v>
      </c>
      <c r="H33" s="20">
        <f t="shared" si="5"/>
        <v>1335</v>
      </c>
      <c r="I33" s="22">
        <f t="shared" si="5"/>
        <v>1335</v>
      </c>
      <c r="J33" s="21">
        <f t="shared" si="5"/>
        <v>1345</v>
      </c>
      <c r="K33" s="20">
        <f t="shared" si="5"/>
        <v>1340</v>
      </c>
      <c r="L33" s="19">
        <f t="shared" si="5"/>
        <v>1325</v>
      </c>
      <c r="M33" s="18">
        <f t="shared" si="5"/>
        <v>1.2975000000000001</v>
      </c>
      <c r="N33" s="17">
        <f t="shared" si="5"/>
        <v>1.0998000000000001</v>
      </c>
      <c r="O33" s="16">
        <f t="shared" si="5"/>
        <v>108.07</v>
      </c>
      <c r="P33" s="15">
        <f t="shared" si="5"/>
        <v>1004.02</v>
      </c>
      <c r="Q33" s="15">
        <f t="shared" si="5"/>
        <v>1012.85</v>
      </c>
      <c r="R33" s="15">
        <f t="shared" si="5"/>
        <v>1183.7755740194766</v>
      </c>
      <c r="S33" s="14">
        <f t="shared" si="5"/>
        <v>1.2990999999999999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43832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43832</v>
      </c>
      <c r="C9" s="46">
        <v>1220</v>
      </c>
      <c r="D9" s="45">
        <v>1221</v>
      </c>
      <c r="E9" s="44">
        <f t="shared" ref="E9:E30" si="0">AVERAGE(C9:D9)</f>
        <v>1220.5</v>
      </c>
      <c r="F9" s="46">
        <v>1240</v>
      </c>
      <c r="G9" s="45">
        <v>1250</v>
      </c>
      <c r="H9" s="44">
        <f t="shared" ref="H9:H30" si="1">AVERAGE(F9:G9)</f>
        <v>1245</v>
      </c>
      <c r="I9" s="46">
        <v>1240</v>
      </c>
      <c r="J9" s="45">
        <v>1250</v>
      </c>
      <c r="K9" s="44">
        <f t="shared" ref="K9:K30" si="2">AVERAGE(I9:J9)</f>
        <v>1245</v>
      </c>
      <c r="L9" s="52">
        <v>1221</v>
      </c>
      <c r="M9" s="51">
        <v>1.3197000000000001</v>
      </c>
      <c r="N9" s="53">
        <v>1.1193</v>
      </c>
      <c r="O9" s="50">
        <v>108.79</v>
      </c>
      <c r="P9" s="43">
        <v>925.21</v>
      </c>
      <c r="Q9" s="43">
        <v>944.82</v>
      </c>
      <c r="R9" s="49">
        <f t="shared" ref="R9:R30" si="3">L9/N9</f>
        <v>1090.8603591530421</v>
      </c>
      <c r="S9" s="48">
        <v>1.323</v>
      </c>
    </row>
    <row r="10" spans="1:19" x14ac:dyDescent="0.2">
      <c r="B10" s="47">
        <v>43833</v>
      </c>
      <c r="C10" s="46">
        <v>1220</v>
      </c>
      <c r="D10" s="45">
        <v>1230</v>
      </c>
      <c r="E10" s="44">
        <f t="shared" si="0"/>
        <v>1225</v>
      </c>
      <c r="F10" s="46">
        <v>1240</v>
      </c>
      <c r="G10" s="45">
        <v>1250</v>
      </c>
      <c r="H10" s="44">
        <f t="shared" si="1"/>
        <v>1245</v>
      </c>
      <c r="I10" s="46">
        <v>1240</v>
      </c>
      <c r="J10" s="45">
        <v>1250</v>
      </c>
      <c r="K10" s="44">
        <f t="shared" si="2"/>
        <v>1245</v>
      </c>
      <c r="L10" s="52">
        <v>1230</v>
      </c>
      <c r="M10" s="51">
        <v>1.3081</v>
      </c>
      <c r="N10" s="51">
        <v>1.1138999999999999</v>
      </c>
      <c r="O10" s="50">
        <v>108.07</v>
      </c>
      <c r="P10" s="43">
        <v>940.3</v>
      </c>
      <c r="Q10" s="43">
        <v>953.18</v>
      </c>
      <c r="R10" s="49">
        <f t="shared" si="3"/>
        <v>1104.2283867492595</v>
      </c>
      <c r="S10" s="48">
        <v>1.3113999999999999</v>
      </c>
    </row>
    <row r="11" spans="1:19" x14ac:dyDescent="0.2">
      <c r="B11" s="47">
        <v>43836</v>
      </c>
      <c r="C11" s="46">
        <v>1225</v>
      </c>
      <c r="D11" s="45">
        <v>1235</v>
      </c>
      <c r="E11" s="44">
        <f t="shared" si="0"/>
        <v>1230</v>
      </c>
      <c r="F11" s="46">
        <v>1245</v>
      </c>
      <c r="G11" s="45">
        <v>1255</v>
      </c>
      <c r="H11" s="44">
        <f t="shared" si="1"/>
        <v>1250</v>
      </c>
      <c r="I11" s="46">
        <v>1245</v>
      </c>
      <c r="J11" s="45">
        <v>1255</v>
      </c>
      <c r="K11" s="44">
        <f t="shared" si="2"/>
        <v>1250</v>
      </c>
      <c r="L11" s="52">
        <v>1235</v>
      </c>
      <c r="M11" s="51">
        <v>1.3140000000000001</v>
      </c>
      <c r="N11" s="51">
        <v>1.1198999999999999</v>
      </c>
      <c r="O11" s="50">
        <v>108.16</v>
      </c>
      <c r="P11" s="43">
        <v>939.88</v>
      </c>
      <c r="Q11" s="43">
        <v>952.71</v>
      </c>
      <c r="R11" s="49">
        <f t="shared" si="3"/>
        <v>1102.77703366372</v>
      </c>
      <c r="S11" s="48">
        <v>1.3172999999999999</v>
      </c>
    </row>
    <row r="12" spans="1:19" x14ac:dyDescent="0.2">
      <c r="B12" s="47">
        <v>43837</v>
      </c>
      <c r="C12" s="46">
        <v>1255</v>
      </c>
      <c r="D12" s="45">
        <v>1260</v>
      </c>
      <c r="E12" s="44">
        <f t="shared" si="0"/>
        <v>1257.5</v>
      </c>
      <c r="F12" s="46">
        <v>1275</v>
      </c>
      <c r="G12" s="45">
        <v>1285</v>
      </c>
      <c r="H12" s="44">
        <f t="shared" si="1"/>
        <v>1280</v>
      </c>
      <c r="I12" s="46">
        <v>1275</v>
      </c>
      <c r="J12" s="45">
        <v>1285</v>
      </c>
      <c r="K12" s="44">
        <f t="shared" si="2"/>
        <v>1280</v>
      </c>
      <c r="L12" s="52">
        <v>1260</v>
      </c>
      <c r="M12" s="51">
        <v>1.3121</v>
      </c>
      <c r="N12" s="51">
        <v>1.1174999999999999</v>
      </c>
      <c r="O12" s="50">
        <v>108.43</v>
      </c>
      <c r="P12" s="43">
        <v>960.29</v>
      </c>
      <c r="Q12" s="43">
        <v>979.35</v>
      </c>
      <c r="R12" s="49">
        <f t="shared" si="3"/>
        <v>1127.5167785234901</v>
      </c>
      <c r="S12" s="48">
        <v>1.3121</v>
      </c>
    </row>
    <row r="13" spans="1:19" x14ac:dyDescent="0.2">
      <c r="B13" s="47">
        <v>43838</v>
      </c>
      <c r="C13" s="46">
        <v>1240</v>
      </c>
      <c r="D13" s="45">
        <v>1250</v>
      </c>
      <c r="E13" s="44">
        <f t="shared" si="0"/>
        <v>1245</v>
      </c>
      <c r="F13" s="46">
        <v>1260</v>
      </c>
      <c r="G13" s="45">
        <v>1270</v>
      </c>
      <c r="H13" s="44">
        <f t="shared" si="1"/>
        <v>1265</v>
      </c>
      <c r="I13" s="46">
        <v>1260</v>
      </c>
      <c r="J13" s="45">
        <v>1270</v>
      </c>
      <c r="K13" s="44">
        <f t="shared" si="2"/>
        <v>1265</v>
      </c>
      <c r="L13" s="52">
        <v>1250</v>
      </c>
      <c r="M13" s="51">
        <v>1.3093999999999999</v>
      </c>
      <c r="N13" s="51">
        <v>1.1115999999999999</v>
      </c>
      <c r="O13" s="50">
        <v>108.77</v>
      </c>
      <c r="P13" s="43">
        <v>954.64</v>
      </c>
      <c r="Q13" s="43">
        <v>967.4</v>
      </c>
      <c r="R13" s="49">
        <f t="shared" si="3"/>
        <v>1124.5052177042103</v>
      </c>
      <c r="S13" s="48">
        <v>1.3128</v>
      </c>
    </row>
    <row r="14" spans="1:19" x14ac:dyDescent="0.2">
      <c r="B14" s="47">
        <v>43839</v>
      </c>
      <c r="C14" s="46">
        <v>1250</v>
      </c>
      <c r="D14" s="45">
        <v>1260</v>
      </c>
      <c r="E14" s="44">
        <f t="shared" si="0"/>
        <v>1255</v>
      </c>
      <c r="F14" s="46">
        <v>1260</v>
      </c>
      <c r="G14" s="45">
        <v>1270</v>
      </c>
      <c r="H14" s="44">
        <f t="shared" si="1"/>
        <v>1265</v>
      </c>
      <c r="I14" s="46">
        <v>1260</v>
      </c>
      <c r="J14" s="45">
        <v>1270</v>
      </c>
      <c r="K14" s="44">
        <f t="shared" si="2"/>
        <v>1265</v>
      </c>
      <c r="L14" s="52">
        <v>1260</v>
      </c>
      <c r="M14" s="51">
        <v>1.3038000000000001</v>
      </c>
      <c r="N14" s="51">
        <v>1.1113999999999999</v>
      </c>
      <c r="O14" s="50">
        <v>109.36</v>
      </c>
      <c r="P14" s="43">
        <v>966.41</v>
      </c>
      <c r="Q14" s="43">
        <v>971.54</v>
      </c>
      <c r="R14" s="49">
        <f t="shared" si="3"/>
        <v>1133.7052366384742</v>
      </c>
      <c r="S14" s="48">
        <v>1.3071999999999999</v>
      </c>
    </row>
    <row r="15" spans="1:19" x14ac:dyDescent="0.2">
      <c r="B15" s="47">
        <v>43840</v>
      </c>
      <c r="C15" s="46">
        <v>1235</v>
      </c>
      <c r="D15" s="45">
        <v>1240</v>
      </c>
      <c r="E15" s="44">
        <f t="shared" si="0"/>
        <v>1237.5</v>
      </c>
      <c r="F15" s="46">
        <v>1250</v>
      </c>
      <c r="G15" s="45">
        <v>1260</v>
      </c>
      <c r="H15" s="44">
        <f t="shared" si="1"/>
        <v>1255</v>
      </c>
      <c r="I15" s="46">
        <v>1250</v>
      </c>
      <c r="J15" s="45">
        <v>1260</v>
      </c>
      <c r="K15" s="44">
        <f t="shared" si="2"/>
        <v>1255</v>
      </c>
      <c r="L15" s="52">
        <v>1240</v>
      </c>
      <c r="M15" s="51">
        <v>1.3085</v>
      </c>
      <c r="N15" s="51">
        <v>1.1099000000000001</v>
      </c>
      <c r="O15" s="50">
        <v>109.64</v>
      </c>
      <c r="P15" s="43">
        <v>947.65</v>
      </c>
      <c r="Q15" s="43">
        <v>960.44</v>
      </c>
      <c r="R15" s="49">
        <f t="shared" si="3"/>
        <v>1117.2177673664294</v>
      </c>
      <c r="S15" s="48">
        <v>1.3119000000000001</v>
      </c>
    </row>
    <row r="16" spans="1:19" x14ac:dyDescent="0.2">
      <c r="B16" s="47">
        <v>43843</v>
      </c>
      <c r="C16" s="46">
        <v>1235</v>
      </c>
      <c r="D16" s="45">
        <v>1245</v>
      </c>
      <c r="E16" s="44">
        <f t="shared" si="0"/>
        <v>1240</v>
      </c>
      <c r="F16" s="46">
        <v>1255</v>
      </c>
      <c r="G16" s="45">
        <v>1265</v>
      </c>
      <c r="H16" s="44">
        <f t="shared" si="1"/>
        <v>1260</v>
      </c>
      <c r="I16" s="46">
        <v>1255</v>
      </c>
      <c r="J16" s="45">
        <v>1265</v>
      </c>
      <c r="K16" s="44">
        <f t="shared" si="2"/>
        <v>1260</v>
      </c>
      <c r="L16" s="52">
        <v>1245</v>
      </c>
      <c r="M16" s="51">
        <v>1.2976000000000001</v>
      </c>
      <c r="N16" s="51">
        <v>1.1125</v>
      </c>
      <c r="O16" s="50">
        <v>109.9</v>
      </c>
      <c r="P16" s="43">
        <v>959.46</v>
      </c>
      <c r="Q16" s="43">
        <v>972.18</v>
      </c>
      <c r="R16" s="49">
        <f t="shared" si="3"/>
        <v>1119.1011235955057</v>
      </c>
      <c r="S16" s="48">
        <v>1.3011999999999999</v>
      </c>
    </row>
    <row r="17" spans="2:19" x14ac:dyDescent="0.2">
      <c r="B17" s="47">
        <v>43844</v>
      </c>
      <c r="C17" s="46">
        <v>1235</v>
      </c>
      <c r="D17" s="45">
        <v>1240</v>
      </c>
      <c r="E17" s="44">
        <f t="shared" si="0"/>
        <v>1237.5</v>
      </c>
      <c r="F17" s="46">
        <v>1255</v>
      </c>
      <c r="G17" s="45">
        <v>1265</v>
      </c>
      <c r="H17" s="44">
        <f t="shared" si="1"/>
        <v>1260</v>
      </c>
      <c r="I17" s="46">
        <v>1255</v>
      </c>
      <c r="J17" s="45">
        <v>1265</v>
      </c>
      <c r="K17" s="44">
        <f t="shared" si="2"/>
        <v>1260</v>
      </c>
      <c r="L17" s="52">
        <v>1240</v>
      </c>
      <c r="M17" s="51">
        <v>1.2975000000000001</v>
      </c>
      <c r="N17" s="51">
        <v>1.1120000000000001</v>
      </c>
      <c r="O17" s="50">
        <v>110.07</v>
      </c>
      <c r="P17" s="43">
        <v>955.68</v>
      </c>
      <c r="Q17" s="43">
        <v>972.25</v>
      </c>
      <c r="R17" s="49">
        <f t="shared" si="3"/>
        <v>1115.1079136690646</v>
      </c>
      <c r="S17" s="48">
        <v>1.3010999999999999</v>
      </c>
    </row>
    <row r="18" spans="2:19" x14ac:dyDescent="0.2">
      <c r="B18" s="47">
        <v>43845</v>
      </c>
      <c r="C18" s="46">
        <v>1240</v>
      </c>
      <c r="D18" s="45">
        <v>1250</v>
      </c>
      <c r="E18" s="44">
        <f t="shared" si="0"/>
        <v>1245</v>
      </c>
      <c r="F18" s="46">
        <v>1260</v>
      </c>
      <c r="G18" s="45">
        <v>1270</v>
      </c>
      <c r="H18" s="44">
        <f t="shared" si="1"/>
        <v>1265</v>
      </c>
      <c r="I18" s="46">
        <v>1260</v>
      </c>
      <c r="J18" s="45">
        <v>1270</v>
      </c>
      <c r="K18" s="44">
        <f t="shared" si="2"/>
        <v>1265</v>
      </c>
      <c r="L18" s="52">
        <v>1250</v>
      </c>
      <c r="M18" s="51">
        <v>1.3007</v>
      </c>
      <c r="N18" s="51">
        <v>1.1141000000000001</v>
      </c>
      <c r="O18" s="50">
        <v>109.87</v>
      </c>
      <c r="P18" s="43">
        <v>961.02</v>
      </c>
      <c r="Q18" s="43">
        <v>973.63</v>
      </c>
      <c r="R18" s="49">
        <f t="shared" si="3"/>
        <v>1121.9818687730005</v>
      </c>
      <c r="S18" s="48">
        <v>1.3044</v>
      </c>
    </row>
    <row r="19" spans="2:19" x14ac:dyDescent="0.2">
      <c r="B19" s="47">
        <v>43846</v>
      </c>
      <c r="C19" s="46">
        <v>1245</v>
      </c>
      <c r="D19" s="45">
        <v>1255</v>
      </c>
      <c r="E19" s="44">
        <f t="shared" si="0"/>
        <v>1250</v>
      </c>
      <c r="F19" s="46">
        <v>1265</v>
      </c>
      <c r="G19" s="45">
        <v>1275</v>
      </c>
      <c r="H19" s="44">
        <f t="shared" si="1"/>
        <v>1270</v>
      </c>
      <c r="I19" s="46">
        <v>1265</v>
      </c>
      <c r="J19" s="45">
        <v>1275</v>
      </c>
      <c r="K19" s="44">
        <f t="shared" si="2"/>
        <v>1270</v>
      </c>
      <c r="L19" s="52">
        <v>1255</v>
      </c>
      <c r="M19" s="51">
        <v>1.3066</v>
      </c>
      <c r="N19" s="51">
        <v>1.1165</v>
      </c>
      <c r="O19" s="50">
        <v>109.98</v>
      </c>
      <c r="P19" s="43">
        <v>960.51</v>
      </c>
      <c r="Q19" s="43">
        <v>973.06</v>
      </c>
      <c r="R19" s="49">
        <f t="shared" si="3"/>
        <v>1124.0483654276757</v>
      </c>
      <c r="S19" s="48">
        <v>1.3103</v>
      </c>
    </row>
    <row r="20" spans="2:19" x14ac:dyDescent="0.2">
      <c r="B20" s="47">
        <v>43847</v>
      </c>
      <c r="C20" s="46">
        <v>1245</v>
      </c>
      <c r="D20" s="45">
        <v>1255</v>
      </c>
      <c r="E20" s="44">
        <f t="shared" si="0"/>
        <v>1250</v>
      </c>
      <c r="F20" s="46">
        <v>1265</v>
      </c>
      <c r="G20" s="45">
        <v>1275</v>
      </c>
      <c r="H20" s="44">
        <f t="shared" si="1"/>
        <v>1270</v>
      </c>
      <c r="I20" s="46">
        <v>1265</v>
      </c>
      <c r="J20" s="45">
        <v>1275</v>
      </c>
      <c r="K20" s="44">
        <f t="shared" si="2"/>
        <v>1270</v>
      </c>
      <c r="L20" s="52">
        <v>1255</v>
      </c>
      <c r="M20" s="51">
        <v>1.3051999999999999</v>
      </c>
      <c r="N20" s="51">
        <v>1.111</v>
      </c>
      <c r="O20" s="50">
        <v>110.11</v>
      </c>
      <c r="P20" s="43">
        <v>961.54</v>
      </c>
      <c r="Q20" s="43">
        <v>974.1</v>
      </c>
      <c r="R20" s="49">
        <f t="shared" si="3"/>
        <v>1129.6129612961297</v>
      </c>
      <c r="S20" s="48">
        <v>1.3089</v>
      </c>
    </row>
    <row r="21" spans="2:19" x14ac:dyDescent="0.2">
      <c r="B21" s="47">
        <v>43850</v>
      </c>
      <c r="C21" s="46">
        <v>1260</v>
      </c>
      <c r="D21" s="45">
        <v>1270</v>
      </c>
      <c r="E21" s="44">
        <f t="shared" si="0"/>
        <v>1265</v>
      </c>
      <c r="F21" s="46">
        <v>1275</v>
      </c>
      <c r="G21" s="45">
        <v>1285</v>
      </c>
      <c r="H21" s="44">
        <f t="shared" si="1"/>
        <v>1280</v>
      </c>
      <c r="I21" s="46">
        <v>1275</v>
      </c>
      <c r="J21" s="45">
        <v>1285</v>
      </c>
      <c r="K21" s="44">
        <f t="shared" si="2"/>
        <v>1280</v>
      </c>
      <c r="L21" s="52">
        <v>1270</v>
      </c>
      <c r="M21" s="51">
        <v>1.2990999999999999</v>
      </c>
      <c r="N21" s="51">
        <v>1.1084000000000001</v>
      </c>
      <c r="O21" s="50">
        <v>110.19</v>
      </c>
      <c r="P21" s="43">
        <v>977.6</v>
      </c>
      <c r="Q21" s="43">
        <v>989.15</v>
      </c>
      <c r="R21" s="49">
        <f t="shared" si="3"/>
        <v>1145.7957416095271</v>
      </c>
      <c r="S21" s="48">
        <v>1.2990999999999999</v>
      </c>
    </row>
    <row r="22" spans="2:19" x14ac:dyDescent="0.2">
      <c r="B22" s="47">
        <v>43851</v>
      </c>
      <c r="C22" s="46">
        <v>1260</v>
      </c>
      <c r="D22" s="45">
        <v>1270</v>
      </c>
      <c r="E22" s="44">
        <f t="shared" si="0"/>
        <v>1265</v>
      </c>
      <c r="F22" s="46">
        <v>1280</v>
      </c>
      <c r="G22" s="45">
        <v>1290</v>
      </c>
      <c r="H22" s="44">
        <f t="shared" si="1"/>
        <v>1285</v>
      </c>
      <c r="I22" s="46">
        <v>1280</v>
      </c>
      <c r="J22" s="45">
        <v>1290</v>
      </c>
      <c r="K22" s="44">
        <f t="shared" si="2"/>
        <v>1285</v>
      </c>
      <c r="L22" s="52">
        <v>1270</v>
      </c>
      <c r="M22" s="51">
        <v>1.3048999999999999</v>
      </c>
      <c r="N22" s="51">
        <v>1.1109</v>
      </c>
      <c r="O22" s="50">
        <v>110.05</v>
      </c>
      <c r="P22" s="43">
        <v>973.25</v>
      </c>
      <c r="Q22" s="43">
        <v>985.79</v>
      </c>
      <c r="R22" s="49">
        <f t="shared" si="3"/>
        <v>1143.2172112701414</v>
      </c>
      <c r="S22" s="48">
        <v>1.3086</v>
      </c>
    </row>
    <row r="23" spans="2:19" x14ac:dyDescent="0.2">
      <c r="B23" s="47">
        <v>43852</v>
      </c>
      <c r="C23" s="46">
        <v>1260</v>
      </c>
      <c r="D23" s="45">
        <v>1270</v>
      </c>
      <c r="E23" s="44">
        <f t="shared" si="0"/>
        <v>1265</v>
      </c>
      <c r="F23" s="46">
        <v>1275</v>
      </c>
      <c r="G23" s="45">
        <v>1285</v>
      </c>
      <c r="H23" s="44">
        <f t="shared" si="1"/>
        <v>1280</v>
      </c>
      <c r="I23" s="46">
        <v>1275</v>
      </c>
      <c r="J23" s="45">
        <v>1285</v>
      </c>
      <c r="K23" s="44">
        <f t="shared" si="2"/>
        <v>1280</v>
      </c>
      <c r="L23" s="52">
        <v>1270</v>
      </c>
      <c r="M23" s="51">
        <v>1.3121</v>
      </c>
      <c r="N23" s="51">
        <v>1.1083000000000001</v>
      </c>
      <c r="O23" s="50">
        <v>109.98</v>
      </c>
      <c r="P23" s="43">
        <v>967.91</v>
      </c>
      <c r="Q23" s="43">
        <v>976.59</v>
      </c>
      <c r="R23" s="49">
        <f t="shared" si="3"/>
        <v>1145.8991247857077</v>
      </c>
      <c r="S23" s="48">
        <v>1.3158000000000001</v>
      </c>
    </row>
    <row r="24" spans="2:19" x14ac:dyDescent="0.2">
      <c r="B24" s="47">
        <v>43853</v>
      </c>
      <c r="C24" s="46">
        <v>1265</v>
      </c>
      <c r="D24" s="45">
        <v>1270</v>
      </c>
      <c r="E24" s="44">
        <f t="shared" si="0"/>
        <v>1267.5</v>
      </c>
      <c r="F24" s="46">
        <v>1275</v>
      </c>
      <c r="G24" s="45">
        <v>1285</v>
      </c>
      <c r="H24" s="44">
        <f t="shared" si="1"/>
        <v>1280</v>
      </c>
      <c r="I24" s="46">
        <v>1275</v>
      </c>
      <c r="J24" s="45">
        <v>1285</v>
      </c>
      <c r="K24" s="44">
        <f t="shared" si="2"/>
        <v>1280</v>
      </c>
      <c r="L24" s="52">
        <v>1270</v>
      </c>
      <c r="M24" s="51">
        <v>1.3124</v>
      </c>
      <c r="N24" s="51">
        <v>1.1085</v>
      </c>
      <c r="O24" s="50">
        <v>109.6</v>
      </c>
      <c r="P24" s="43">
        <v>967.69</v>
      </c>
      <c r="Q24" s="43">
        <v>976.37</v>
      </c>
      <c r="R24" s="49">
        <f t="shared" si="3"/>
        <v>1145.6923770861524</v>
      </c>
      <c r="S24" s="48">
        <v>1.3161</v>
      </c>
    </row>
    <row r="25" spans="2:19" x14ac:dyDescent="0.2">
      <c r="B25" s="47">
        <v>43854</v>
      </c>
      <c r="C25" s="46">
        <v>1260</v>
      </c>
      <c r="D25" s="45">
        <v>1270</v>
      </c>
      <c r="E25" s="44">
        <f t="shared" si="0"/>
        <v>1265</v>
      </c>
      <c r="F25" s="46">
        <v>1280</v>
      </c>
      <c r="G25" s="45">
        <v>1285</v>
      </c>
      <c r="H25" s="44">
        <f t="shared" si="1"/>
        <v>1282.5</v>
      </c>
      <c r="I25" s="46">
        <v>1295</v>
      </c>
      <c r="J25" s="45">
        <v>1305</v>
      </c>
      <c r="K25" s="44">
        <f t="shared" si="2"/>
        <v>1300</v>
      </c>
      <c r="L25" s="52">
        <v>1270</v>
      </c>
      <c r="M25" s="51">
        <v>1.3083</v>
      </c>
      <c r="N25" s="51">
        <v>1.1028</v>
      </c>
      <c r="O25" s="50">
        <v>109.62</v>
      </c>
      <c r="P25" s="43">
        <v>970.73</v>
      </c>
      <c r="Q25" s="43">
        <v>979.42</v>
      </c>
      <c r="R25" s="49">
        <f t="shared" si="3"/>
        <v>1151.6140732680449</v>
      </c>
      <c r="S25" s="48">
        <v>1.3120000000000001</v>
      </c>
    </row>
    <row r="26" spans="2:19" x14ac:dyDescent="0.2">
      <c r="B26" s="47">
        <v>43857</v>
      </c>
      <c r="C26" s="46">
        <v>1250</v>
      </c>
      <c r="D26" s="45">
        <v>1260</v>
      </c>
      <c r="E26" s="44">
        <f t="shared" si="0"/>
        <v>1255</v>
      </c>
      <c r="F26" s="46">
        <v>1270</v>
      </c>
      <c r="G26" s="45">
        <v>1280</v>
      </c>
      <c r="H26" s="44">
        <f t="shared" si="1"/>
        <v>1275</v>
      </c>
      <c r="I26" s="46">
        <v>1285</v>
      </c>
      <c r="J26" s="45">
        <v>1295</v>
      </c>
      <c r="K26" s="44">
        <f t="shared" si="2"/>
        <v>1290</v>
      </c>
      <c r="L26" s="52">
        <v>1260</v>
      </c>
      <c r="M26" s="51">
        <v>1.3068</v>
      </c>
      <c r="N26" s="51">
        <v>1.1023000000000001</v>
      </c>
      <c r="O26" s="50">
        <v>108.96</v>
      </c>
      <c r="P26" s="43">
        <v>964.19</v>
      </c>
      <c r="Q26" s="43">
        <v>976.73</v>
      </c>
      <c r="R26" s="49">
        <f t="shared" si="3"/>
        <v>1143.0645014968702</v>
      </c>
      <c r="S26" s="48">
        <v>1.3105</v>
      </c>
    </row>
    <row r="27" spans="2:19" x14ac:dyDescent="0.2">
      <c r="B27" s="47">
        <v>43858</v>
      </c>
      <c r="C27" s="46">
        <v>1245</v>
      </c>
      <c r="D27" s="45">
        <v>1255</v>
      </c>
      <c r="E27" s="44">
        <f t="shared" si="0"/>
        <v>1250</v>
      </c>
      <c r="F27" s="46">
        <v>1265</v>
      </c>
      <c r="G27" s="45">
        <v>1275</v>
      </c>
      <c r="H27" s="44">
        <f t="shared" si="1"/>
        <v>1270</v>
      </c>
      <c r="I27" s="46">
        <v>1280</v>
      </c>
      <c r="J27" s="45">
        <v>1290</v>
      </c>
      <c r="K27" s="44">
        <f t="shared" si="2"/>
        <v>1285</v>
      </c>
      <c r="L27" s="52">
        <v>1255</v>
      </c>
      <c r="M27" s="51">
        <v>1.3011999999999999</v>
      </c>
      <c r="N27" s="51">
        <v>1.1007</v>
      </c>
      <c r="O27" s="50">
        <v>109.06</v>
      </c>
      <c r="P27" s="43">
        <v>964.49</v>
      </c>
      <c r="Q27" s="43">
        <v>977.09</v>
      </c>
      <c r="R27" s="49">
        <f t="shared" si="3"/>
        <v>1140.1835195784502</v>
      </c>
      <c r="S27" s="48">
        <v>1.3048999999999999</v>
      </c>
    </row>
    <row r="28" spans="2:19" x14ac:dyDescent="0.2">
      <c r="B28" s="47">
        <v>43859</v>
      </c>
      <c r="C28" s="46">
        <v>1240</v>
      </c>
      <c r="D28" s="45">
        <v>1250</v>
      </c>
      <c r="E28" s="44">
        <f t="shared" si="0"/>
        <v>1245</v>
      </c>
      <c r="F28" s="46">
        <v>1265</v>
      </c>
      <c r="G28" s="45">
        <v>1275</v>
      </c>
      <c r="H28" s="44">
        <f t="shared" si="1"/>
        <v>1270</v>
      </c>
      <c r="I28" s="46">
        <v>1280</v>
      </c>
      <c r="J28" s="45">
        <v>1290</v>
      </c>
      <c r="K28" s="44">
        <f t="shared" si="2"/>
        <v>1285</v>
      </c>
      <c r="L28" s="52">
        <v>1250</v>
      </c>
      <c r="M28" s="51">
        <v>1.3008999999999999</v>
      </c>
      <c r="N28" s="51">
        <v>1.0998000000000001</v>
      </c>
      <c r="O28" s="50">
        <v>109.12</v>
      </c>
      <c r="P28" s="43">
        <v>960.87</v>
      </c>
      <c r="Q28" s="43">
        <v>977.39</v>
      </c>
      <c r="R28" s="49">
        <f t="shared" si="3"/>
        <v>1136.5702855064555</v>
      </c>
      <c r="S28" s="48">
        <v>1.3045</v>
      </c>
    </row>
    <row r="29" spans="2:19" x14ac:dyDescent="0.2">
      <c r="B29" s="47">
        <v>43860</v>
      </c>
      <c r="C29" s="46">
        <v>1235</v>
      </c>
      <c r="D29" s="45">
        <v>1245</v>
      </c>
      <c r="E29" s="44">
        <f t="shared" si="0"/>
        <v>1240</v>
      </c>
      <c r="F29" s="46">
        <v>1260</v>
      </c>
      <c r="G29" s="45">
        <v>1270</v>
      </c>
      <c r="H29" s="44">
        <f t="shared" si="1"/>
        <v>1265</v>
      </c>
      <c r="I29" s="46">
        <v>1275</v>
      </c>
      <c r="J29" s="45">
        <v>1285</v>
      </c>
      <c r="K29" s="44">
        <f t="shared" si="2"/>
        <v>1280</v>
      </c>
      <c r="L29" s="52">
        <v>1245</v>
      </c>
      <c r="M29" s="51">
        <v>1.3089</v>
      </c>
      <c r="N29" s="51">
        <v>1.1024</v>
      </c>
      <c r="O29" s="50">
        <v>108.78</v>
      </c>
      <c r="P29" s="43">
        <v>951.18</v>
      </c>
      <c r="Q29" s="43">
        <v>967.91</v>
      </c>
      <c r="R29" s="49">
        <f t="shared" si="3"/>
        <v>1129.3541364296082</v>
      </c>
      <c r="S29" s="48">
        <v>1.3121</v>
      </c>
    </row>
    <row r="30" spans="2:19" x14ac:dyDescent="0.2">
      <c r="B30" s="47">
        <v>43861</v>
      </c>
      <c r="C30" s="46">
        <v>1240</v>
      </c>
      <c r="D30" s="45">
        <v>1250</v>
      </c>
      <c r="E30" s="44">
        <f t="shared" si="0"/>
        <v>1245</v>
      </c>
      <c r="F30" s="46">
        <v>1260</v>
      </c>
      <c r="G30" s="45">
        <v>1270</v>
      </c>
      <c r="H30" s="44">
        <f t="shared" si="1"/>
        <v>1265</v>
      </c>
      <c r="I30" s="46">
        <v>1275</v>
      </c>
      <c r="J30" s="45">
        <v>1285</v>
      </c>
      <c r="K30" s="44">
        <f t="shared" si="2"/>
        <v>1280</v>
      </c>
      <c r="L30" s="52">
        <v>1250</v>
      </c>
      <c r="M30" s="51">
        <v>1.3123</v>
      </c>
      <c r="N30" s="51">
        <v>1.1048</v>
      </c>
      <c r="O30" s="50">
        <v>108.97</v>
      </c>
      <c r="P30" s="43">
        <v>952.53</v>
      </c>
      <c r="Q30" s="43">
        <v>965.41</v>
      </c>
      <c r="R30" s="49">
        <f t="shared" si="3"/>
        <v>1131.4265025343955</v>
      </c>
      <c r="S30" s="48">
        <v>1.3154999999999999</v>
      </c>
    </row>
    <row r="31" spans="2:19" s="10" customFormat="1" x14ac:dyDescent="0.2">
      <c r="B31" s="42" t="s">
        <v>11</v>
      </c>
      <c r="C31" s="41">
        <f>ROUND(AVERAGE(C9:C30),2)</f>
        <v>1243.6400000000001</v>
      </c>
      <c r="D31" s="40">
        <f>ROUND(AVERAGE(D9:D30),2)</f>
        <v>1252.32</v>
      </c>
      <c r="E31" s="39">
        <f>ROUND(AVERAGE(C31:D31),2)</f>
        <v>1247.98</v>
      </c>
      <c r="F31" s="41">
        <f>ROUND(AVERAGE(F9:F30),2)</f>
        <v>1262.5</v>
      </c>
      <c r="G31" s="40">
        <f>ROUND(AVERAGE(G9:G30),2)</f>
        <v>1272.27</v>
      </c>
      <c r="H31" s="39">
        <f>ROUND(AVERAGE(F31:G31),2)</f>
        <v>1267.3900000000001</v>
      </c>
      <c r="I31" s="41">
        <f>ROUND(AVERAGE(I9:I30),2)</f>
        <v>1266.5899999999999</v>
      </c>
      <c r="J31" s="40">
        <f>ROUND(AVERAGE(J9:J30),2)</f>
        <v>1276.5899999999999</v>
      </c>
      <c r="K31" s="39">
        <f>ROUND(AVERAGE(I31:J31),2)</f>
        <v>1271.5899999999999</v>
      </c>
      <c r="L31" s="38">
        <f>ROUND(AVERAGE(L9:L30),2)</f>
        <v>1252.32</v>
      </c>
      <c r="M31" s="37">
        <f>ROUND(AVERAGE(M9:M30),4)</f>
        <v>1.3068</v>
      </c>
      <c r="N31" s="36">
        <f>ROUND(AVERAGE(N9:N30),4)</f>
        <v>1.1099000000000001</v>
      </c>
      <c r="O31" s="175">
        <f>ROUND(AVERAGE(O9:O30),2)</f>
        <v>109.34</v>
      </c>
      <c r="P31" s="35">
        <f>AVERAGE(P9:P30)</f>
        <v>958.31954545454539</v>
      </c>
      <c r="Q31" s="35">
        <f>AVERAGE(Q9:Q30)</f>
        <v>971.20499999999993</v>
      </c>
      <c r="R31" s="35">
        <f>AVERAGE(R9:R30)</f>
        <v>1128.3400220966071</v>
      </c>
      <c r="S31" s="34">
        <f>AVERAGE(S9:S30)</f>
        <v>1.310031818181818</v>
      </c>
    </row>
    <row r="32" spans="2:19" s="5" customFormat="1" x14ac:dyDescent="0.2">
      <c r="B32" s="33" t="s">
        <v>12</v>
      </c>
      <c r="C32" s="32">
        <f t="shared" ref="C32:S32" si="4">MAX(C9:C30)</f>
        <v>1265</v>
      </c>
      <c r="D32" s="31">
        <f t="shared" si="4"/>
        <v>1270</v>
      </c>
      <c r="E32" s="30">
        <f t="shared" si="4"/>
        <v>1267.5</v>
      </c>
      <c r="F32" s="32">
        <f t="shared" si="4"/>
        <v>1280</v>
      </c>
      <c r="G32" s="31">
        <f t="shared" si="4"/>
        <v>1290</v>
      </c>
      <c r="H32" s="30">
        <f t="shared" si="4"/>
        <v>1285</v>
      </c>
      <c r="I32" s="32">
        <f t="shared" si="4"/>
        <v>1295</v>
      </c>
      <c r="J32" s="31">
        <f t="shared" si="4"/>
        <v>1305</v>
      </c>
      <c r="K32" s="30">
        <f t="shared" si="4"/>
        <v>1300</v>
      </c>
      <c r="L32" s="29">
        <f t="shared" si="4"/>
        <v>1270</v>
      </c>
      <c r="M32" s="28">
        <f t="shared" si="4"/>
        <v>1.3197000000000001</v>
      </c>
      <c r="N32" s="27">
        <f t="shared" si="4"/>
        <v>1.1198999999999999</v>
      </c>
      <c r="O32" s="26">
        <f t="shared" si="4"/>
        <v>110.19</v>
      </c>
      <c r="P32" s="25">
        <f t="shared" si="4"/>
        <v>977.6</v>
      </c>
      <c r="Q32" s="25">
        <f t="shared" si="4"/>
        <v>989.15</v>
      </c>
      <c r="R32" s="25">
        <f t="shared" si="4"/>
        <v>1151.6140732680449</v>
      </c>
      <c r="S32" s="24">
        <f t="shared" si="4"/>
        <v>1.323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1220</v>
      </c>
      <c r="D33" s="21">
        <f t="shared" si="5"/>
        <v>1221</v>
      </c>
      <c r="E33" s="20">
        <f t="shared" si="5"/>
        <v>1220.5</v>
      </c>
      <c r="F33" s="22">
        <f t="shared" si="5"/>
        <v>1240</v>
      </c>
      <c r="G33" s="21">
        <f t="shared" si="5"/>
        <v>1250</v>
      </c>
      <c r="H33" s="20">
        <f t="shared" si="5"/>
        <v>1245</v>
      </c>
      <c r="I33" s="22">
        <f t="shared" si="5"/>
        <v>1240</v>
      </c>
      <c r="J33" s="21">
        <f t="shared" si="5"/>
        <v>1250</v>
      </c>
      <c r="K33" s="20">
        <f t="shared" si="5"/>
        <v>1245</v>
      </c>
      <c r="L33" s="19">
        <f t="shared" si="5"/>
        <v>1221</v>
      </c>
      <c r="M33" s="18">
        <f t="shared" si="5"/>
        <v>1.2975000000000001</v>
      </c>
      <c r="N33" s="17">
        <f t="shared" si="5"/>
        <v>1.0998000000000001</v>
      </c>
      <c r="O33" s="16">
        <f t="shared" si="5"/>
        <v>108.07</v>
      </c>
      <c r="P33" s="15">
        <f t="shared" si="5"/>
        <v>925.21</v>
      </c>
      <c r="Q33" s="15">
        <f t="shared" si="5"/>
        <v>944.82</v>
      </c>
      <c r="R33" s="15">
        <f t="shared" si="5"/>
        <v>1090.8603591530421</v>
      </c>
      <c r="S33" s="14">
        <f t="shared" si="5"/>
        <v>1.2990999999999999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43832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43832</v>
      </c>
      <c r="C9" s="46">
        <v>1771</v>
      </c>
      <c r="D9" s="45">
        <v>1772</v>
      </c>
      <c r="E9" s="44">
        <f t="shared" ref="E9:E30" si="0">AVERAGE(C9:D9)</f>
        <v>1771.5</v>
      </c>
      <c r="F9" s="46">
        <v>1803</v>
      </c>
      <c r="G9" s="45">
        <v>1803.5</v>
      </c>
      <c r="H9" s="44">
        <f t="shared" ref="H9:H30" si="1">AVERAGE(F9:G9)</f>
        <v>1803.25</v>
      </c>
      <c r="I9" s="46">
        <v>1933</v>
      </c>
      <c r="J9" s="45">
        <v>1938</v>
      </c>
      <c r="K9" s="44">
        <f t="shared" ref="K9:K30" si="2">AVERAGE(I9:J9)</f>
        <v>1935.5</v>
      </c>
      <c r="L9" s="46">
        <v>2022</v>
      </c>
      <c r="M9" s="45">
        <v>2027</v>
      </c>
      <c r="N9" s="44">
        <f t="shared" ref="N9:N30" si="3">AVERAGE(L9:M9)</f>
        <v>2024.5</v>
      </c>
      <c r="O9" s="46">
        <v>2108</v>
      </c>
      <c r="P9" s="45">
        <v>2113</v>
      </c>
      <c r="Q9" s="44">
        <f t="shared" ref="Q9:Q30" si="4">AVERAGE(O9:P9)</f>
        <v>2110.5</v>
      </c>
      <c r="R9" s="52">
        <v>1772</v>
      </c>
      <c r="S9" s="51">
        <v>1.3197000000000001</v>
      </c>
      <c r="T9" s="53">
        <v>1.1193</v>
      </c>
      <c r="U9" s="50">
        <v>108.79</v>
      </c>
      <c r="V9" s="43">
        <v>1342.73</v>
      </c>
      <c r="W9" s="43">
        <v>1363.19</v>
      </c>
      <c r="X9" s="49">
        <f t="shared" ref="X9:X30" si="5">R9/T9</f>
        <v>1583.132314839632</v>
      </c>
      <c r="Y9" s="48">
        <v>1.323</v>
      </c>
    </row>
    <row r="10" spans="1:25" x14ac:dyDescent="0.2">
      <c r="B10" s="47">
        <v>43833</v>
      </c>
      <c r="C10" s="46">
        <v>1757</v>
      </c>
      <c r="D10" s="45">
        <v>1758</v>
      </c>
      <c r="E10" s="44">
        <f t="shared" si="0"/>
        <v>1757.5</v>
      </c>
      <c r="F10" s="46">
        <v>1792</v>
      </c>
      <c r="G10" s="45">
        <v>1794</v>
      </c>
      <c r="H10" s="44">
        <f t="shared" si="1"/>
        <v>1793</v>
      </c>
      <c r="I10" s="46">
        <v>1925</v>
      </c>
      <c r="J10" s="45">
        <v>1930</v>
      </c>
      <c r="K10" s="44">
        <f t="shared" si="2"/>
        <v>1927.5</v>
      </c>
      <c r="L10" s="46">
        <v>2013</v>
      </c>
      <c r="M10" s="45">
        <v>2018</v>
      </c>
      <c r="N10" s="44">
        <f t="shared" si="3"/>
        <v>2015.5</v>
      </c>
      <c r="O10" s="46">
        <v>2100</v>
      </c>
      <c r="P10" s="45">
        <v>2105</v>
      </c>
      <c r="Q10" s="44">
        <f t="shared" si="4"/>
        <v>2102.5</v>
      </c>
      <c r="R10" s="52">
        <v>1758</v>
      </c>
      <c r="S10" s="51">
        <v>1.3081</v>
      </c>
      <c r="T10" s="51">
        <v>1.1138999999999999</v>
      </c>
      <c r="U10" s="50">
        <v>108.07</v>
      </c>
      <c r="V10" s="43">
        <v>1343.93</v>
      </c>
      <c r="W10" s="43">
        <v>1368</v>
      </c>
      <c r="X10" s="49">
        <f t="shared" si="5"/>
        <v>1578.2386210611367</v>
      </c>
      <c r="Y10" s="48">
        <v>1.3113999999999999</v>
      </c>
    </row>
    <row r="11" spans="1:25" x14ac:dyDescent="0.2">
      <c r="B11" s="47">
        <v>43836</v>
      </c>
      <c r="C11" s="46">
        <v>1790</v>
      </c>
      <c r="D11" s="45">
        <v>1791</v>
      </c>
      <c r="E11" s="44">
        <f t="shared" si="0"/>
        <v>1790.5</v>
      </c>
      <c r="F11" s="46">
        <v>1820</v>
      </c>
      <c r="G11" s="45">
        <v>1822</v>
      </c>
      <c r="H11" s="44">
        <f t="shared" si="1"/>
        <v>1821</v>
      </c>
      <c r="I11" s="46">
        <v>1955</v>
      </c>
      <c r="J11" s="45">
        <v>1960</v>
      </c>
      <c r="K11" s="44">
        <f t="shared" si="2"/>
        <v>1957.5</v>
      </c>
      <c r="L11" s="46">
        <v>2040</v>
      </c>
      <c r="M11" s="45">
        <v>2045</v>
      </c>
      <c r="N11" s="44">
        <f t="shared" si="3"/>
        <v>2042.5</v>
      </c>
      <c r="O11" s="46">
        <v>2127</v>
      </c>
      <c r="P11" s="45">
        <v>2132</v>
      </c>
      <c r="Q11" s="44">
        <f t="shared" si="4"/>
        <v>2129.5</v>
      </c>
      <c r="R11" s="52">
        <v>1791</v>
      </c>
      <c r="S11" s="51">
        <v>1.3140000000000001</v>
      </c>
      <c r="T11" s="51">
        <v>1.1198999999999999</v>
      </c>
      <c r="U11" s="50">
        <v>108.16</v>
      </c>
      <c r="V11" s="43">
        <v>1363.01</v>
      </c>
      <c r="W11" s="43">
        <v>1383.13</v>
      </c>
      <c r="X11" s="49">
        <f t="shared" si="5"/>
        <v>1599.2499330297348</v>
      </c>
      <c r="Y11" s="48">
        <v>1.3172999999999999</v>
      </c>
    </row>
    <row r="12" spans="1:25" x14ac:dyDescent="0.2">
      <c r="B12" s="47">
        <v>43837</v>
      </c>
      <c r="C12" s="46">
        <v>1793.5</v>
      </c>
      <c r="D12" s="45">
        <v>1794</v>
      </c>
      <c r="E12" s="44">
        <f t="shared" si="0"/>
        <v>1793.75</v>
      </c>
      <c r="F12" s="46">
        <v>1826</v>
      </c>
      <c r="G12" s="45">
        <v>1826.5</v>
      </c>
      <c r="H12" s="44">
        <f t="shared" si="1"/>
        <v>1826.25</v>
      </c>
      <c r="I12" s="46">
        <v>1960</v>
      </c>
      <c r="J12" s="45">
        <v>1965</v>
      </c>
      <c r="K12" s="44">
        <f t="shared" si="2"/>
        <v>1962.5</v>
      </c>
      <c r="L12" s="46">
        <v>2045</v>
      </c>
      <c r="M12" s="45">
        <v>2050</v>
      </c>
      <c r="N12" s="44">
        <f t="shared" si="3"/>
        <v>2047.5</v>
      </c>
      <c r="O12" s="46">
        <v>2130</v>
      </c>
      <c r="P12" s="45">
        <v>2135</v>
      </c>
      <c r="Q12" s="44">
        <f t="shared" si="4"/>
        <v>2132.5</v>
      </c>
      <c r="R12" s="52">
        <v>1794</v>
      </c>
      <c r="S12" s="51">
        <v>1.3121</v>
      </c>
      <c r="T12" s="51">
        <v>1.1174999999999999</v>
      </c>
      <c r="U12" s="50">
        <v>108.43</v>
      </c>
      <c r="V12" s="43">
        <v>1367.27</v>
      </c>
      <c r="W12" s="43">
        <v>1392.04</v>
      </c>
      <c r="X12" s="49">
        <f t="shared" si="5"/>
        <v>1605.3691275167787</v>
      </c>
      <c r="Y12" s="48">
        <v>1.3121</v>
      </c>
    </row>
    <row r="13" spans="1:25" x14ac:dyDescent="0.2">
      <c r="B13" s="47">
        <v>43838</v>
      </c>
      <c r="C13" s="46">
        <v>1771</v>
      </c>
      <c r="D13" s="45">
        <v>1771.5</v>
      </c>
      <c r="E13" s="44">
        <f t="shared" si="0"/>
        <v>1771.25</v>
      </c>
      <c r="F13" s="46">
        <v>1805</v>
      </c>
      <c r="G13" s="45">
        <v>1806</v>
      </c>
      <c r="H13" s="44">
        <f t="shared" si="1"/>
        <v>1805.5</v>
      </c>
      <c r="I13" s="46">
        <v>1940</v>
      </c>
      <c r="J13" s="45">
        <v>1945</v>
      </c>
      <c r="K13" s="44">
        <f t="shared" si="2"/>
        <v>1942.5</v>
      </c>
      <c r="L13" s="46">
        <v>2025</v>
      </c>
      <c r="M13" s="45">
        <v>2030</v>
      </c>
      <c r="N13" s="44">
        <f t="shared" si="3"/>
        <v>2027.5</v>
      </c>
      <c r="O13" s="46">
        <v>2110</v>
      </c>
      <c r="P13" s="45">
        <v>2115</v>
      </c>
      <c r="Q13" s="44">
        <f t="shared" si="4"/>
        <v>2112.5</v>
      </c>
      <c r="R13" s="52">
        <v>1771.5</v>
      </c>
      <c r="S13" s="51">
        <v>1.3093999999999999</v>
      </c>
      <c r="T13" s="51">
        <v>1.1115999999999999</v>
      </c>
      <c r="U13" s="50">
        <v>108.77</v>
      </c>
      <c r="V13" s="43">
        <v>1352.91</v>
      </c>
      <c r="W13" s="43">
        <v>1375.69</v>
      </c>
      <c r="X13" s="49">
        <f t="shared" si="5"/>
        <v>1593.6487945304068</v>
      </c>
      <c r="Y13" s="48">
        <v>1.3128</v>
      </c>
    </row>
    <row r="14" spans="1:25" x14ac:dyDescent="0.2">
      <c r="B14" s="47">
        <v>43839</v>
      </c>
      <c r="C14" s="46">
        <v>1770.5</v>
      </c>
      <c r="D14" s="45">
        <v>1771</v>
      </c>
      <c r="E14" s="44">
        <f t="shared" si="0"/>
        <v>1770.75</v>
      </c>
      <c r="F14" s="46">
        <v>1799</v>
      </c>
      <c r="G14" s="45">
        <v>1799.5</v>
      </c>
      <c r="H14" s="44">
        <f t="shared" si="1"/>
        <v>1799.25</v>
      </c>
      <c r="I14" s="46">
        <v>1937</v>
      </c>
      <c r="J14" s="45">
        <v>1942</v>
      </c>
      <c r="K14" s="44">
        <f t="shared" si="2"/>
        <v>1939.5</v>
      </c>
      <c r="L14" s="46">
        <v>2020</v>
      </c>
      <c r="M14" s="45">
        <v>2025</v>
      </c>
      <c r="N14" s="44">
        <f t="shared" si="3"/>
        <v>2022.5</v>
      </c>
      <c r="O14" s="46">
        <v>2107</v>
      </c>
      <c r="P14" s="45">
        <v>2112</v>
      </c>
      <c r="Q14" s="44">
        <f t="shared" si="4"/>
        <v>2109.5</v>
      </c>
      <c r="R14" s="52">
        <v>1771</v>
      </c>
      <c r="S14" s="51">
        <v>1.3038000000000001</v>
      </c>
      <c r="T14" s="51">
        <v>1.1113999999999999</v>
      </c>
      <c r="U14" s="50">
        <v>109.36</v>
      </c>
      <c r="V14" s="43">
        <v>1358.34</v>
      </c>
      <c r="W14" s="43">
        <v>1376.61</v>
      </c>
      <c r="X14" s="49">
        <f t="shared" si="5"/>
        <v>1593.485693719633</v>
      </c>
      <c r="Y14" s="48">
        <v>1.3071999999999999</v>
      </c>
    </row>
    <row r="15" spans="1:25" x14ac:dyDescent="0.2">
      <c r="B15" s="47">
        <v>43840</v>
      </c>
      <c r="C15" s="46">
        <v>1771</v>
      </c>
      <c r="D15" s="45">
        <v>1771.5</v>
      </c>
      <c r="E15" s="44">
        <f t="shared" si="0"/>
        <v>1771.25</v>
      </c>
      <c r="F15" s="46">
        <v>1797.5</v>
      </c>
      <c r="G15" s="45">
        <v>1798</v>
      </c>
      <c r="H15" s="44">
        <f t="shared" si="1"/>
        <v>1797.75</v>
      </c>
      <c r="I15" s="46">
        <v>1935</v>
      </c>
      <c r="J15" s="45">
        <v>1940</v>
      </c>
      <c r="K15" s="44">
        <f t="shared" si="2"/>
        <v>1937.5</v>
      </c>
      <c r="L15" s="46">
        <v>2018</v>
      </c>
      <c r="M15" s="45">
        <v>2023</v>
      </c>
      <c r="N15" s="44">
        <f t="shared" si="3"/>
        <v>2020.5</v>
      </c>
      <c r="O15" s="46">
        <v>2105</v>
      </c>
      <c r="P15" s="45">
        <v>2110</v>
      </c>
      <c r="Q15" s="44">
        <f t="shared" si="4"/>
        <v>2107.5</v>
      </c>
      <c r="R15" s="52">
        <v>1771.5</v>
      </c>
      <c r="S15" s="51">
        <v>1.3085</v>
      </c>
      <c r="T15" s="51">
        <v>1.1099000000000001</v>
      </c>
      <c r="U15" s="50">
        <v>109.64</v>
      </c>
      <c r="V15" s="43">
        <v>1353.84</v>
      </c>
      <c r="W15" s="43">
        <v>1370.53</v>
      </c>
      <c r="X15" s="49">
        <f t="shared" si="5"/>
        <v>1596.0897378142174</v>
      </c>
      <c r="Y15" s="48">
        <v>1.3119000000000001</v>
      </c>
    </row>
    <row r="16" spans="1:25" x14ac:dyDescent="0.2">
      <c r="B16" s="47">
        <v>43843</v>
      </c>
      <c r="C16" s="46">
        <v>1766</v>
      </c>
      <c r="D16" s="45">
        <v>1766.5</v>
      </c>
      <c r="E16" s="44">
        <f t="shared" si="0"/>
        <v>1766.25</v>
      </c>
      <c r="F16" s="46">
        <v>1792</v>
      </c>
      <c r="G16" s="45">
        <v>1793</v>
      </c>
      <c r="H16" s="44">
        <f t="shared" si="1"/>
        <v>1792.5</v>
      </c>
      <c r="I16" s="46">
        <v>1928</v>
      </c>
      <c r="J16" s="45">
        <v>1933</v>
      </c>
      <c r="K16" s="44">
        <f t="shared" si="2"/>
        <v>1930.5</v>
      </c>
      <c r="L16" s="46">
        <v>2012</v>
      </c>
      <c r="M16" s="45">
        <v>2017</v>
      </c>
      <c r="N16" s="44">
        <f t="shared" si="3"/>
        <v>2014.5</v>
      </c>
      <c r="O16" s="46">
        <v>2098</v>
      </c>
      <c r="P16" s="45">
        <v>2103</v>
      </c>
      <c r="Q16" s="44">
        <f t="shared" si="4"/>
        <v>2100.5</v>
      </c>
      <c r="R16" s="52">
        <v>1766.5</v>
      </c>
      <c r="S16" s="51">
        <v>1.2976000000000001</v>
      </c>
      <c r="T16" s="51">
        <v>1.1125</v>
      </c>
      <c r="U16" s="50">
        <v>109.9</v>
      </c>
      <c r="V16" s="43">
        <v>1361.36</v>
      </c>
      <c r="W16" s="43">
        <v>1377.96</v>
      </c>
      <c r="X16" s="49">
        <f t="shared" si="5"/>
        <v>1587.8651685393259</v>
      </c>
      <c r="Y16" s="48">
        <v>1.3011999999999999</v>
      </c>
    </row>
    <row r="17" spans="2:25" x14ac:dyDescent="0.2">
      <c r="B17" s="47">
        <v>43844</v>
      </c>
      <c r="C17" s="46">
        <v>1767</v>
      </c>
      <c r="D17" s="45">
        <v>1767.5</v>
      </c>
      <c r="E17" s="44">
        <f t="shared" si="0"/>
        <v>1767.25</v>
      </c>
      <c r="F17" s="46">
        <v>1796</v>
      </c>
      <c r="G17" s="45">
        <v>1797</v>
      </c>
      <c r="H17" s="44">
        <f t="shared" si="1"/>
        <v>1796.5</v>
      </c>
      <c r="I17" s="46">
        <v>1933</v>
      </c>
      <c r="J17" s="45">
        <v>1938</v>
      </c>
      <c r="K17" s="44">
        <f t="shared" si="2"/>
        <v>1935.5</v>
      </c>
      <c r="L17" s="46">
        <v>2017</v>
      </c>
      <c r="M17" s="45">
        <v>2022</v>
      </c>
      <c r="N17" s="44">
        <f t="shared" si="3"/>
        <v>2019.5</v>
      </c>
      <c r="O17" s="46">
        <v>2103</v>
      </c>
      <c r="P17" s="45">
        <v>2108</v>
      </c>
      <c r="Q17" s="44">
        <f t="shared" si="4"/>
        <v>2105.5</v>
      </c>
      <c r="R17" s="52">
        <v>1767.5</v>
      </c>
      <c r="S17" s="51">
        <v>1.2975000000000001</v>
      </c>
      <c r="T17" s="51">
        <v>1.1120000000000001</v>
      </c>
      <c r="U17" s="50">
        <v>110.07</v>
      </c>
      <c r="V17" s="43">
        <v>1362.24</v>
      </c>
      <c r="W17" s="43">
        <v>1381.14</v>
      </c>
      <c r="X17" s="49">
        <f t="shared" si="5"/>
        <v>1589.4784172661869</v>
      </c>
      <c r="Y17" s="48">
        <v>1.3010999999999999</v>
      </c>
    </row>
    <row r="18" spans="2:25" x14ac:dyDescent="0.2">
      <c r="B18" s="47">
        <v>43845</v>
      </c>
      <c r="C18" s="46">
        <v>1778</v>
      </c>
      <c r="D18" s="45">
        <v>1778.5</v>
      </c>
      <c r="E18" s="44">
        <f t="shared" si="0"/>
        <v>1778.25</v>
      </c>
      <c r="F18" s="46">
        <v>1805</v>
      </c>
      <c r="G18" s="45">
        <v>1805.5</v>
      </c>
      <c r="H18" s="44">
        <f t="shared" si="1"/>
        <v>1805.25</v>
      </c>
      <c r="I18" s="46">
        <v>1940</v>
      </c>
      <c r="J18" s="45">
        <v>1945</v>
      </c>
      <c r="K18" s="44">
        <f t="shared" si="2"/>
        <v>1942.5</v>
      </c>
      <c r="L18" s="46">
        <v>2025</v>
      </c>
      <c r="M18" s="45">
        <v>2030</v>
      </c>
      <c r="N18" s="44">
        <f t="shared" si="3"/>
        <v>2027.5</v>
      </c>
      <c r="O18" s="46">
        <v>2110</v>
      </c>
      <c r="P18" s="45">
        <v>2115</v>
      </c>
      <c r="Q18" s="44">
        <f t="shared" si="4"/>
        <v>2112.5</v>
      </c>
      <c r="R18" s="52">
        <v>1778.5</v>
      </c>
      <c r="S18" s="51">
        <v>1.3007</v>
      </c>
      <c r="T18" s="51">
        <v>1.1141000000000001</v>
      </c>
      <c r="U18" s="50">
        <v>109.87</v>
      </c>
      <c r="V18" s="43">
        <v>1367.34</v>
      </c>
      <c r="W18" s="43">
        <v>1384.16</v>
      </c>
      <c r="X18" s="49">
        <f t="shared" si="5"/>
        <v>1596.3558028902253</v>
      </c>
      <c r="Y18" s="48">
        <v>1.3044</v>
      </c>
    </row>
    <row r="19" spans="2:25" x14ac:dyDescent="0.2">
      <c r="B19" s="47">
        <v>43846</v>
      </c>
      <c r="C19" s="46">
        <v>1793.5</v>
      </c>
      <c r="D19" s="45">
        <v>1794</v>
      </c>
      <c r="E19" s="44">
        <f t="shared" si="0"/>
        <v>1793.75</v>
      </c>
      <c r="F19" s="46">
        <v>1813</v>
      </c>
      <c r="G19" s="45">
        <v>1814</v>
      </c>
      <c r="H19" s="44">
        <f t="shared" si="1"/>
        <v>1813.5</v>
      </c>
      <c r="I19" s="46">
        <v>1948</v>
      </c>
      <c r="J19" s="45">
        <v>1953</v>
      </c>
      <c r="K19" s="44">
        <f t="shared" si="2"/>
        <v>1950.5</v>
      </c>
      <c r="L19" s="46">
        <v>2032</v>
      </c>
      <c r="M19" s="45">
        <v>2037</v>
      </c>
      <c r="N19" s="44">
        <f t="shared" si="3"/>
        <v>2034.5</v>
      </c>
      <c r="O19" s="46">
        <v>2118</v>
      </c>
      <c r="P19" s="45">
        <v>2123</v>
      </c>
      <c r="Q19" s="44">
        <f t="shared" si="4"/>
        <v>2120.5</v>
      </c>
      <c r="R19" s="52">
        <v>1794</v>
      </c>
      <c r="S19" s="51">
        <v>1.3066</v>
      </c>
      <c r="T19" s="51">
        <v>1.1165</v>
      </c>
      <c r="U19" s="50">
        <v>109.98</v>
      </c>
      <c r="V19" s="43">
        <v>1373.03</v>
      </c>
      <c r="W19" s="43">
        <v>1384.42</v>
      </c>
      <c r="X19" s="49">
        <f t="shared" si="5"/>
        <v>1606.8069861173308</v>
      </c>
      <c r="Y19" s="48">
        <v>1.3103</v>
      </c>
    </row>
    <row r="20" spans="2:25" x14ac:dyDescent="0.2">
      <c r="B20" s="47">
        <v>43847</v>
      </c>
      <c r="C20" s="46">
        <v>1795.5</v>
      </c>
      <c r="D20" s="45">
        <v>1796</v>
      </c>
      <c r="E20" s="44">
        <f t="shared" si="0"/>
        <v>1795.75</v>
      </c>
      <c r="F20" s="46">
        <v>1807.5</v>
      </c>
      <c r="G20" s="45">
        <v>1808</v>
      </c>
      <c r="H20" s="44">
        <f t="shared" si="1"/>
        <v>1807.75</v>
      </c>
      <c r="I20" s="46">
        <v>1937</v>
      </c>
      <c r="J20" s="45">
        <v>1942</v>
      </c>
      <c r="K20" s="44">
        <f t="shared" si="2"/>
        <v>1939.5</v>
      </c>
      <c r="L20" s="46">
        <v>2018</v>
      </c>
      <c r="M20" s="45">
        <v>2023</v>
      </c>
      <c r="N20" s="44">
        <f t="shared" si="3"/>
        <v>2020.5</v>
      </c>
      <c r="O20" s="46">
        <v>2105</v>
      </c>
      <c r="P20" s="45">
        <v>2110</v>
      </c>
      <c r="Q20" s="44">
        <f t="shared" si="4"/>
        <v>2107.5</v>
      </c>
      <c r="R20" s="52">
        <v>1796</v>
      </c>
      <c r="S20" s="51">
        <v>1.3051999999999999</v>
      </c>
      <c r="T20" s="51">
        <v>1.111</v>
      </c>
      <c r="U20" s="50">
        <v>110.11</v>
      </c>
      <c r="V20" s="43">
        <v>1376.03</v>
      </c>
      <c r="W20" s="43">
        <v>1381.31</v>
      </c>
      <c r="X20" s="49">
        <f t="shared" si="5"/>
        <v>1616.5616561656166</v>
      </c>
      <c r="Y20" s="48">
        <v>1.3089</v>
      </c>
    </row>
    <row r="21" spans="2:25" x14ac:dyDescent="0.2">
      <c r="B21" s="47">
        <v>43850</v>
      </c>
      <c r="C21" s="46">
        <v>1806</v>
      </c>
      <c r="D21" s="45">
        <v>1807</v>
      </c>
      <c r="E21" s="44">
        <f t="shared" si="0"/>
        <v>1806.5</v>
      </c>
      <c r="F21" s="46">
        <v>1813</v>
      </c>
      <c r="G21" s="45">
        <v>1814</v>
      </c>
      <c r="H21" s="44">
        <f t="shared" si="1"/>
        <v>1813.5</v>
      </c>
      <c r="I21" s="46">
        <v>1940</v>
      </c>
      <c r="J21" s="45">
        <v>1945</v>
      </c>
      <c r="K21" s="44">
        <f t="shared" si="2"/>
        <v>1942.5</v>
      </c>
      <c r="L21" s="46">
        <v>2022</v>
      </c>
      <c r="M21" s="45">
        <v>2027</v>
      </c>
      <c r="N21" s="44">
        <f t="shared" si="3"/>
        <v>2024.5</v>
      </c>
      <c r="O21" s="46">
        <v>2108</v>
      </c>
      <c r="P21" s="45">
        <v>2113</v>
      </c>
      <c r="Q21" s="44">
        <f t="shared" si="4"/>
        <v>2110.5</v>
      </c>
      <c r="R21" s="52">
        <v>1807</v>
      </c>
      <c r="S21" s="51">
        <v>1.2990999999999999</v>
      </c>
      <c r="T21" s="51">
        <v>1.1084000000000001</v>
      </c>
      <c r="U21" s="50">
        <v>110.19</v>
      </c>
      <c r="V21" s="43">
        <v>1390.96</v>
      </c>
      <c r="W21" s="43">
        <v>1396.35</v>
      </c>
      <c r="X21" s="49">
        <f t="shared" si="5"/>
        <v>1630.2778780223746</v>
      </c>
      <c r="Y21" s="48">
        <v>1.2990999999999999</v>
      </c>
    </row>
    <row r="22" spans="2:25" x14ac:dyDescent="0.2">
      <c r="B22" s="47">
        <v>43851</v>
      </c>
      <c r="C22" s="46">
        <v>1810</v>
      </c>
      <c r="D22" s="45">
        <v>1810.5</v>
      </c>
      <c r="E22" s="44">
        <f t="shared" si="0"/>
        <v>1810.25</v>
      </c>
      <c r="F22" s="46">
        <v>1817.5</v>
      </c>
      <c r="G22" s="45">
        <v>1818</v>
      </c>
      <c r="H22" s="44">
        <f t="shared" si="1"/>
        <v>1817.75</v>
      </c>
      <c r="I22" s="46">
        <v>1942</v>
      </c>
      <c r="J22" s="45">
        <v>1947</v>
      </c>
      <c r="K22" s="44">
        <f t="shared" si="2"/>
        <v>1944.5</v>
      </c>
      <c r="L22" s="46">
        <v>2023</v>
      </c>
      <c r="M22" s="45">
        <v>2028</v>
      </c>
      <c r="N22" s="44">
        <f t="shared" si="3"/>
        <v>2025.5</v>
      </c>
      <c r="O22" s="46">
        <v>2108</v>
      </c>
      <c r="P22" s="45">
        <v>2113</v>
      </c>
      <c r="Q22" s="44">
        <f t="shared" si="4"/>
        <v>2110.5</v>
      </c>
      <c r="R22" s="52">
        <v>1810.5</v>
      </c>
      <c r="S22" s="51">
        <v>1.3048999999999999</v>
      </c>
      <c r="T22" s="51">
        <v>1.1109</v>
      </c>
      <c r="U22" s="50">
        <v>110.05</v>
      </c>
      <c r="V22" s="43">
        <v>1387.46</v>
      </c>
      <c r="W22" s="43">
        <v>1389.27</v>
      </c>
      <c r="X22" s="49">
        <f t="shared" si="5"/>
        <v>1629.7596543343236</v>
      </c>
      <c r="Y22" s="48">
        <v>1.3086</v>
      </c>
    </row>
    <row r="23" spans="2:25" x14ac:dyDescent="0.2">
      <c r="B23" s="47">
        <v>43852</v>
      </c>
      <c r="C23" s="46">
        <v>1807</v>
      </c>
      <c r="D23" s="45">
        <v>1807.5</v>
      </c>
      <c r="E23" s="44">
        <f t="shared" si="0"/>
        <v>1807.25</v>
      </c>
      <c r="F23" s="46">
        <v>1817</v>
      </c>
      <c r="G23" s="45">
        <v>1819</v>
      </c>
      <c r="H23" s="44">
        <f t="shared" si="1"/>
        <v>1818</v>
      </c>
      <c r="I23" s="46">
        <v>1945</v>
      </c>
      <c r="J23" s="45">
        <v>1950</v>
      </c>
      <c r="K23" s="44">
        <f t="shared" si="2"/>
        <v>1947.5</v>
      </c>
      <c r="L23" s="46">
        <v>2027</v>
      </c>
      <c r="M23" s="45">
        <v>2032</v>
      </c>
      <c r="N23" s="44">
        <f t="shared" si="3"/>
        <v>2029.5</v>
      </c>
      <c r="O23" s="46">
        <v>2110</v>
      </c>
      <c r="P23" s="45">
        <v>2115</v>
      </c>
      <c r="Q23" s="44">
        <f t="shared" si="4"/>
        <v>2112.5</v>
      </c>
      <c r="R23" s="52">
        <v>1807.5</v>
      </c>
      <c r="S23" s="51">
        <v>1.3121</v>
      </c>
      <c r="T23" s="51">
        <v>1.1083000000000001</v>
      </c>
      <c r="U23" s="50">
        <v>109.98</v>
      </c>
      <c r="V23" s="43">
        <v>1377.56</v>
      </c>
      <c r="W23" s="43">
        <v>1382.43</v>
      </c>
      <c r="X23" s="49">
        <f t="shared" si="5"/>
        <v>1630.8761165749345</v>
      </c>
      <c r="Y23" s="48">
        <v>1.3158000000000001</v>
      </c>
    </row>
    <row r="24" spans="2:25" x14ac:dyDescent="0.2">
      <c r="B24" s="47">
        <v>43853</v>
      </c>
      <c r="C24" s="46">
        <v>1781</v>
      </c>
      <c r="D24" s="45">
        <v>1781.5</v>
      </c>
      <c r="E24" s="44">
        <f t="shared" si="0"/>
        <v>1781.25</v>
      </c>
      <c r="F24" s="46">
        <v>1793</v>
      </c>
      <c r="G24" s="45">
        <v>1794</v>
      </c>
      <c r="H24" s="44">
        <f t="shared" si="1"/>
        <v>1793.5</v>
      </c>
      <c r="I24" s="46">
        <v>1923</v>
      </c>
      <c r="J24" s="45">
        <v>1928</v>
      </c>
      <c r="K24" s="44">
        <f t="shared" si="2"/>
        <v>1925.5</v>
      </c>
      <c r="L24" s="46">
        <v>2005</v>
      </c>
      <c r="M24" s="45">
        <v>2010</v>
      </c>
      <c r="N24" s="44">
        <f t="shared" si="3"/>
        <v>2007.5</v>
      </c>
      <c r="O24" s="46">
        <v>2088</v>
      </c>
      <c r="P24" s="45">
        <v>2093</v>
      </c>
      <c r="Q24" s="44">
        <f t="shared" si="4"/>
        <v>2090.5</v>
      </c>
      <c r="R24" s="52">
        <v>1781.5</v>
      </c>
      <c r="S24" s="51">
        <v>1.3124</v>
      </c>
      <c r="T24" s="51">
        <v>1.1085</v>
      </c>
      <c r="U24" s="50">
        <v>109.6</v>
      </c>
      <c r="V24" s="43">
        <v>1357.44</v>
      </c>
      <c r="W24" s="43">
        <v>1363.12</v>
      </c>
      <c r="X24" s="49">
        <f t="shared" si="5"/>
        <v>1607.126747857465</v>
      </c>
      <c r="Y24" s="48">
        <v>1.3161</v>
      </c>
    </row>
    <row r="25" spans="2:25" x14ac:dyDescent="0.2">
      <c r="B25" s="47">
        <v>43854</v>
      </c>
      <c r="C25" s="46">
        <v>1775</v>
      </c>
      <c r="D25" s="45">
        <v>1775.5</v>
      </c>
      <c r="E25" s="44">
        <f t="shared" si="0"/>
        <v>1775.25</v>
      </c>
      <c r="F25" s="46">
        <v>1785</v>
      </c>
      <c r="G25" s="45">
        <v>1786</v>
      </c>
      <c r="H25" s="44">
        <f t="shared" si="1"/>
        <v>1785.5</v>
      </c>
      <c r="I25" s="46">
        <v>1915</v>
      </c>
      <c r="J25" s="45">
        <v>1920</v>
      </c>
      <c r="K25" s="44">
        <f t="shared" si="2"/>
        <v>1917.5</v>
      </c>
      <c r="L25" s="46">
        <v>1995</v>
      </c>
      <c r="M25" s="45">
        <v>2000</v>
      </c>
      <c r="N25" s="44">
        <f t="shared" si="3"/>
        <v>1997.5</v>
      </c>
      <c r="O25" s="46">
        <v>2080</v>
      </c>
      <c r="P25" s="45">
        <v>2085</v>
      </c>
      <c r="Q25" s="44">
        <f t="shared" si="4"/>
        <v>2082.5</v>
      </c>
      <c r="R25" s="52">
        <v>1775.5</v>
      </c>
      <c r="S25" s="51">
        <v>1.3083</v>
      </c>
      <c r="T25" s="51">
        <v>1.1028</v>
      </c>
      <c r="U25" s="50">
        <v>109.62</v>
      </c>
      <c r="V25" s="43">
        <v>1357.1</v>
      </c>
      <c r="W25" s="43">
        <v>1361.28</v>
      </c>
      <c r="X25" s="49">
        <f t="shared" si="5"/>
        <v>1609.9927457381211</v>
      </c>
      <c r="Y25" s="48">
        <v>1.3120000000000001</v>
      </c>
    </row>
    <row r="26" spans="2:25" x14ac:dyDescent="0.2">
      <c r="B26" s="47">
        <v>43857</v>
      </c>
      <c r="C26" s="46">
        <v>1755</v>
      </c>
      <c r="D26" s="45">
        <v>1755.5</v>
      </c>
      <c r="E26" s="44">
        <f t="shared" si="0"/>
        <v>1755.25</v>
      </c>
      <c r="F26" s="46">
        <v>1764</v>
      </c>
      <c r="G26" s="45">
        <v>1765</v>
      </c>
      <c r="H26" s="44">
        <f t="shared" si="1"/>
        <v>1764.5</v>
      </c>
      <c r="I26" s="46">
        <v>1895</v>
      </c>
      <c r="J26" s="45">
        <v>1900</v>
      </c>
      <c r="K26" s="44">
        <f t="shared" si="2"/>
        <v>1897.5</v>
      </c>
      <c r="L26" s="46">
        <v>1975</v>
      </c>
      <c r="M26" s="45">
        <v>1980</v>
      </c>
      <c r="N26" s="44">
        <f t="shared" si="3"/>
        <v>1977.5</v>
      </c>
      <c r="O26" s="46">
        <v>2060</v>
      </c>
      <c r="P26" s="45">
        <v>2065</v>
      </c>
      <c r="Q26" s="44">
        <f t="shared" si="4"/>
        <v>2062.5</v>
      </c>
      <c r="R26" s="52">
        <v>1755.5</v>
      </c>
      <c r="S26" s="51">
        <v>1.3068</v>
      </c>
      <c r="T26" s="51">
        <v>1.1023000000000001</v>
      </c>
      <c r="U26" s="50">
        <v>108.96</v>
      </c>
      <c r="V26" s="43">
        <v>1343.36</v>
      </c>
      <c r="W26" s="43">
        <v>1346.81</v>
      </c>
      <c r="X26" s="49">
        <f t="shared" si="5"/>
        <v>1592.5791526807584</v>
      </c>
      <c r="Y26" s="48">
        <v>1.3105</v>
      </c>
    </row>
    <row r="27" spans="2:25" x14ac:dyDescent="0.2">
      <c r="B27" s="47">
        <v>43858</v>
      </c>
      <c r="C27" s="46">
        <v>1744</v>
      </c>
      <c r="D27" s="45">
        <v>1744.5</v>
      </c>
      <c r="E27" s="44">
        <f t="shared" si="0"/>
        <v>1744.25</v>
      </c>
      <c r="F27" s="46">
        <v>1759</v>
      </c>
      <c r="G27" s="45">
        <v>1759.5</v>
      </c>
      <c r="H27" s="44">
        <f t="shared" si="1"/>
        <v>1759.25</v>
      </c>
      <c r="I27" s="46">
        <v>1893</v>
      </c>
      <c r="J27" s="45">
        <v>1898</v>
      </c>
      <c r="K27" s="44">
        <f t="shared" si="2"/>
        <v>1895.5</v>
      </c>
      <c r="L27" s="46">
        <v>1973</v>
      </c>
      <c r="M27" s="45">
        <v>1978</v>
      </c>
      <c r="N27" s="44">
        <f t="shared" si="3"/>
        <v>1975.5</v>
      </c>
      <c r="O27" s="46">
        <v>2058</v>
      </c>
      <c r="P27" s="45">
        <v>2063</v>
      </c>
      <c r="Q27" s="44">
        <f t="shared" si="4"/>
        <v>2060.5</v>
      </c>
      <c r="R27" s="52">
        <v>1744.5</v>
      </c>
      <c r="S27" s="51">
        <v>1.3011999999999999</v>
      </c>
      <c r="T27" s="51">
        <v>1.1007</v>
      </c>
      <c r="U27" s="50">
        <v>109.06</v>
      </c>
      <c r="V27" s="43">
        <v>1340.69</v>
      </c>
      <c r="W27" s="43">
        <v>1348.38</v>
      </c>
      <c r="X27" s="49">
        <f t="shared" si="5"/>
        <v>1584.9005178522757</v>
      </c>
      <c r="Y27" s="48">
        <v>1.3048999999999999</v>
      </c>
    </row>
    <row r="28" spans="2:25" x14ac:dyDescent="0.2">
      <c r="B28" s="47">
        <v>43859</v>
      </c>
      <c r="C28" s="46">
        <v>1732</v>
      </c>
      <c r="D28" s="45">
        <v>1732.5</v>
      </c>
      <c r="E28" s="44">
        <f t="shared" si="0"/>
        <v>1732.25</v>
      </c>
      <c r="F28" s="46">
        <v>1747.5</v>
      </c>
      <c r="G28" s="45">
        <v>1748</v>
      </c>
      <c r="H28" s="44">
        <f t="shared" si="1"/>
        <v>1747.75</v>
      </c>
      <c r="I28" s="46">
        <v>1883</v>
      </c>
      <c r="J28" s="45">
        <v>1888</v>
      </c>
      <c r="K28" s="44">
        <f t="shared" si="2"/>
        <v>1885.5</v>
      </c>
      <c r="L28" s="46">
        <v>1968</v>
      </c>
      <c r="M28" s="45">
        <v>1973</v>
      </c>
      <c r="N28" s="44">
        <f t="shared" si="3"/>
        <v>1970.5</v>
      </c>
      <c r="O28" s="46">
        <v>2052</v>
      </c>
      <c r="P28" s="45">
        <v>2057</v>
      </c>
      <c r="Q28" s="44">
        <f t="shared" si="4"/>
        <v>2054.5</v>
      </c>
      <c r="R28" s="52">
        <v>1732.5</v>
      </c>
      <c r="S28" s="51">
        <v>1.3008999999999999</v>
      </c>
      <c r="T28" s="51">
        <v>1.0998000000000001</v>
      </c>
      <c r="U28" s="50">
        <v>109.12</v>
      </c>
      <c r="V28" s="43">
        <v>1331.77</v>
      </c>
      <c r="W28" s="43">
        <v>1339.98</v>
      </c>
      <c r="X28" s="49">
        <f t="shared" si="5"/>
        <v>1575.2864157119475</v>
      </c>
      <c r="Y28" s="48">
        <v>1.3045</v>
      </c>
    </row>
    <row r="29" spans="2:25" x14ac:dyDescent="0.2">
      <c r="B29" s="47">
        <v>43860</v>
      </c>
      <c r="C29" s="46">
        <v>1722</v>
      </c>
      <c r="D29" s="45">
        <v>1722.5</v>
      </c>
      <c r="E29" s="44">
        <f t="shared" si="0"/>
        <v>1722.25</v>
      </c>
      <c r="F29" s="46">
        <v>1735</v>
      </c>
      <c r="G29" s="45">
        <v>1736</v>
      </c>
      <c r="H29" s="44">
        <f t="shared" si="1"/>
        <v>1735.5</v>
      </c>
      <c r="I29" s="46">
        <v>1868</v>
      </c>
      <c r="J29" s="45">
        <v>1873</v>
      </c>
      <c r="K29" s="44">
        <f t="shared" si="2"/>
        <v>1870.5</v>
      </c>
      <c r="L29" s="46">
        <v>1953</v>
      </c>
      <c r="M29" s="45">
        <v>1958</v>
      </c>
      <c r="N29" s="44">
        <f t="shared" si="3"/>
        <v>1955.5</v>
      </c>
      <c r="O29" s="46">
        <v>2037</v>
      </c>
      <c r="P29" s="45">
        <v>2042</v>
      </c>
      <c r="Q29" s="44">
        <f t="shared" si="4"/>
        <v>2039.5</v>
      </c>
      <c r="R29" s="52">
        <v>1722.5</v>
      </c>
      <c r="S29" s="51">
        <v>1.3089</v>
      </c>
      <c r="T29" s="51">
        <v>1.1024</v>
      </c>
      <c r="U29" s="50">
        <v>108.78</v>
      </c>
      <c r="V29" s="43">
        <v>1315.99</v>
      </c>
      <c r="W29" s="43">
        <v>1323.07</v>
      </c>
      <c r="X29" s="49">
        <f t="shared" si="5"/>
        <v>1562.5</v>
      </c>
      <c r="Y29" s="48">
        <v>1.3121</v>
      </c>
    </row>
    <row r="30" spans="2:25" x14ac:dyDescent="0.2">
      <c r="B30" s="47">
        <v>43861</v>
      </c>
      <c r="C30" s="46">
        <v>1709</v>
      </c>
      <c r="D30" s="45">
        <v>1709.5</v>
      </c>
      <c r="E30" s="44">
        <f t="shared" si="0"/>
        <v>1709.25</v>
      </c>
      <c r="F30" s="46">
        <v>1724</v>
      </c>
      <c r="G30" s="45">
        <v>1724.5</v>
      </c>
      <c r="H30" s="44">
        <f t="shared" si="1"/>
        <v>1724.25</v>
      </c>
      <c r="I30" s="46">
        <v>1855</v>
      </c>
      <c r="J30" s="45">
        <v>1860</v>
      </c>
      <c r="K30" s="44">
        <f t="shared" si="2"/>
        <v>1857.5</v>
      </c>
      <c r="L30" s="46">
        <v>1938</v>
      </c>
      <c r="M30" s="45">
        <v>1943</v>
      </c>
      <c r="N30" s="44">
        <f t="shared" si="3"/>
        <v>1940.5</v>
      </c>
      <c r="O30" s="46">
        <v>2020</v>
      </c>
      <c r="P30" s="45">
        <v>2025</v>
      </c>
      <c r="Q30" s="44">
        <f t="shared" si="4"/>
        <v>2022.5</v>
      </c>
      <c r="R30" s="52">
        <v>1709.5</v>
      </c>
      <c r="S30" s="51">
        <v>1.3123</v>
      </c>
      <c r="T30" s="51">
        <v>1.1048</v>
      </c>
      <c r="U30" s="50">
        <v>108.97</v>
      </c>
      <c r="V30" s="43">
        <v>1302.67</v>
      </c>
      <c r="W30" s="43">
        <v>1310.91</v>
      </c>
      <c r="X30" s="49">
        <f t="shared" si="5"/>
        <v>1547.3388848660391</v>
      </c>
      <c r="Y30" s="48">
        <v>1.3154999999999999</v>
      </c>
    </row>
    <row r="31" spans="2:25" s="10" customFormat="1" x14ac:dyDescent="0.2">
      <c r="B31" s="42" t="s">
        <v>11</v>
      </c>
      <c r="C31" s="41">
        <f>ROUND(AVERAGE(C9:C30),2)</f>
        <v>1771.14</v>
      </c>
      <c r="D31" s="40">
        <f>ROUND(AVERAGE(D9:D30),2)</f>
        <v>1771.73</v>
      </c>
      <c r="E31" s="39">
        <f>ROUND(AVERAGE(C31:D31),2)</f>
        <v>1771.44</v>
      </c>
      <c r="F31" s="41">
        <f>ROUND(AVERAGE(F9:F30),2)</f>
        <v>1791.41</v>
      </c>
      <c r="G31" s="40">
        <f>ROUND(AVERAGE(G9:G30),2)</f>
        <v>1792.32</v>
      </c>
      <c r="H31" s="39">
        <f>ROUND(AVERAGE(F31:G31),2)</f>
        <v>1791.87</v>
      </c>
      <c r="I31" s="41">
        <f>ROUND(AVERAGE(I9:I30),2)</f>
        <v>1924.09</v>
      </c>
      <c r="J31" s="40">
        <f>ROUND(AVERAGE(J9:J30),2)</f>
        <v>1929.09</v>
      </c>
      <c r="K31" s="39">
        <f>ROUND(AVERAGE(I31:J31),2)</f>
        <v>1926.59</v>
      </c>
      <c r="L31" s="41">
        <f>ROUND(AVERAGE(L9:L30),2)</f>
        <v>2007.55</v>
      </c>
      <c r="M31" s="40">
        <f>ROUND(AVERAGE(M9:M30),2)</f>
        <v>2012.55</v>
      </c>
      <c r="N31" s="39">
        <f>ROUND(AVERAGE(L31:M31),2)</f>
        <v>2010.05</v>
      </c>
      <c r="O31" s="41">
        <f>ROUND(AVERAGE(O9:O30),2)</f>
        <v>2092.8200000000002</v>
      </c>
      <c r="P31" s="40">
        <f>ROUND(AVERAGE(P9:P30),2)</f>
        <v>2097.8200000000002</v>
      </c>
      <c r="Q31" s="39">
        <f>ROUND(AVERAGE(O31:P31),2)</f>
        <v>2095.3200000000002</v>
      </c>
      <c r="R31" s="38">
        <f>ROUND(AVERAGE(R9:R30),2)</f>
        <v>1771.73</v>
      </c>
      <c r="S31" s="37">
        <f>ROUND(AVERAGE(S9:S30),4)</f>
        <v>1.3068</v>
      </c>
      <c r="T31" s="36">
        <f>ROUND(AVERAGE(T9:T30),4)</f>
        <v>1.1099000000000001</v>
      </c>
      <c r="U31" s="175">
        <f>ROUND(AVERAGE(U9:U30),2)</f>
        <v>109.34</v>
      </c>
      <c r="V31" s="35">
        <f>AVERAGE(V9:V30)</f>
        <v>1355.7740909090908</v>
      </c>
      <c r="W31" s="35">
        <f>AVERAGE(W9:W30)</f>
        <v>1368.171818181818</v>
      </c>
      <c r="X31" s="35">
        <f>AVERAGE(X9:X30)</f>
        <v>1596.2236530512937</v>
      </c>
      <c r="Y31" s="34">
        <f>AVERAGE(Y9:Y30)</f>
        <v>1.310031818181818</v>
      </c>
    </row>
    <row r="32" spans="2:25" s="5" customFormat="1" x14ac:dyDescent="0.2">
      <c r="B32" s="33" t="s">
        <v>12</v>
      </c>
      <c r="C32" s="32">
        <f t="shared" ref="C32:Y32" si="6">MAX(C9:C30)</f>
        <v>1810</v>
      </c>
      <c r="D32" s="31">
        <f t="shared" si="6"/>
        <v>1810.5</v>
      </c>
      <c r="E32" s="30">
        <f t="shared" si="6"/>
        <v>1810.25</v>
      </c>
      <c r="F32" s="32">
        <f t="shared" si="6"/>
        <v>1826</v>
      </c>
      <c r="G32" s="31">
        <f t="shared" si="6"/>
        <v>1826.5</v>
      </c>
      <c r="H32" s="30">
        <f t="shared" si="6"/>
        <v>1826.25</v>
      </c>
      <c r="I32" s="32">
        <f t="shared" si="6"/>
        <v>1960</v>
      </c>
      <c r="J32" s="31">
        <f t="shared" si="6"/>
        <v>1965</v>
      </c>
      <c r="K32" s="30">
        <f t="shared" si="6"/>
        <v>1962.5</v>
      </c>
      <c r="L32" s="32">
        <f t="shared" si="6"/>
        <v>2045</v>
      </c>
      <c r="M32" s="31">
        <f t="shared" si="6"/>
        <v>2050</v>
      </c>
      <c r="N32" s="30">
        <f t="shared" si="6"/>
        <v>2047.5</v>
      </c>
      <c r="O32" s="32">
        <f t="shared" si="6"/>
        <v>2130</v>
      </c>
      <c r="P32" s="31">
        <f t="shared" si="6"/>
        <v>2135</v>
      </c>
      <c r="Q32" s="30">
        <f t="shared" si="6"/>
        <v>2132.5</v>
      </c>
      <c r="R32" s="29">
        <f t="shared" si="6"/>
        <v>1810.5</v>
      </c>
      <c r="S32" s="28">
        <f t="shared" si="6"/>
        <v>1.3197000000000001</v>
      </c>
      <c r="T32" s="27">
        <f t="shared" si="6"/>
        <v>1.1198999999999999</v>
      </c>
      <c r="U32" s="26">
        <f t="shared" si="6"/>
        <v>110.19</v>
      </c>
      <c r="V32" s="25">
        <f t="shared" si="6"/>
        <v>1390.96</v>
      </c>
      <c r="W32" s="25">
        <f t="shared" si="6"/>
        <v>1396.35</v>
      </c>
      <c r="X32" s="25">
        <f t="shared" si="6"/>
        <v>1630.8761165749345</v>
      </c>
      <c r="Y32" s="24">
        <f t="shared" si="6"/>
        <v>1.323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1709</v>
      </c>
      <c r="D33" s="21">
        <f t="shared" si="7"/>
        <v>1709.5</v>
      </c>
      <c r="E33" s="20">
        <f t="shared" si="7"/>
        <v>1709.25</v>
      </c>
      <c r="F33" s="22">
        <f t="shared" si="7"/>
        <v>1724</v>
      </c>
      <c r="G33" s="21">
        <f t="shared" si="7"/>
        <v>1724.5</v>
      </c>
      <c r="H33" s="20">
        <f t="shared" si="7"/>
        <v>1724.25</v>
      </c>
      <c r="I33" s="22">
        <f t="shared" si="7"/>
        <v>1855</v>
      </c>
      <c r="J33" s="21">
        <f t="shared" si="7"/>
        <v>1860</v>
      </c>
      <c r="K33" s="20">
        <f t="shared" si="7"/>
        <v>1857.5</v>
      </c>
      <c r="L33" s="22">
        <f t="shared" si="7"/>
        <v>1938</v>
      </c>
      <c r="M33" s="21">
        <f t="shared" si="7"/>
        <v>1943</v>
      </c>
      <c r="N33" s="20">
        <f t="shared" si="7"/>
        <v>1940.5</v>
      </c>
      <c r="O33" s="22">
        <f t="shared" si="7"/>
        <v>2020</v>
      </c>
      <c r="P33" s="21">
        <f t="shared" si="7"/>
        <v>2025</v>
      </c>
      <c r="Q33" s="20">
        <f t="shared" si="7"/>
        <v>2022.5</v>
      </c>
      <c r="R33" s="19">
        <f t="shared" si="7"/>
        <v>1709.5</v>
      </c>
      <c r="S33" s="18">
        <f t="shared" si="7"/>
        <v>1.2975000000000001</v>
      </c>
      <c r="T33" s="17">
        <f t="shared" si="7"/>
        <v>1.0998000000000001</v>
      </c>
      <c r="U33" s="16">
        <f t="shared" si="7"/>
        <v>108.07</v>
      </c>
      <c r="V33" s="15">
        <f t="shared" si="7"/>
        <v>1302.67</v>
      </c>
      <c r="W33" s="15">
        <f t="shared" si="7"/>
        <v>1310.91</v>
      </c>
      <c r="X33" s="15">
        <f t="shared" si="7"/>
        <v>1547.3388848660391</v>
      </c>
      <c r="Y33" s="14">
        <f t="shared" si="7"/>
        <v>1.2990999999999999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43832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43832</v>
      </c>
      <c r="C9" s="46">
        <v>2297</v>
      </c>
      <c r="D9" s="45">
        <v>2299</v>
      </c>
      <c r="E9" s="44">
        <f t="shared" ref="E9:E30" si="0">AVERAGE(C9:D9)</f>
        <v>2298</v>
      </c>
      <c r="F9" s="46">
        <v>2290</v>
      </c>
      <c r="G9" s="45">
        <v>2290.5</v>
      </c>
      <c r="H9" s="44">
        <f t="shared" ref="H9:H30" si="1">AVERAGE(F9:G9)</f>
        <v>2290.25</v>
      </c>
      <c r="I9" s="46">
        <v>2255</v>
      </c>
      <c r="J9" s="45">
        <v>2260</v>
      </c>
      <c r="K9" s="44">
        <f t="shared" ref="K9:K30" si="2">AVERAGE(I9:J9)</f>
        <v>2257.5</v>
      </c>
      <c r="L9" s="46">
        <v>2255</v>
      </c>
      <c r="M9" s="45">
        <v>2260</v>
      </c>
      <c r="N9" s="44">
        <f t="shared" ref="N9:N30" si="3">AVERAGE(L9:M9)</f>
        <v>2257.5</v>
      </c>
      <c r="O9" s="46">
        <v>2255</v>
      </c>
      <c r="P9" s="45">
        <v>2260</v>
      </c>
      <c r="Q9" s="44">
        <f t="shared" ref="Q9:Q30" si="4">AVERAGE(O9:P9)</f>
        <v>2257.5</v>
      </c>
      <c r="R9" s="52">
        <v>2299</v>
      </c>
      <c r="S9" s="51">
        <v>1.3197000000000001</v>
      </c>
      <c r="T9" s="53">
        <v>1.1193</v>
      </c>
      <c r="U9" s="50">
        <v>108.79</v>
      </c>
      <c r="V9" s="43">
        <v>1742.06</v>
      </c>
      <c r="W9" s="43">
        <v>1731.29</v>
      </c>
      <c r="X9" s="49">
        <f t="shared" ref="X9:X30" si="5">R9/T9</f>
        <v>2053.9622978647371</v>
      </c>
      <c r="Y9" s="48">
        <v>1.323</v>
      </c>
    </row>
    <row r="10" spans="1:25" x14ac:dyDescent="0.2">
      <c r="B10" s="47">
        <v>43833</v>
      </c>
      <c r="C10" s="46">
        <v>2282</v>
      </c>
      <c r="D10" s="45">
        <v>2284</v>
      </c>
      <c r="E10" s="44">
        <f t="shared" si="0"/>
        <v>2283</v>
      </c>
      <c r="F10" s="46">
        <v>2269</v>
      </c>
      <c r="G10" s="45">
        <v>2271</v>
      </c>
      <c r="H10" s="44">
        <f t="shared" si="1"/>
        <v>2270</v>
      </c>
      <c r="I10" s="46">
        <v>2235</v>
      </c>
      <c r="J10" s="45">
        <v>2240</v>
      </c>
      <c r="K10" s="44">
        <f t="shared" si="2"/>
        <v>2237.5</v>
      </c>
      <c r="L10" s="46">
        <v>2235</v>
      </c>
      <c r="M10" s="45">
        <v>2240</v>
      </c>
      <c r="N10" s="44">
        <f t="shared" si="3"/>
        <v>2237.5</v>
      </c>
      <c r="O10" s="46">
        <v>2235</v>
      </c>
      <c r="P10" s="45">
        <v>2240</v>
      </c>
      <c r="Q10" s="44">
        <f t="shared" si="4"/>
        <v>2237.5</v>
      </c>
      <c r="R10" s="52">
        <v>2284</v>
      </c>
      <c r="S10" s="51">
        <v>1.3081</v>
      </c>
      <c r="T10" s="51">
        <v>1.1138999999999999</v>
      </c>
      <c r="U10" s="50">
        <v>108.07</v>
      </c>
      <c r="V10" s="43">
        <v>1746.04</v>
      </c>
      <c r="W10" s="43">
        <v>1731.74</v>
      </c>
      <c r="X10" s="49">
        <f t="shared" si="5"/>
        <v>2050.4533620612265</v>
      </c>
      <c r="Y10" s="48">
        <v>1.3113999999999999</v>
      </c>
    </row>
    <row r="11" spans="1:25" x14ac:dyDescent="0.2">
      <c r="B11" s="47">
        <v>43836</v>
      </c>
      <c r="C11" s="46">
        <v>2333</v>
      </c>
      <c r="D11" s="45">
        <v>2335</v>
      </c>
      <c r="E11" s="44">
        <f t="shared" si="0"/>
        <v>2334</v>
      </c>
      <c r="F11" s="46">
        <v>2318</v>
      </c>
      <c r="G11" s="45">
        <v>2320</v>
      </c>
      <c r="H11" s="44">
        <f t="shared" si="1"/>
        <v>2319</v>
      </c>
      <c r="I11" s="46">
        <v>2283</v>
      </c>
      <c r="J11" s="45">
        <v>2288</v>
      </c>
      <c r="K11" s="44">
        <f t="shared" si="2"/>
        <v>2285.5</v>
      </c>
      <c r="L11" s="46">
        <v>2283</v>
      </c>
      <c r="M11" s="45">
        <v>2288</v>
      </c>
      <c r="N11" s="44">
        <f t="shared" si="3"/>
        <v>2285.5</v>
      </c>
      <c r="O11" s="46">
        <v>2283</v>
      </c>
      <c r="P11" s="45">
        <v>2288</v>
      </c>
      <c r="Q11" s="44">
        <f t="shared" si="4"/>
        <v>2285.5</v>
      </c>
      <c r="R11" s="52">
        <v>2335</v>
      </c>
      <c r="S11" s="51">
        <v>1.3140000000000001</v>
      </c>
      <c r="T11" s="51">
        <v>1.1198999999999999</v>
      </c>
      <c r="U11" s="50">
        <v>108.16</v>
      </c>
      <c r="V11" s="43">
        <v>1777.02</v>
      </c>
      <c r="W11" s="43">
        <v>1761.18</v>
      </c>
      <c r="X11" s="49">
        <f t="shared" si="5"/>
        <v>2085.0075899633898</v>
      </c>
      <c r="Y11" s="48">
        <v>1.3172999999999999</v>
      </c>
    </row>
    <row r="12" spans="1:25" x14ac:dyDescent="0.2">
      <c r="B12" s="47">
        <v>43837</v>
      </c>
      <c r="C12" s="46">
        <v>2345.5</v>
      </c>
      <c r="D12" s="45">
        <v>2346</v>
      </c>
      <c r="E12" s="44">
        <f t="shared" si="0"/>
        <v>2345.75</v>
      </c>
      <c r="F12" s="46">
        <v>2335</v>
      </c>
      <c r="G12" s="45">
        <v>2337</v>
      </c>
      <c r="H12" s="44">
        <f t="shared" si="1"/>
        <v>2336</v>
      </c>
      <c r="I12" s="46">
        <v>2303</v>
      </c>
      <c r="J12" s="45">
        <v>2308</v>
      </c>
      <c r="K12" s="44">
        <f t="shared" si="2"/>
        <v>2305.5</v>
      </c>
      <c r="L12" s="46">
        <v>2303</v>
      </c>
      <c r="M12" s="45">
        <v>2308</v>
      </c>
      <c r="N12" s="44">
        <f t="shared" si="3"/>
        <v>2305.5</v>
      </c>
      <c r="O12" s="46">
        <v>2303</v>
      </c>
      <c r="P12" s="45">
        <v>2308</v>
      </c>
      <c r="Q12" s="44">
        <f t="shared" si="4"/>
        <v>2305.5</v>
      </c>
      <c r="R12" s="52">
        <v>2346</v>
      </c>
      <c r="S12" s="51">
        <v>1.3121</v>
      </c>
      <c r="T12" s="51">
        <v>1.1174999999999999</v>
      </c>
      <c r="U12" s="50">
        <v>108.43</v>
      </c>
      <c r="V12" s="43">
        <v>1787.97</v>
      </c>
      <c r="W12" s="43">
        <v>1781.11</v>
      </c>
      <c r="X12" s="49">
        <f t="shared" si="5"/>
        <v>2099.3288590604029</v>
      </c>
      <c r="Y12" s="48">
        <v>1.3121</v>
      </c>
    </row>
    <row r="13" spans="1:25" x14ac:dyDescent="0.2">
      <c r="B13" s="47">
        <v>43838</v>
      </c>
      <c r="C13" s="46">
        <v>2405</v>
      </c>
      <c r="D13" s="45">
        <v>2406</v>
      </c>
      <c r="E13" s="44">
        <f t="shared" si="0"/>
        <v>2405.5</v>
      </c>
      <c r="F13" s="46">
        <v>2385</v>
      </c>
      <c r="G13" s="45">
        <v>2386</v>
      </c>
      <c r="H13" s="44">
        <f t="shared" si="1"/>
        <v>2385.5</v>
      </c>
      <c r="I13" s="46">
        <v>2352</v>
      </c>
      <c r="J13" s="45">
        <v>2357</v>
      </c>
      <c r="K13" s="44">
        <f t="shared" si="2"/>
        <v>2354.5</v>
      </c>
      <c r="L13" s="46">
        <v>2352</v>
      </c>
      <c r="M13" s="45">
        <v>2357</v>
      </c>
      <c r="N13" s="44">
        <f t="shared" si="3"/>
        <v>2354.5</v>
      </c>
      <c r="O13" s="46">
        <v>2352</v>
      </c>
      <c r="P13" s="45">
        <v>2357</v>
      </c>
      <c r="Q13" s="44">
        <f t="shared" si="4"/>
        <v>2354.5</v>
      </c>
      <c r="R13" s="52">
        <v>2406</v>
      </c>
      <c r="S13" s="51">
        <v>1.3093999999999999</v>
      </c>
      <c r="T13" s="51">
        <v>1.1115999999999999</v>
      </c>
      <c r="U13" s="50">
        <v>108.77</v>
      </c>
      <c r="V13" s="43">
        <v>1837.48</v>
      </c>
      <c r="W13" s="43">
        <v>1817.49</v>
      </c>
      <c r="X13" s="49">
        <f t="shared" si="5"/>
        <v>2164.4476430370637</v>
      </c>
      <c r="Y13" s="48">
        <v>1.3128</v>
      </c>
    </row>
    <row r="14" spans="1:25" x14ac:dyDescent="0.2">
      <c r="B14" s="47">
        <v>43839</v>
      </c>
      <c r="C14" s="46">
        <v>2417</v>
      </c>
      <c r="D14" s="45">
        <v>2419</v>
      </c>
      <c r="E14" s="44">
        <f t="shared" si="0"/>
        <v>2418</v>
      </c>
      <c r="F14" s="46">
        <v>2406</v>
      </c>
      <c r="G14" s="45">
        <v>2406.5</v>
      </c>
      <c r="H14" s="44">
        <f t="shared" si="1"/>
        <v>2406.25</v>
      </c>
      <c r="I14" s="46">
        <v>2370</v>
      </c>
      <c r="J14" s="45">
        <v>2375</v>
      </c>
      <c r="K14" s="44">
        <f t="shared" si="2"/>
        <v>2372.5</v>
      </c>
      <c r="L14" s="46">
        <v>2370</v>
      </c>
      <c r="M14" s="45">
        <v>2375</v>
      </c>
      <c r="N14" s="44">
        <f t="shared" si="3"/>
        <v>2372.5</v>
      </c>
      <c r="O14" s="46">
        <v>2370</v>
      </c>
      <c r="P14" s="45">
        <v>2375</v>
      </c>
      <c r="Q14" s="44">
        <f t="shared" si="4"/>
        <v>2372.5</v>
      </c>
      <c r="R14" s="52">
        <v>2419</v>
      </c>
      <c r="S14" s="51">
        <v>1.3038000000000001</v>
      </c>
      <c r="T14" s="51">
        <v>1.1113999999999999</v>
      </c>
      <c r="U14" s="50">
        <v>109.36</v>
      </c>
      <c r="V14" s="43">
        <v>1855.35</v>
      </c>
      <c r="W14" s="43">
        <v>1840.96</v>
      </c>
      <c r="X14" s="49">
        <f t="shared" si="5"/>
        <v>2176.5341011337055</v>
      </c>
      <c r="Y14" s="48">
        <v>1.3071999999999999</v>
      </c>
    </row>
    <row r="15" spans="1:25" x14ac:dyDescent="0.2">
      <c r="B15" s="47">
        <v>43840</v>
      </c>
      <c r="C15" s="46">
        <v>2381</v>
      </c>
      <c r="D15" s="45">
        <v>2382</v>
      </c>
      <c r="E15" s="44">
        <f t="shared" si="0"/>
        <v>2381.5</v>
      </c>
      <c r="F15" s="46">
        <v>2370</v>
      </c>
      <c r="G15" s="45">
        <v>2370.5</v>
      </c>
      <c r="H15" s="44">
        <f t="shared" si="1"/>
        <v>2370.25</v>
      </c>
      <c r="I15" s="46">
        <v>2337</v>
      </c>
      <c r="J15" s="45">
        <v>2342</v>
      </c>
      <c r="K15" s="44">
        <f t="shared" si="2"/>
        <v>2339.5</v>
      </c>
      <c r="L15" s="46">
        <v>2337</v>
      </c>
      <c r="M15" s="45">
        <v>2342</v>
      </c>
      <c r="N15" s="44">
        <f t="shared" si="3"/>
        <v>2339.5</v>
      </c>
      <c r="O15" s="46">
        <v>2337</v>
      </c>
      <c r="P15" s="45">
        <v>2342</v>
      </c>
      <c r="Q15" s="44">
        <f t="shared" si="4"/>
        <v>2339.5</v>
      </c>
      <c r="R15" s="52">
        <v>2382</v>
      </c>
      <c r="S15" s="51">
        <v>1.3085</v>
      </c>
      <c r="T15" s="51">
        <v>1.1099000000000001</v>
      </c>
      <c r="U15" s="50">
        <v>109.64</v>
      </c>
      <c r="V15" s="43">
        <v>1820.41</v>
      </c>
      <c r="W15" s="43">
        <v>1806.92</v>
      </c>
      <c r="X15" s="49">
        <f t="shared" si="5"/>
        <v>2146.1392918280926</v>
      </c>
      <c r="Y15" s="48">
        <v>1.3119000000000001</v>
      </c>
    </row>
    <row r="16" spans="1:25" x14ac:dyDescent="0.2">
      <c r="B16" s="47">
        <v>43843</v>
      </c>
      <c r="C16" s="46">
        <v>2366</v>
      </c>
      <c r="D16" s="45">
        <v>2366.5</v>
      </c>
      <c r="E16" s="44">
        <f t="shared" si="0"/>
        <v>2366.25</v>
      </c>
      <c r="F16" s="46">
        <v>2352</v>
      </c>
      <c r="G16" s="45">
        <v>2354</v>
      </c>
      <c r="H16" s="44">
        <f t="shared" si="1"/>
        <v>2353</v>
      </c>
      <c r="I16" s="46">
        <v>2322</v>
      </c>
      <c r="J16" s="45">
        <v>2327</v>
      </c>
      <c r="K16" s="44">
        <f t="shared" si="2"/>
        <v>2324.5</v>
      </c>
      <c r="L16" s="46">
        <v>2322</v>
      </c>
      <c r="M16" s="45">
        <v>2327</v>
      </c>
      <c r="N16" s="44">
        <f t="shared" si="3"/>
        <v>2324.5</v>
      </c>
      <c r="O16" s="46">
        <v>2322</v>
      </c>
      <c r="P16" s="45">
        <v>2327</v>
      </c>
      <c r="Q16" s="44">
        <f t="shared" si="4"/>
        <v>2324.5</v>
      </c>
      <c r="R16" s="52">
        <v>2366.5</v>
      </c>
      <c r="S16" s="51">
        <v>1.2976000000000001</v>
      </c>
      <c r="T16" s="51">
        <v>1.1125</v>
      </c>
      <c r="U16" s="50">
        <v>109.9</v>
      </c>
      <c r="V16" s="43">
        <v>1823.75</v>
      </c>
      <c r="W16" s="43">
        <v>1809.1</v>
      </c>
      <c r="X16" s="49">
        <f t="shared" si="5"/>
        <v>2127.1910112359551</v>
      </c>
      <c r="Y16" s="48">
        <v>1.3011999999999999</v>
      </c>
    </row>
    <row r="17" spans="2:25" x14ac:dyDescent="0.2">
      <c r="B17" s="47">
        <v>43844</v>
      </c>
      <c r="C17" s="46">
        <v>2362</v>
      </c>
      <c r="D17" s="45">
        <v>2364</v>
      </c>
      <c r="E17" s="44">
        <f t="shared" si="0"/>
        <v>2363</v>
      </c>
      <c r="F17" s="46">
        <v>2354</v>
      </c>
      <c r="G17" s="45">
        <v>2354.5</v>
      </c>
      <c r="H17" s="44">
        <f t="shared" si="1"/>
        <v>2354.25</v>
      </c>
      <c r="I17" s="46">
        <v>2323</v>
      </c>
      <c r="J17" s="45">
        <v>2328</v>
      </c>
      <c r="K17" s="44">
        <f t="shared" si="2"/>
        <v>2325.5</v>
      </c>
      <c r="L17" s="46">
        <v>2323</v>
      </c>
      <c r="M17" s="45">
        <v>2328</v>
      </c>
      <c r="N17" s="44">
        <f t="shared" si="3"/>
        <v>2325.5</v>
      </c>
      <c r="O17" s="46">
        <v>2323</v>
      </c>
      <c r="P17" s="45">
        <v>2328</v>
      </c>
      <c r="Q17" s="44">
        <f t="shared" si="4"/>
        <v>2325.5</v>
      </c>
      <c r="R17" s="52">
        <v>2364</v>
      </c>
      <c r="S17" s="51">
        <v>1.2975000000000001</v>
      </c>
      <c r="T17" s="51">
        <v>1.1120000000000001</v>
      </c>
      <c r="U17" s="50">
        <v>110.07</v>
      </c>
      <c r="V17" s="43">
        <v>1821.97</v>
      </c>
      <c r="W17" s="43">
        <v>1809.62</v>
      </c>
      <c r="X17" s="49">
        <f t="shared" si="5"/>
        <v>2125.8992805755393</v>
      </c>
      <c r="Y17" s="48">
        <v>1.3010999999999999</v>
      </c>
    </row>
    <row r="18" spans="2:25" x14ac:dyDescent="0.2">
      <c r="B18" s="47">
        <v>43845</v>
      </c>
      <c r="C18" s="46">
        <v>2388</v>
      </c>
      <c r="D18" s="45">
        <v>2390</v>
      </c>
      <c r="E18" s="44">
        <f t="shared" si="0"/>
        <v>2389</v>
      </c>
      <c r="F18" s="46">
        <v>2372.5</v>
      </c>
      <c r="G18" s="45">
        <v>2373</v>
      </c>
      <c r="H18" s="44">
        <f t="shared" si="1"/>
        <v>2372.75</v>
      </c>
      <c r="I18" s="46">
        <v>2342</v>
      </c>
      <c r="J18" s="45">
        <v>2347</v>
      </c>
      <c r="K18" s="44">
        <f t="shared" si="2"/>
        <v>2344.5</v>
      </c>
      <c r="L18" s="46">
        <v>2342</v>
      </c>
      <c r="M18" s="45">
        <v>2347</v>
      </c>
      <c r="N18" s="44">
        <f t="shared" si="3"/>
        <v>2344.5</v>
      </c>
      <c r="O18" s="46">
        <v>2342</v>
      </c>
      <c r="P18" s="45">
        <v>2347</v>
      </c>
      <c r="Q18" s="44">
        <f t="shared" si="4"/>
        <v>2344.5</v>
      </c>
      <c r="R18" s="52">
        <v>2390</v>
      </c>
      <c r="S18" s="51">
        <v>1.3007</v>
      </c>
      <c r="T18" s="51">
        <v>1.1141000000000001</v>
      </c>
      <c r="U18" s="50">
        <v>109.87</v>
      </c>
      <c r="V18" s="43">
        <v>1837.47</v>
      </c>
      <c r="W18" s="43">
        <v>1819.23</v>
      </c>
      <c r="X18" s="49">
        <f t="shared" si="5"/>
        <v>2145.2293330939769</v>
      </c>
      <c r="Y18" s="48">
        <v>1.3044</v>
      </c>
    </row>
    <row r="19" spans="2:25" x14ac:dyDescent="0.2">
      <c r="B19" s="47">
        <v>43846</v>
      </c>
      <c r="C19" s="46">
        <v>2437.5</v>
      </c>
      <c r="D19" s="45">
        <v>2438</v>
      </c>
      <c r="E19" s="44">
        <f t="shared" si="0"/>
        <v>2437.75</v>
      </c>
      <c r="F19" s="46">
        <v>2416.5</v>
      </c>
      <c r="G19" s="45">
        <v>2417</v>
      </c>
      <c r="H19" s="44">
        <f t="shared" si="1"/>
        <v>2416.75</v>
      </c>
      <c r="I19" s="46">
        <v>2383</v>
      </c>
      <c r="J19" s="45">
        <v>2388</v>
      </c>
      <c r="K19" s="44">
        <f t="shared" si="2"/>
        <v>2385.5</v>
      </c>
      <c r="L19" s="46">
        <v>2383</v>
      </c>
      <c r="M19" s="45">
        <v>2388</v>
      </c>
      <c r="N19" s="44">
        <f t="shared" si="3"/>
        <v>2385.5</v>
      </c>
      <c r="O19" s="46">
        <v>2383</v>
      </c>
      <c r="P19" s="45">
        <v>2388</v>
      </c>
      <c r="Q19" s="44">
        <f t="shared" si="4"/>
        <v>2385.5</v>
      </c>
      <c r="R19" s="52">
        <v>2438</v>
      </c>
      <c r="S19" s="51">
        <v>1.3066</v>
      </c>
      <c r="T19" s="51">
        <v>1.1165</v>
      </c>
      <c r="U19" s="50">
        <v>109.98</v>
      </c>
      <c r="V19" s="43">
        <v>1865.91</v>
      </c>
      <c r="W19" s="43">
        <v>1844.62</v>
      </c>
      <c r="X19" s="49">
        <f t="shared" si="5"/>
        <v>2183.6094939543214</v>
      </c>
      <c r="Y19" s="48">
        <v>1.3103</v>
      </c>
    </row>
    <row r="20" spans="2:25" x14ac:dyDescent="0.2">
      <c r="B20" s="47">
        <v>43847</v>
      </c>
      <c r="C20" s="46">
        <v>2433</v>
      </c>
      <c r="D20" s="45">
        <v>2434</v>
      </c>
      <c r="E20" s="44">
        <f t="shared" si="0"/>
        <v>2433.5</v>
      </c>
      <c r="F20" s="46">
        <v>2415</v>
      </c>
      <c r="G20" s="45">
        <v>2416</v>
      </c>
      <c r="H20" s="44">
        <f t="shared" si="1"/>
        <v>2415.5</v>
      </c>
      <c r="I20" s="46">
        <v>2383</v>
      </c>
      <c r="J20" s="45">
        <v>2388</v>
      </c>
      <c r="K20" s="44">
        <f t="shared" si="2"/>
        <v>2385.5</v>
      </c>
      <c r="L20" s="46">
        <v>2383</v>
      </c>
      <c r="M20" s="45">
        <v>2388</v>
      </c>
      <c r="N20" s="44">
        <f t="shared" si="3"/>
        <v>2385.5</v>
      </c>
      <c r="O20" s="46">
        <v>2383</v>
      </c>
      <c r="P20" s="45">
        <v>2388</v>
      </c>
      <c r="Q20" s="44">
        <f t="shared" si="4"/>
        <v>2385.5</v>
      </c>
      <c r="R20" s="52">
        <v>2434</v>
      </c>
      <c r="S20" s="51">
        <v>1.3051999999999999</v>
      </c>
      <c r="T20" s="51">
        <v>1.111</v>
      </c>
      <c r="U20" s="50">
        <v>110.11</v>
      </c>
      <c r="V20" s="43">
        <v>1864.85</v>
      </c>
      <c r="W20" s="43">
        <v>1845.82</v>
      </c>
      <c r="X20" s="49">
        <f t="shared" si="5"/>
        <v>2190.819081908191</v>
      </c>
      <c r="Y20" s="48">
        <v>1.3089</v>
      </c>
    </row>
    <row r="21" spans="2:25" x14ac:dyDescent="0.2">
      <c r="B21" s="47">
        <v>43850</v>
      </c>
      <c r="C21" s="46">
        <v>2460.5</v>
      </c>
      <c r="D21" s="45">
        <v>2461</v>
      </c>
      <c r="E21" s="44">
        <f t="shared" si="0"/>
        <v>2460.75</v>
      </c>
      <c r="F21" s="46">
        <v>2439</v>
      </c>
      <c r="G21" s="45">
        <v>2440</v>
      </c>
      <c r="H21" s="44">
        <f t="shared" si="1"/>
        <v>2439.5</v>
      </c>
      <c r="I21" s="46">
        <v>2398</v>
      </c>
      <c r="J21" s="45">
        <v>2403</v>
      </c>
      <c r="K21" s="44">
        <f t="shared" si="2"/>
        <v>2400.5</v>
      </c>
      <c r="L21" s="46">
        <v>2398</v>
      </c>
      <c r="M21" s="45">
        <v>2403</v>
      </c>
      <c r="N21" s="44">
        <f t="shared" si="3"/>
        <v>2400.5</v>
      </c>
      <c r="O21" s="46">
        <v>2398</v>
      </c>
      <c r="P21" s="45">
        <v>2403</v>
      </c>
      <c r="Q21" s="44">
        <f t="shared" si="4"/>
        <v>2400.5</v>
      </c>
      <c r="R21" s="52">
        <v>2461</v>
      </c>
      <c r="S21" s="51">
        <v>1.2990999999999999</v>
      </c>
      <c r="T21" s="51">
        <v>1.1084000000000001</v>
      </c>
      <c r="U21" s="50">
        <v>110.19</v>
      </c>
      <c r="V21" s="43">
        <v>1894.39</v>
      </c>
      <c r="W21" s="43">
        <v>1878.22</v>
      </c>
      <c r="X21" s="49">
        <f t="shared" si="5"/>
        <v>2220.3175748827139</v>
      </c>
      <c r="Y21" s="48">
        <v>1.2990999999999999</v>
      </c>
    </row>
    <row r="22" spans="2:25" x14ac:dyDescent="0.2">
      <c r="B22" s="47">
        <v>43851</v>
      </c>
      <c r="C22" s="46">
        <v>2450</v>
      </c>
      <c r="D22" s="45">
        <v>2455</v>
      </c>
      <c r="E22" s="44">
        <f t="shared" si="0"/>
        <v>2452.5</v>
      </c>
      <c r="F22" s="46">
        <v>2432</v>
      </c>
      <c r="G22" s="45">
        <v>2432.5</v>
      </c>
      <c r="H22" s="44">
        <f t="shared" si="1"/>
        <v>2432.25</v>
      </c>
      <c r="I22" s="46">
        <v>2390</v>
      </c>
      <c r="J22" s="45">
        <v>2395</v>
      </c>
      <c r="K22" s="44">
        <f t="shared" si="2"/>
        <v>2392.5</v>
      </c>
      <c r="L22" s="46">
        <v>2390</v>
      </c>
      <c r="M22" s="45">
        <v>2395</v>
      </c>
      <c r="N22" s="44">
        <f t="shared" si="3"/>
        <v>2392.5</v>
      </c>
      <c r="O22" s="46">
        <v>2390</v>
      </c>
      <c r="P22" s="45">
        <v>2395</v>
      </c>
      <c r="Q22" s="44">
        <f t="shared" si="4"/>
        <v>2392.5</v>
      </c>
      <c r="R22" s="52">
        <v>2455</v>
      </c>
      <c r="S22" s="51">
        <v>1.3048999999999999</v>
      </c>
      <c r="T22" s="51">
        <v>1.1109</v>
      </c>
      <c r="U22" s="50">
        <v>110.05</v>
      </c>
      <c r="V22" s="43">
        <v>1881.37</v>
      </c>
      <c r="W22" s="43">
        <v>1858.86</v>
      </c>
      <c r="X22" s="49">
        <f t="shared" si="5"/>
        <v>2209.9198847781076</v>
      </c>
      <c r="Y22" s="48">
        <v>1.3086</v>
      </c>
    </row>
    <row r="23" spans="2:25" x14ac:dyDescent="0.2">
      <c r="B23" s="47">
        <v>43852</v>
      </c>
      <c r="C23" s="46">
        <v>2466</v>
      </c>
      <c r="D23" s="45">
        <v>2466.5</v>
      </c>
      <c r="E23" s="44">
        <f t="shared" si="0"/>
        <v>2466.25</v>
      </c>
      <c r="F23" s="46">
        <v>2449</v>
      </c>
      <c r="G23" s="45">
        <v>2450</v>
      </c>
      <c r="H23" s="44">
        <f t="shared" si="1"/>
        <v>2449.5</v>
      </c>
      <c r="I23" s="46">
        <v>2408</v>
      </c>
      <c r="J23" s="45">
        <v>2413</v>
      </c>
      <c r="K23" s="44">
        <f t="shared" si="2"/>
        <v>2410.5</v>
      </c>
      <c r="L23" s="46">
        <v>2408</v>
      </c>
      <c r="M23" s="45">
        <v>2413</v>
      </c>
      <c r="N23" s="44">
        <f t="shared" si="3"/>
        <v>2410.5</v>
      </c>
      <c r="O23" s="46">
        <v>2408</v>
      </c>
      <c r="P23" s="45">
        <v>2413</v>
      </c>
      <c r="Q23" s="44">
        <f t="shared" si="4"/>
        <v>2410.5</v>
      </c>
      <c r="R23" s="52">
        <v>2466.5</v>
      </c>
      <c r="S23" s="51">
        <v>1.3121</v>
      </c>
      <c r="T23" s="51">
        <v>1.1083000000000001</v>
      </c>
      <c r="U23" s="50">
        <v>109.98</v>
      </c>
      <c r="V23" s="43">
        <v>1879.81</v>
      </c>
      <c r="W23" s="43">
        <v>1861.99</v>
      </c>
      <c r="X23" s="49">
        <f t="shared" si="5"/>
        <v>2225.4804655779121</v>
      </c>
      <c r="Y23" s="48">
        <v>1.3158000000000001</v>
      </c>
    </row>
    <row r="24" spans="2:25" x14ac:dyDescent="0.2">
      <c r="B24" s="47">
        <v>43853</v>
      </c>
      <c r="C24" s="46">
        <v>2385</v>
      </c>
      <c r="D24" s="45">
        <v>2386</v>
      </c>
      <c r="E24" s="44">
        <f t="shared" si="0"/>
        <v>2385.5</v>
      </c>
      <c r="F24" s="46">
        <v>2372</v>
      </c>
      <c r="G24" s="45">
        <v>2373</v>
      </c>
      <c r="H24" s="44">
        <f t="shared" si="1"/>
        <v>2372.5</v>
      </c>
      <c r="I24" s="46">
        <v>2340</v>
      </c>
      <c r="J24" s="45">
        <v>2345</v>
      </c>
      <c r="K24" s="44">
        <f t="shared" si="2"/>
        <v>2342.5</v>
      </c>
      <c r="L24" s="46">
        <v>2340</v>
      </c>
      <c r="M24" s="45">
        <v>2345</v>
      </c>
      <c r="N24" s="44">
        <f t="shared" si="3"/>
        <v>2342.5</v>
      </c>
      <c r="O24" s="46">
        <v>2340</v>
      </c>
      <c r="P24" s="45">
        <v>2345</v>
      </c>
      <c r="Q24" s="44">
        <f t="shared" si="4"/>
        <v>2342.5</v>
      </c>
      <c r="R24" s="52">
        <v>2386</v>
      </c>
      <c r="S24" s="51">
        <v>1.3124</v>
      </c>
      <c r="T24" s="51">
        <v>1.1085</v>
      </c>
      <c r="U24" s="50">
        <v>109.6</v>
      </c>
      <c r="V24" s="43">
        <v>1818.04</v>
      </c>
      <c r="W24" s="43">
        <v>1803.05</v>
      </c>
      <c r="X24" s="49">
        <f t="shared" si="5"/>
        <v>2152.4582769508343</v>
      </c>
      <c r="Y24" s="48">
        <v>1.3161</v>
      </c>
    </row>
    <row r="25" spans="2:25" x14ac:dyDescent="0.2">
      <c r="B25" s="47">
        <v>43854</v>
      </c>
      <c r="C25" s="46">
        <v>2354</v>
      </c>
      <c r="D25" s="45">
        <v>2354.5</v>
      </c>
      <c r="E25" s="44">
        <f t="shared" si="0"/>
        <v>2354.25</v>
      </c>
      <c r="F25" s="46">
        <v>2338</v>
      </c>
      <c r="G25" s="45">
        <v>2339</v>
      </c>
      <c r="H25" s="44">
        <f t="shared" si="1"/>
        <v>2338.5</v>
      </c>
      <c r="I25" s="46">
        <v>2307</v>
      </c>
      <c r="J25" s="45">
        <v>2312</v>
      </c>
      <c r="K25" s="44">
        <f t="shared" si="2"/>
        <v>2309.5</v>
      </c>
      <c r="L25" s="46">
        <v>2307</v>
      </c>
      <c r="M25" s="45">
        <v>2312</v>
      </c>
      <c r="N25" s="44">
        <f t="shared" si="3"/>
        <v>2309.5</v>
      </c>
      <c r="O25" s="46">
        <v>2307</v>
      </c>
      <c r="P25" s="45">
        <v>2312</v>
      </c>
      <c r="Q25" s="44">
        <f t="shared" si="4"/>
        <v>2309.5</v>
      </c>
      <c r="R25" s="52">
        <v>2354.5</v>
      </c>
      <c r="S25" s="51">
        <v>1.3083</v>
      </c>
      <c r="T25" s="51">
        <v>1.1028</v>
      </c>
      <c r="U25" s="50">
        <v>109.62</v>
      </c>
      <c r="V25" s="43">
        <v>1799.66</v>
      </c>
      <c r="W25" s="43">
        <v>1782.77</v>
      </c>
      <c r="X25" s="49">
        <f t="shared" si="5"/>
        <v>2135.0199492201668</v>
      </c>
      <c r="Y25" s="48">
        <v>1.3120000000000001</v>
      </c>
    </row>
    <row r="26" spans="2:25" x14ac:dyDescent="0.2">
      <c r="B26" s="47">
        <v>43857</v>
      </c>
      <c r="C26" s="46">
        <v>2292</v>
      </c>
      <c r="D26" s="45">
        <v>2293</v>
      </c>
      <c r="E26" s="44">
        <f t="shared" si="0"/>
        <v>2292.5</v>
      </c>
      <c r="F26" s="46">
        <v>2277</v>
      </c>
      <c r="G26" s="45">
        <v>2279</v>
      </c>
      <c r="H26" s="44">
        <f t="shared" si="1"/>
        <v>2278</v>
      </c>
      <c r="I26" s="46">
        <v>2245</v>
      </c>
      <c r="J26" s="45">
        <v>2250</v>
      </c>
      <c r="K26" s="44">
        <f t="shared" si="2"/>
        <v>2247.5</v>
      </c>
      <c r="L26" s="46">
        <v>2245</v>
      </c>
      <c r="M26" s="45">
        <v>2250</v>
      </c>
      <c r="N26" s="44">
        <f t="shared" si="3"/>
        <v>2247.5</v>
      </c>
      <c r="O26" s="46">
        <v>2245</v>
      </c>
      <c r="P26" s="45">
        <v>2250</v>
      </c>
      <c r="Q26" s="44">
        <f t="shared" si="4"/>
        <v>2247.5</v>
      </c>
      <c r="R26" s="52">
        <v>2293</v>
      </c>
      <c r="S26" s="51">
        <v>1.3068</v>
      </c>
      <c r="T26" s="51">
        <v>1.1023000000000001</v>
      </c>
      <c r="U26" s="50">
        <v>108.96</v>
      </c>
      <c r="V26" s="43">
        <v>1754.67</v>
      </c>
      <c r="W26" s="43">
        <v>1739.03</v>
      </c>
      <c r="X26" s="49">
        <f t="shared" si="5"/>
        <v>2080.1959539145423</v>
      </c>
      <c r="Y26" s="48">
        <v>1.3105</v>
      </c>
    </row>
    <row r="27" spans="2:25" x14ac:dyDescent="0.2">
      <c r="B27" s="47">
        <v>43858</v>
      </c>
      <c r="C27" s="46">
        <v>2268</v>
      </c>
      <c r="D27" s="45">
        <v>2270</v>
      </c>
      <c r="E27" s="44">
        <f t="shared" si="0"/>
        <v>2269</v>
      </c>
      <c r="F27" s="46">
        <v>2253</v>
      </c>
      <c r="G27" s="45">
        <v>2254</v>
      </c>
      <c r="H27" s="44">
        <f t="shared" si="1"/>
        <v>2253.5</v>
      </c>
      <c r="I27" s="46">
        <v>2228</v>
      </c>
      <c r="J27" s="45">
        <v>2233</v>
      </c>
      <c r="K27" s="44">
        <f t="shared" si="2"/>
        <v>2230.5</v>
      </c>
      <c r="L27" s="46">
        <v>2228</v>
      </c>
      <c r="M27" s="45">
        <v>2233</v>
      </c>
      <c r="N27" s="44">
        <f t="shared" si="3"/>
        <v>2230.5</v>
      </c>
      <c r="O27" s="46">
        <v>2228</v>
      </c>
      <c r="P27" s="45">
        <v>2233</v>
      </c>
      <c r="Q27" s="44">
        <f t="shared" si="4"/>
        <v>2230.5</v>
      </c>
      <c r="R27" s="52">
        <v>2270</v>
      </c>
      <c r="S27" s="51">
        <v>1.3011999999999999</v>
      </c>
      <c r="T27" s="51">
        <v>1.1007</v>
      </c>
      <c r="U27" s="50">
        <v>109.06</v>
      </c>
      <c r="V27" s="43">
        <v>1744.54</v>
      </c>
      <c r="W27" s="43">
        <v>1727.34</v>
      </c>
      <c r="X27" s="49">
        <f t="shared" si="5"/>
        <v>2062.3239756518578</v>
      </c>
      <c r="Y27" s="48">
        <v>1.3048999999999999</v>
      </c>
    </row>
    <row r="28" spans="2:25" x14ac:dyDescent="0.2">
      <c r="B28" s="47">
        <v>43859</v>
      </c>
      <c r="C28" s="46">
        <v>2255</v>
      </c>
      <c r="D28" s="45">
        <v>2256</v>
      </c>
      <c r="E28" s="44">
        <f t="shared" si="0"/>
        <v>2255.5</v>
      </c>
      <c r="F28" s="46">
        <v>2243</v>
      </c>
      <c r="G28" s="45">
        <v>2243.5</v>
      </c>
      <c r="H28" s="44">
        <f t="shared" si="1"/>
        <v>2243.25</v>
      </c>
      <c r="I28" s="46">
        <v>2218</v>
      </c>
      <c r="J28" s="45">
        <v>2223</v>
      </c>
      <c r="K28" s="44">
        <f t="shared" si="2"/>
        <v>2220.5</v>
      </c>
      <c r="L28" s="46">
        <v>2218</v>
      </c>
      <c r="M28" s="45">
        <v>2223</v>
      </c>
      <c r="N28" s="44">
        <f t="shared" si="3"/>
        <v>2220.5</v>
      </c>
      <c r="O28" s="46">
        <v>2218</v>
      </c>
      <c r="P28" s="45">
        <v>2223</v>
      </c>
      <c r="Q28" s="44">
        <f t="shared" si="4"/>
        <v>2220.5</v>
      </c>
      <c r="R28" s="52">
        <v>2256</v>
      </c>
      <c r="S28" s="51">
        <v>1.3008999999999999</v>
      </c>
      <c r="T28" s="51">
        <v>1.0998000000000001</v>
      </c>
      <c r="U28" s="50">
        <v>109.12</v>
      </c>
      <c r="V28" s="43">
        <v>1734.18</v>
      </c>
      <c r="W28" s="43">
        <v>1719.82</v>
      </c>
      <c r="X28" s="49">
        <f t="shared" si="5"/>
        <v>2051.2820512820513</v>
      </c>
      <c r="Y28" s="48">
        <v>1.3045</v>
      </c>
    </row>
    <row r="29" spans="2:25" x14ac:dyDescent="0.2">
      <c r="B29" s="47">
        <v>43860</v>
      </c>
      <c r="C29" s="46">
        <v>2234.5</v>
      </c>
      <c r="D29" s="45">
        <v>2235.5</v>
      </c>
      <c r="E29" s="44">
        <f t="shared" si="0"/>
        <v>2235</v>
      </c>
      <c r="F29" s="46">
        <v>2218</v>
      </c>
      <c r="G29" s="45">
        <v>2220</v>
      </c>
      <c r="H29" s="44">
        <f t="shared" si="1"/>
        <v>2219</v>
      </c>
      <c r="I29" s="46">
        <v>2195</v>
      </c>
      <c r="J29" s="45">
        <v>2200</v>
      </c>
      <c r="K29" s="44">
        <f t="shared" si="2"/>
        <v>2197.5</v>
      </c>
      <c r="L29" s="46">
        <v>2195</v>
      </c>
      <c r="M29" s="45">
        <v>2200</v>
      </c>
      <c r="N29" s="44">
        <f t="shared" si="3"/>
        <v>2197.5</v>
      </c>
      <c r="O29" s="46">
        <v>2195</v>
      </c>
      <c r="P29" s="45">
        <v>2200</v>
      </c>
      <c r="Q29" s="44">
        <f t="shared" si="4"/>
        <v>2197.5</v>
      </c>
      <c r="R29" s="52">
        <v>2235.5</v>
      </c>
      <c r="S29" s="51">
        <v>1.3089</v>
      </c>
      <c r="T29" s="51">
        <v>1.1024</v>
      </c>
      <c r="U29" s="50">
        <v>108.78</v>
      </c>
      <c r="V29" s="43">
        <v>1707.92</v>
      </c>
      <c r="W29" s="43">
        <v>1691.94</v>
      </c>
      <c r="X29" s="49">
        <f t="shared" si="5"/>
        <v>2027.8483309143685</v>
      </c>
      <c r="Y29" s="48">
        <v>1.3121</v>
      </c>
    </row>
    <row r="30" spans="2:25" x14ac:dyDescent="0.2">
      <c r="B30" s="47">
        <v>43861</v>
      </c>
      <c r="C30" s="46">
        <v>2218.5</v>
      </c>
      <c r="D30" s="45">
        <v>2219</v>
      </c>
      <c r="E30" s="44">
        <f t="shared" si="0"/>
        <v>2218.75</v>
      </c>
      <c r="F30" s="46">
        <v>2199</v>
      </c>
      <c r="G30" s="45">
        <v>2200</v>
      </c>
      <c r="H30" s="44">
        <f t="shared" si="1"/>
        <v>2199.5</v>
      </c>
      <c r="I30" s="46">
        <v>2177</v>
      </c>
      <c r="J30" s="45">
        <v>2182</v>
      </c>
      <c r="K30" s="44">
        <f t="shared" si="2"/>
        <v>2179.5</v>
      </c>
      <c r="L30" s="46">
        <v>2177</v>
      </c>
      <c r="M30" s="45">
        <v>2182</v>
      </c>
      <c r="N30" s="44">
        <f t="shared" si="3"/>
        <v>2179.5</v>
      </c>
      <c r="O30" s="46">
        <v>2177</v>
      </c>
      <c r="P30" s="45">
        <v>2182</v>
      </c>
      <c r="Q30" s="44">
        <f t="shared" si="4"/>
        <v>2179.5</v>
      </c>
      <c r="R30" s="52">
        <v>2219</v>
      </c>
      <c r="S30" s="51">
        <v>1.3123</v>
      </c>
      <c r="T30" s="51">
        <v>1.1048</v>
      </c>
      <c r="U30" s="50">
        <v>108.97</v>
      </c>
      <c r="V30" s="43">
        <v>1690.92</v>
      </c>
      <c r="W30" s="43">
        <v>1672.37</v>
      </c>
      <c r="X30" s="49">
        <f t="shared" si="5"/>
        <v>2008.5083272990587</v>
      </c>
      <c r="Y30" s="48">
        <v>1.3154999999999999</v>
      </c>
    </row>
    <row r="31" spans="2:25" s="10" customFormat="1" x14ac:dyDescent="0.2">
      <c r="B31" s="42" t="s">
        <v>11</v>
      </c>
      <c r="C31" s="41">
        <f>ROUND(AVERAGE(C9:C30),2)</f>
        <v>2355.9299999999998</v>
      </c>
      <c r="D31" s="40">
        <f>ROUND(AVERAGE(D9:D30),2)</f>
        <v>2357.27</v>
      </c>
      <c r="E31" s="39">
        <f>ROUND(AVERAGE(C31:D31),2)</f>
        <v>2356.6</v>
      </c>
      <c r="F31" s="41">
        <f>ROUND(AVERAGE(F9:F30),2)</f>
        <v>2341.0500000000002</v>
      </c>
      <c r="G31" s="40">
        <f>ROUND(AVERAGE(G9:G30),2)</f>
        <v>2342.14</v>
      </c>
      <c r="H31" s="39">
        <f>ROUND(AVERAGE(F31:G31),2)</f>
        <v>2341.6</v>
      </c>
      <c r="I31" s="41">
        <f>ROUND(AVERAGE(I9:I30),2)</f>
        <v>2308.8200000000002</v>
      </c>
      <c r="J31" s="40">
        <f>ROUND(AVERAGE(J9:J30),2)</f>
        <v>2313.8200000000002</v>
      </c>
      <c r="K31" s="39">
        <f>ROUND(AVERAGE(I31:J31),2)</f>
        <v>2311.3200000000002</v>
      </c>
      <c r="L31" s="41">
        <f>ROUND(AVERAGE(L9:L30),2)</f>
        <v>2308.8200000000002</v>
      </c>
      <c r="M31" s="40">
        <f>ROUND(AVERAGE(M9:M30),2)</f>
        <v>2313.8200000000002</v>
      </c>
      <c r="N31" s="39">
        <f>ROUND(AVERAGE(L31:M31),2)</f>
        <v>2311.3200000000002</v>
      </c>
      <c r="O31" s="41">
        <f>ROUND(AVERAGE(O9:O30),2)</f>
        <v>2308.8200000000002</v>
      </c>
      <c r="P31" s="40">
        <f>ROUND(AVERAGE(P9:P30),2)</f>
        <v>2313.8200000000002</v>
      </c>
      <c r="Q31" s="39">
        <f>ROUND(AVERAGE(O31:P31),2)</f>
        <v>2311.3200000000002</v>
      </c>
      <c r="R31" s="38">
        <f>ROUND(AVERAGE(R9:R30),2)</f>
        <v>2357.27</v>
      </c>
      <c r="S31" s="37">
        <f>ROUND(AVERAGE(S9:S30),4)</f>
        <v>1.3068</v>
      </c>
      <c r="T31" s="36">
        <f>ROUND(AVERAGE(T9:T30),4)</f>
        <v>1.1099000000000001</v>
      </c>
      <c r="U31" s="175">
        <f>ROUND(AVERAGE(U9:U30),2)</f>
        <v>109.34</v>
      </c>
      <c r="V31" s="35">
        <f>AVERAGE(V9:V30)</f>
        <v>1803.8990909090908</v>
      </c>
      <c r="W31" s="35">
        <f>AVERAGE(W9:W30)</f>
        <v>1787.9304545454545</v>
      </c>
      <c r="X31" s="35">
        <f>AVERAGE(X9:X30)</f>
        <v>2123.7261880085553</v>
      </c>
      <c r="Y31" s="34">
        <f>AVERAGE(Y9:Y30)</f>
        <v>1.310031818181818</v>
      </c>
    </row>
    <row r="32" spans="2:25" s="5" customFormat="1" x14ac:dyDescent="0.2">
      <c r="B32" s="33" t="s">
        <v>12</v>
      </c>
      <c r="C32" s="32">
        <f t="shared" ref="C32:Y32" si="6">MAX(C9:C30)</f>
        <v>2466</v>
      </c>
      <c r="D32" s="31">
        <f t="shared" si="6"/>
        <v>2466.5</v>
      </c>
      <c r="E32" s="30">
        <f t="shared" si="6"/>
        <v>2466.25</v>
      </c>
      <c r="F32" s="32">
        <f t="shared" si="6"/>
        <v>2449</v>
      </c>
      <c r="G32" s="31">
        <f t="shared" si="6"/>
        <v>2450</v>
      </c>
      <c r="H32" s="30">
        <f t="shared" si="6"/>
        <v>2449.5</v>
      </c>
      <c r="I32" s="32">
        <f t="shared" si="6"/>
        <v>2408</v>
      </c>
      <c r="J32" s="31">
        <f t="shared" si="6"/>
        <v>2413</v>
      </c>
      <c r="K32" s="30">
        <f t="shared" si="6"/>
        <v>2410.5</v>
      </c>
      <c r="L32" s="32">
        <f t="shared" si="6"/>
        <v>2408</v>
      </c>
      <c r="M32" s="31">
        <f t="shared" si="6"/>
        <v>2413</v>
      </c>
      <c r="N32" s="30">
        <f t="shared" si="6"/>
        <v>2410.5</v>
      </c>
      <c r="O32" s="32">
        <f t="shared" si="6"/>
        <v>2408</v>
      </c>
      <c r="P32" s="31">
        <f t="shared" si="6"/>
        <v>2413</v>
      </c>
      <c r="Q32" s="30">
        <f t="shared" si="6"/>
        <v>2410.5</v>
      </c>
      <c r="R32" s="29">
        <f t="shared" si="6"/>
        <v>2466.5</v>
      </c>
      <c r="S32" s="28">
        <f t="shared" si="6"/>
        <v>1.3197000000000001</v>
      </c>
      <c r="T32" s="27">
        <f t="shared" si="6"/>
        <v>1.1198999999999999</v>
      </c>
      <c r="U32" s="26">
        <f t="shared" si="6"/>
        <v>110.19</v>
      </c>
      <c r="V32" s="25">
        <f t="shared" si="6"/>
        <v>1894.39</v>
      </c>
      <c r="W32" s="25">
        <f t="shared" si="6"/>
        <v>1878.22</v>
      </c>
      <c r="X32" s="25">
        <f t="shared" si="6"/>
        <v>2225.4804655779121</v>
      </c>
      <c r="Y32" s="24">
        <f t="shared" si="6"/>
        <v>1.323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2218.5</v>
      </c>
      <c r="D33" s="21">
        <f t="shared" si="7"/>
        <v>2219</v>
      </c>
      <c r="E33" s="20">
        <f t="shared" si="7"/>
        <v>2218.75</v>
      </c>
      <c r="F33" s="22">
        <f t="shared" si="7"/>
        <v>2199</v>
      </c>
      <c r="G33" s="21">
        <f t="shared" si="7"/>
        <v>2200</v>
      </c>
      <c r="H33" s="20">
        <f t="shared" si="7"/>
        <v>2199.5</v>
      </c>
      <c r="I33" s="22">
        <f t="shared" si="7"/>
        <v>2177</v>
      </c>
      <c r="J33" s="21">
        <f t="shared" si="7"/>
        <v>2182</v>
      </c>
      <c r="K33" s="20">
        <f t="shared" si="7"/>
        <v>2179.5</v>
      </c>
      <c r="L33" s="22">
        <f t="shared" si="7"/>
        <v>2177</v>
      </c>
      <c r="M33" s="21">
        <f t="shared" si="7"/>
        <v>2182</v>
      </c>
      <c r="N33" s="20">
        <f t="shared" si="7"/>
        <v>2179.5</v>
      </c>
      <c r="O33" s="22">
        <f t="shared" si="7"/>
        <v>2177</v>
      </c>
      <c r="P33" s="21">
        <f t="shared" si="7"/>
        <v>2182</v>
      </c>
      <c r="Q33" s="20">
        <f t="shared" si="7"/>
        <v>2179.5</v>
      </c>
      <c r="R33" s="19">
        <f t="shared" si="7"/>
        <v>2219</v>
      </c>
      <c r="S33" s="18">
        <f t="shared" si="7"/>
        <v>1.2975000000000001</v>
      </c>
      <c r="T33" s="17">
        <f t="shared" si="7"/>
        <v>1.0998000000000001</v>
      </c>
      <c r="U33" s="16">
        <f t="shared" si="7"/>
        <v>108.07</v>
      </c>
      <c r="V33" s="15">
        <f t="shared" si="7"/>
        <v>1690.92</v>
      </c>
      <c r="W33" s="15">
        <f t="shared" si="7"/>
        <v>1672.37</v>
      </c>
      <c r="X33" s="15">
        <f t="shared" si="7"/>
        <v>2008.5083272990587</v>
      </c>
      <c r="Y33" s="14">
        <f t="shared" si="7"/>
        <v>1.2990999999999999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43832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43832</v>
      </c>
      <c r="C9" s="46">
        <v>1903.5</v>
      </c>
      <c r="D9" s="45">
        <v>1904</v>
      </c>
      <c r="E9" s="44">
        <f t="shared" ref="E9:E30" si="0">AVERAGE(C9:D9)</f>
        <v>1903.75</v>
      </c>
      <c r="F9" s="46">
        <v>1914</v>
      </c>
      <c r="G9" s="45">
        <v>1915</v>
      </c>
      <c r="H9" s="44">
        <f t="shared" ref="H9:H30" si="1">AVERAGE(F9:G9)</f>
        <v>1914.5</v>
      </c>
      <c r="I9" s="46">
        <v>1937</v>
      </c>
      <c r="J9" s="45">
        <v>1942</v>
      </c>
      <c r="K9" s="44">
        <f t="shared" ref="K9:K30" si="2">AVERAGE(I9:J9)</f>
        <v>1939.5</v>
      </c>
      <c r="L9" s="46">
        <v>1955</v>
      </c>
      <c r="M9" s="45">
        <v>1960</v>
      </c>
      <c r="N9" s="44">
        <f t="shared" ref="N9:N30" si="3">AVERAGE(L9:M9)</f>
        <v>1957.5</v>
      </c>
      <c r="O9" s="46">
        <v>1970</v>
      </c>
      <c r="P9" s="45">
        <v>1975</v>
      </c>
      <c r="Q9" s="44">
        <f t="shared" ref="Q9:Q30" si="4">AVERAGE(O9:P9)</f>
        <v>1972.5</v>
      </c>
      <c r="R9" s="52">
        <v>1904</v>
      </c>
      <c r="S9" s="51">
        <v>1.3197000000000001</v>
      </c>
      <c r="T9" s="53">
        <v>1.1193</v>
      </c>
      <c r="U9" s="50">
        <v>108.79</v>
      </c>
      <c r="V9" s="43">
        <v>1442.75</v>
      </c>
      <c r="W9" s="43">
        <v>1447.47</v>
      </c>
      <c r="X9" s="49">
        <f t="shared" ref="X9:X30" si="5">R9/T9</f>
        <v>1701.0631644777986</v>
      </c>
      <c r="Y9" s="48">
        <v>1.323</v>
      </c>
    </row>
    <row r="10" spans="1:25" x14ac:dyDescent="0.2">
      <c r="B10" s="47">
        <v>43833</v>
      </c>
      <c r="C10" s="46">
        <v>1889</v>
      </c>
      <c r="D10" s="45">
        <v>1889.5</v>
      </c>
      <c r="E10" s="44">
        <f t="shared" si="0"/>
        <v>1889.25</v>
      </c>
      <c r="F10" s="46">
        <v>1902</v>
      </c>
      <c r="G10" s="45">
        <v>1903</v>
      </c>
      <c r="H10" s="44">
        <f t="shared" si="1"/>
        <v>1902.5</v>
      </c>
      <c r="I10" s="46">
        <v>1925</v>
      </c>
      <c r="J10" s="45">
        <v>1930</v>
      </c>
      <c r="K10" s="44">
        <f t="shared" si="2"/>
        <v>1927.5</v>
      </c>
      <c r="L10" s="46">
        <v>1943</v>
      </c>
      <c r="M10" s="45">
        <v>1948</v>
      </c>
      <c r="N10" s="44">
        <f t="shared" si="3"/>
        <v>1945.5</v>
      </c>
      <c r="O10" s="46">
        <v>1958</v>
      </c>
      <c r="P10" s="45">
        <v>1963</v>
      </c>
      <c r="Q10" s="44">
        <f t="shared" si="4"/>
        <v>1960.5</v>
      </c>
      <c r="R10" s="52">
        <v>1889.5</v>
      </c>
      <c r="S10" s="51">
        <v>1.3081</v>
      </c>
      <c r="T10" s="51">
        <v>1.1138999999999999</v>
      </c>
      <c r="U10" s="50">
        <v>108.07</v>
      </c>
      <c r="V10" s="43">
        <v>1444.46</v>
      </c>
      <c r="W10" s="43">
        <v>1451.12</v>
      </c>
      <c r="X10" s="49">
        <f t="shared" si="5"/>
        <v>1696.2923063111591</v>
      </c>
      <c r="Y10" s="48">
        <v>1.3113999999999999</v>
      </c>
    </row>
    <row r="11" spans="1:25" x14ac:dyDescent="0.2">
      <c r="B11" s="47">
        <v>43836</v>
      </c>
      <c r="C11" s="46">
        <v>1898</v>
      </c>
      <c r="D11" s="45">
        <v>1900</v>
      </c>
      <c r="E11" s="44">
        <f t="shared" si="0"/>
        <v>1899</v>
      </c>
      <c r="F11" s="46">
        <v>1908</v>
      </c>
      <c r="G11" s="45">
        <v>1910</v>
      </c>
      <c r="H11" s="44">
        <f t="shared" si="1"/>
        <v>1909</v>
      </c>
      <c r="I11" s="46">
        <v>1930</v>
      </c>
      <c r="J11" s="45">
        <v>1935</v>
      </c>
      <c r="K11" s="44">
        <f t="shared" si="2"/>
        <v>1932.5</v>
      </c>
      <c r="L11" s="46">
        <v>1948</v>
      </c>
      <c r="M11" s="45">
        <v>1953</v>
      </c>
      <c r="N11" s="44">
        <f t="shared" si="3"/>
        <v>1950.5</v>
      </c>
      <c r="O11" s="46">
        <v>1963</v>
      </c>
      <c r="P11" s="45">
        <v>1968</v>
      </c>
      <c r="Q11" s="44">
        <f t="shared" si="4"/>
        <v>1965.5</v>
      </c>
      <c r="R11" s="52">
        <v>1900</v>
      </c>
      <c r="S11" s="51">
        <v>1.3140000000000001</v>
      </c>
      <c r="T11" s="51">
        <v>1.1198999999999999</v>
      </c>
      <c r="U11" s="50">
        <v>108.16</v>
      </c>
      <c r="V11" s="43">
        <v>1445.97</v>
      </c>
      <c r="W11" s="43">
        <v>1449.94</v>
      </c>
      <c r="X11" s="49">
        <f t="shared" si="5"/>
        <v>1696.5800517903385</v>
      </c>
      <c r="Y11" s="48">
        <v>1.3172999999999999</v>
      </c>
    </row>
    <row r="12" spans="1:25" x14ac:dyDescent="0.2">
      <c r="B12" s="47">
        <v>43837</v>
      </c>
      <c r="C12" s="46">
        <v>1904.5</v>
      </c>
      <c r="D12" s="45">
        <v>1905</v>
      </c>
      <c r="E12" s="44">
        <f t="shared" si="0"/>
        <v>1904.75</v>
      </c>
      <c r="F12" s="46">
        <v>1922.5</v>
      </c>
      <c r="G12" s="45">
        <v>1923</v>
      </c>
      <c r="H12" s="44">
        <f t="shared" si="1"/>
        <v>1922.75</v>
      </c>
      <c r="I12" s="46">
        <v>1950</v>
      </c>
      <c r="J12" s="45">
        <v>1955</v>
      </c>
      <c r="K12" s="44">
        <f t="shared" si="2"/>
        <v>1952.5</v>
      </c>
      <c r="L12" s="46">
        <v>1968</v>
      </c>
      <c r="M12" s="45">
        <v>1973</v>
      </c>
      <c r="N12" s="44">
        <f t="shared" si="3"/>
        <v>1970.5</v>
      </c>
      <c r="O12" s="46">
        <v>1983</v>
      </c>
      <c r="P12" s="45">
        <v>1988</v>
      </c>
      <c r="Q12" s="44">
        <f t="shared" si="4"/>
        <v>1985.5</v>
      </c>
      <c r="R12" s="52">
        <v>1905</v>
      </c>
      <c r="S12" s="51">
        <v>1.3121</v>
      </c>
      <c r="T12" s="51">
        <v>1.1174999999999999</v>
      </c>
      <c r="U12" s="50">
        <v>108.43</v>
      </c>
      <c r="V12" s="43">
        <v>1451.87</v>
      </c>
      <c r="W12" s="43">
        <v>1465.59</v>
      </c>
      <c r="X12" s="49">
        <f t="shared" si="5"/>
        <v>1704.6979865771814</v>
      </c>
      <c r="Y12" s="48">
        <v>1.3121</v>
      </c>
    </row>
    <row r="13" spans="1:25" x14ac:dyDescent="0.2">
      <c r="B13" s="47">
        <v>43838</v>
      </c>
      <c r="C13" s="46">
        <v>1908</v>
      </c>
      <c r="D13" s="45">
        <v>1908.5</v>
      </c>
      <c r="E13" s="44">
        <f t="shared" si="0"/>
        <v>1908.25</v>
      </c>
      <c r="F13" s="46">
        <v>1924.5</v>
      </c>
      <c r="G13" s="45">
        <v>1925.5</v>
      </c>
      <c r="H13" s="44">
        <f t="shared" si="1"/>
        <v>1925</v>
      </c>
      <c r="I13" s="46">
        <v>1953</v>
      </c>
      <c r="J13" s="45">
        <v>1958</v>
      </c>
      <c r="K13" s="44">
        <f t="shared" si="2"/>
        <v>1955.5</v>
      </c>
      <c r="L13" s="46">
        <v>1972</v>
      </c>
      <c r="M13" s="45">
        <v>1977</v>
      </c>
      <c r="N13" s="44">
        <f t="shared" si="3"/>
        <v>1974.5</v>
      </c>
      <c r="O13" s="46">
        <v>1987</v>
      </c>
      <c r="P13" s="45">
        <v>1992</v>
      </c>
      <c r="Q13" s="44">
        <f t="shared" si="4"/>
        <v>1989.5</v>
      </c>
      <c r="R13" s="52">
        <v>1908.5</v>
      </c>
      <c r="S13" s="51">
        <v>1.3093999999999999</v>
      </c>
      <c r="T13" s="51">
        <v>1.1115999999999999</v>
      </c>
      <c r="U13" s="50">
        <v>108.77</v>
      </c>
      <c r="V13" s="43">
        <v>1457.54</v>
      </c>
      <c r="W13" s="43">
        <v>1466.71</v>
      </c>
      <c r="X13" s="49">
        <f t="shared" si="5"/>
        <v>1716.8945663907882</v>
      </c>
      <c r="Y13" s="48">
        <v>1.3128</v>
      </c>
    </row>
    <row r="14" spans="1:25" x14ac:dyDescent="0.2">
      <c r="B14" s="47">
        <v>43839</v>
      </c>
      <c r="C14" s="46">
        <v>1900</v>
      </c>
      <c r="D14" s="45">
        <v>1902</v>
      </c>
      <c r="E14" s="44">
        <f t="shared" si="0"/>
        <v>1901</v>
      </c>
      <c r="F14" s="46">
        <v>1910</v>
      </c>
      <c r="G14" s="45">
        <v>1912</v>
      </c>
      <c r="H14" s="44">
        <f t="shared" si="1"/>
        <v>1911</v>
      </c>
      <c r="I14" s="46">
        <v>1938</v>
      </c>
      <c r="J14" s="45">
        <v>1943</v>
      </c>
      <c r="K14" s="44">
        <f t="shared" si="2"/>
        <v>1940.5</v>
      </c>
      <c r="L14" s="46">
        <v>1957</v>
      </c>
      <c r="M14" s="45">
        <v>1962</v>
      </c>
      <c r="N14" s="44">
        <f t="shared" si="3"/>
        <v>1959.5</v>
      </c>
      <c r="O14" s="46">
        <v>1972</v>
      </c>
      <c r="P14" s="45">
        <v>1977</v>
      </c>
      <c r="Q14" s="44">
        <f t="shared" si="4"/>
        <v>1974.5</v>
      </c>
      <c r="R14" s="52">
        <v>1902</v>
      </c>
      <c r="S14" s="51">
        <v>1.3038000000000001</v>
      </c>
      <c r="T14" s="51">
        <v>1.1113999999999999</v>
      </c>
      <c r="U14" s="50">
        <v>109.36</v>
      </c>
      <c r="V14" s="43">
        <v>1458.81</v>
      </c>
      <c r="W14" s="43">
        <v>1462.67</v>
      </c>
      <c r="X14" s="49">
        <f t="shared" si="5"/>
        <v>1711.3550476876012</v>
      </c>
      <c r="Y14" s="48">
        <v>1.3071999999999999</v>
      </c>
    </row>
    <row r="15" spans="1:25" x14ac:dyDescent="0.2">
      <c r="B15" s="47">
        <v>43840</v>
      </c>
      <c r="C15" s="46">
        <v>1921.5</v>
      </c>
      <c r="D15" s="45">
        <v>1922</v>
      </c>
      <c r="E15" s="44">
        <f t="shared" si="0"/>
        <v>1921.75</v>
      </c>
      <c r="F15" s="46">
        <v>1938</v>
      </c>
      <c r="G15" s="45">
        <v>1938.5</v>
      </c>
      <c r="H15" s="44">
        <f t="shared" si="1"/>
        <v>1938.25</v>
      </c>
      <c r="I15" s="46">
        <v>1963</v>
      </c>
      <c r="J15" s="45">
        <v>1968</v>
      </c>
      <c r="K15" s="44">
        <f t="shared" si="2"/>
        <v>1965.5</v>
      </c>
      <c r="L15" s="46">
        <v>1982</v>
      </c>
      <c r="M15" s="45">
        <v>1987</v>
      </c>
      <c r="N15" s="44">
        <f t="shared" si="3"/>
        <v>1984.5</v>
      </c>
      <c r="O15" s="46">
        <v>1997</v>
      </c>
      <c r="P15" s="45">
        <v>2002</v>
      </c>
      <c r="Q15" s="44">
        <f t="shared" si="4"/>
        <v>1999.5</v>
      </c>
      <c r="R15" s="52">
        <v>1922</v>
      </c>
      <c r="S15" s="51">
        <v>1.3085</v>
      </c>
      <c r="T15" s="51">
        <v>1.1099000000000001</v>
      </c>
      <c r="U15" s="50">
        <v>109.64</v>
      </c>
      <c r="V15" s="43">
        <v>1468.86</v>
      </c>
      <c r="W15" s="43">
        <v>1477.63</v>
      </c>
      <c r="X15" s="49">
        <f t="shared" si="5"/>
        <v>1731.6875394179654</v>
      </c>
      <c r="Y15" s="48">
        <v>1.3119000000000001</v>
      </c>
    </row>
    <row r="16" spans="1:25" x14ac:dyDescent="0.2">
      <c r="B16" s="47">
        <v>43843</v>
      </c>
      <c r="C16" s="46">
        <v>1891</v>
      </c>
      <c r="D16" s="45">
        <v>1891.5</v>
      </c>
      <c r="E16" s="44">
        <f t="shared" si="0"/>
        <v>1891.25</v>
      </c>
      <c r="F16" s="46">
        <v>1912</v>
      </c>
      <c r="G16" s="45">
        <v>1913</v>
      </c>
      <c r="H16" s="44">
        <f t="shared" si="1"/>
        <v>1912.5</v>
      </c>
      <c r="I16" s="46">
        <v>1938</v>
      </c>
      <c r="J16" s="45">
        <v>1943</v>
      </c>
      <c r="K16" s="44">
        <f t="shared" si="2"/>
        <v>1940.5</v>
      </c>
      <c r="L16" s="46">
        <v>1958</v>
      </c>
      <c r="M16" s="45">
        <v>1963</v>
      </c>
      <c r="N16" s="44">
        <f t="shared" si="3"/>
        <v>1960.5</v>
      </c>
      <c r="O16" s="46">
        <v>1973</v>
      </c>
      <c r="P16" s="45">
        <v>1978</v>
      </c>
      <c r="Q16" s="44">
        <f t="shared" si="4"/>
        <v>1975.5</v>
      </c>
      <c r="R16" s="52">
        <v>1891.5</v>
      </c>
      <c r="S16" s="51">
        <v>1.2976000000000001</v>
      </c>
      <c r="T16" s="51">
        <v>1.1125</v>
      </c>
      <c r="U16" s="50">
        <v>109.9</v>
      </c>
      <c r="V16" s="43">
        <v>1457.69</v>
      </c>
      <c r="W16" s="43">
        <v>1470.18</v>
      </c>
      <c r="X16" s="49">
        <f t="shared" si="5"/>
        <v>1700.2247191011236</v>
      </c>
      <c r="Y16" s="48">
        <v>1.3011999999999999</v>
      </c>
    </row>
    <row r="17" spans="2:25" x14ac:dyDescent="0.2">
      <c r="B17" s="47">
        <v>43844</v>
      </c>
      <c r="C17" s="46">
        <v>1896</v>
      </c>
      <c r="D17" s="45">
        <v>1897</v>
      </c>
      <c r="E17" s="44">
        <f t="shared" si="0"/>
        <v>1896.5</v>
      </c>
      <c r="F17" s="46">
        <v>1912</v>
      </c>
      <c r="G17" s="45">
        <v>1914</v>
      </c>
      <c r="H17" s="44">
        <f t="shared" si="1"/>
        <v>1913</v>
      </c>
      <c r="I17" s="46">
        <v>1938</v>
      </c>
      <c r="J17" s="45">
        <v>1943</v>
      </c>
      <c r="K17" s="44">
        <f t="shared" si="2"/>
        <v>1940.5</v>
      </c>
      <c r="L17" s="46">
        <v>1958</v>
      </c>
      <c r="M17" s="45">
        <v>1963</v>
      </c>
      <c r="N17" s="44">
        <f t="shared" si="3"/>
        <v>1960.5</v>
      </c>
      <c r="O17" s="46">
        <v>1973</v>
      </c>
      <c r="P17" s="45">
        <v>1978</v>
      </c>
      <c r="Q17" s="44">
        <f t="shared" si="4"/>
        <v>1975.5</v>
      </c>
      <c r="R17" s="52">
        <v>1897</v>
      </c>
      <c r="S17" s="51">
        <v>1.2975000000000001</v>
      </c>
      <c r="T17" s="51">
        <v>1.1120000000000001</v>
      </c>
      <c r="U17" s="50">
        <v>110.07</v>
      </c>
      <c r="V17" s="43">
        <v>1462.04</v>
      </c>
      <c r="W17" s="43">
        <v>1471.06</v>
      </c>
      <c r="X17" s="49">
        <f t="shared" si="5"/>
        <v>1705.935251798561</v>
      </c>
      <c r="Y17" s="48">
        <v>1.3010999999999999</v>
      </c>
    </row>
    <row r="18" spans="2:25" x14ac:dyDescent="0.2">
      <c r="B18" s="47">
        <v>43845</v>
      </c>
      <c r="C18" s="46">
        <v>1959.5</v>
      </c>
      <c r="D18" s="45">
        <v>1960.5</v>
      </c>
      <c r="E18" s="44">
        <f t="shared" si="0"/>
        <v>1960</v>
      </c>
      <c r="F18" s="46">
        <v>1963</v>
      </c>
      <c r="G18" s="45">
        <v>1964</v>
      </c>
      <c r="H18" s="44">
        <f t="shared" si="1"/>
        <v>1963.5</v>
      </c>
      <c r="I18" s="46">
        <v>1988</v>
      </c>
      <c r="J18" s="45">
        <v>1993</v>
      </c>
      <c r="K18" s="44">
        <f t="shared" si="2"/>
        <v>1990.5</v>
      </c>
      <c r="L18" s="46">
        <v>2007</v>
      </c>
      <c r="M18" s="45">
        <v>2012</v>
      </c>
      <c r="N18" s="44">
        <f t="shared" si="3"/>
        <v>2009.5</v>
      </c>
      <c r="O18" s="46">
        <v>2022</v>
      </c>
      <c r="P18" s="45">
        <v>2027</v>
      </c>
      <c r="Q18" s="44">
        <f t="shared" si="4"/>
        <v>2024.5</v>
      </c>
      <c r="R18" s="52">
        <v>1960.5</v>
      </c>
      <c r="S18" s="51">
        <v>1.3007</v>
      </c>
      <c r="T18" s="51">
        <v>1.1141000000000001</v>
      </c>
      <c r="U18" s="50">
        <v>109.87</v>
      </c>
      <c r="V18" s="43">
        <v>1507.27</v>
      </c>
      <c r="W18" s="43">
        <v>1505.67</v>
      </c>
      <c r="X18" s="49">
        <f t="shared" si="5"/>
        <v>1759.7163629835741</v>
      </c>
      <c r="Y18" s="48">
        <v>1.3044</v>
      </c>
    </row>
    <row r="19" spans="2:25" x14ac:dyDescent="0.2">
      <c r="B19" s="47">
        <v>43846</v>
      </c>
      <c r="C19" s="46">
        <v>2026</v>
      </c>
      <c r="D19" s="45">
        <v>2027</v>
      </c>
      <c r="E19" s="44">
        <f t="shared" si="0"/>
        <v>2026.5</v>
      </c>
      <c r="F19" s="46">
        <v>2026</v>
      </c>
      <c r="G19" s="45">
        <v>2027</v>
      </c>
      <c r="H19" s="44">
        <f t="shared" si="1"/>
        <v>2026.5</v>
      </c>
      <c r="I19" s="46">
        <v>2053</v>
      </c>
      <c r="J19" s="45">
        <v>2058</v>
      </c>
      <c r="K19" s="44">
        <f t="shared" si="2"/>
        <v>2055.5</v>
      </c>
      <c r="L19" s="46">
        <v>2070</v>
      </c>
      <c r="M19" s="45">
        <v>2075</v>
      </c>
      <c r="N19" s="44">
        <f t="shared" si="3"/>
        <v>2072.5</v>
      </c>
      <c r="O19" s="46">
        <v>2085</v>
      </c>
      <c r="P19" s="45">
        <v>2090</v>
      </c>
      <c r="Q19" s="44">
        <f t="shared" si="4"/>
        <v>2087.5</v>
      </c>
      <c r="R19" s="52">
        <v>2027</v>
      </c>
      <c r="S19" s="51">
        <v>1.3066</v>
      </c>
      <c r="T19" s="51">
        <v>1.1165</v>
      </c>
      <c r="U19" s="50">
        <v>109.98</v>
      </c>
      <c r="V19" s="43">
        <v>1551.35</v>
      </c>
      <c r="W19" s="43">
        <v>1546.97</v>
      </c>
      <c r="X19" s="49">
        <f t="shared" si="5"/>
        <v>1815.4948499776085</v>
      </c>
      <c r="Y19" s="48">
        <v>1.3103</v>
      </c>
    </row>
    <row r="20" spans="2:25" x14ac:dyDescent="0.2">
      <c r="B20" s="47">
        <v>43847</v>
      </c>
      <c r="C20" s="46">
        <v>1976</v>
      </c>
      <c r="D20" s="45">
        <v>1977</v>
      </c>
      <c r="E20" s="44">
        <f t="shared" si="0"/>
        <v>1976.5</v>
      </c>
      <c r="F20" s="46">
        <v>1977</v>
      </c>
      <c r="G20" s="45">
        <v>1978</v>
      </c>
      <c r="H20" s="44">
        <f t="shared" si="1"/>
        <v>1977.5</v>
      </c>
      <c r="I20" s="46">
        <v>2003</v>
      </c>
      <c r="J20" s="45">
        <v>2008</v>
      </c>
      <c r="K20" s="44">
        <f t="shared" si="2"/>
        <v>2005.5</v>
      </c>
      <c r="L20" s="46">
        <v>2023</v>
      </c>
      <c r="M20" s="45">
        <v>2028</v>
      </c>
      <c r="N20" s="44">
        <f t="shared" si="3"/>
        <v>2025.5</v>
      </c>
      <c r="O20" s="46">
        <v>2038</v>
      </c>
      <c r="P20" s="45">
        <v>2043</v>
      </c>
      <c r="Q20" s="44">
        <f t="shared" si="4"/>
        <v>2040.5</v>
      </c>
      <c r="R20" s="52">
        <v>1977</v>
      </c>
      <c r="S20" s="51">
        <v>1.3051999999999999</v>
      </c>
      <c r="T20" s="51">
        <v>1.111</v>
      </c>
      <c r="U20" s="50">
        <v>110.11</v>
      </c>
      <c r="V20" s="43">
        <v>1514.71</v>
      </c>
      <c r="W20" s="43">
        <v>1511.19</v>
      </c>
      <c r="X20" s="49">
        <f t="shared" si="5"/>
        <v>1779.4779477947795</v>
      </c>
      <c r="Y20" s="48">
        <v>1.3089</v>
      </c>
    </row>
    <row r="21" spans="2:25" x14ac:dyDescent="0.2">
      <c r="B21" s="47">
        <v>43850</v>
      </c>
      <c r="C21" s="46">
        <v>1981</v>
      </c>
      <c r="D21" s="45">
        <v>1982</v>
      </c>
      <c r="E21" s="44">
        <f t="shared" si="0"/>
        <v>1981.5</v>
      </c>
      <c r="F21" s="46">
        <v>1989</v>
      </c>
      <c r="G21" s="45">
        <v>1990</v>
      </c>
      <c r="H21" s="44">
        <f t="shared" si="1"/>
        <v>1989.5</v>
      </c>
      <c r="I21" s="46">
        <v>2017</v>
      </c>
      <c r="J21" s="45">
        <v>2022</v>
      </c>
      <c r="K21" s="44">
        <f t="shared" si="2"/>
        <v>2019.5</v>
      </c>
      <c r="L21" s="46">
        <v>2035</v>
      </c>
      <c r="M21" s="45">
        <v>2040</v>
      </c>
      <c r="N21" s="44">
        <f t="shared" si="3"/>
        <v>2037.5</v>
      </c>
      <c r="O21" s="46">
        <v>2050</v>
      </c>
      <c r="P21" s="45">
        <v>2055</v>
      </c>
      <c r="Q21" s="44">
        <f t="shared" si="4"/>
        <v>2052.5</v>
      </c>
      <c r="R21" s="52">
        <v>1982</v>
      </c>
      <c r="S21" s="51">
        <v>1.2990999999999999</v>
      </c>
      <c r="T21" s="51">
        <v>1.1084000000000001</v>
      </c>
      <c r="U21" s="50">
        <v>110.19</v>
      </c>
      <c r="V21" s="43">
        <v>1525.67</v>
      </c>
      <c r="W21" s="43">
        <v>1531.83</v>
      </c>
      <c r="X21" s="49">
        <f t="shared" si="5"/>
        <v>1788.1631180079394</v>
      </c>
      <c r="Y21" s="48">
        <v>1.2990999999999999</v>
      </c>
    </row>
    <row r="22" spans="2:25" x14ac:dyDescent="0.2">
      <c r="B22" s="47">
        <v>43851</v>
      </c>
      <c r="C22" s="46">
        <v>1951</v>
      </c>
      <c r="D22" s="45">
        <v>1952</v>
      </c>
      <c r="E22" s="44">
        <f t="shared" si="0"/>
        <v>1951.5</v>
      </c>
      <c r="F22" s="46">
        <v>1963</v>
      </c>
      <c r="G22" s="45">
        <v>1965</v>
      </c>
      <c r="H22" s="44">
        <f t="shared" si="1"/>
        <v>1964</v>
      </c>
      <c r="I22" s="46">
        <v>1990</v>
      </c>
      <c r="J22" s="45">
        <v>1995</v>
      </c>
      <c r="K22" s="44">
        <f t="shared" si="2"/>
        <v>1992.5</v>
      </c>
      <c r="L22" s="46">
        <v>2008</v>
      </c>
      <c r="M22" s="45">
        <v>2013</v>
      </c>
      <c r="N22" s="44">
        <f t="shared" si="3"/>
        <v>2010.5</v>
      </c>
      <c r="O22" s="46">
        <v>2023</v>
      </c>
      <c r="P22" s="45">
        <v>2028</v>
      </c>
      <c r="Q22" s="44">
        <f t="shared" si="4"/>
        <v>2025.5</v>
      </c>
      <c r="R22" s="52">
        <v>1952</v>
      </c>
      <c r="S22" s="51">
        <v>1.3048999999999999</v>
      </c>
      <c r="T22" s="51">
        <v>1.1109</v>
      </c>
      <c r="U22" s="50">
        <v>110.05</v>
      </c>
      <c r="V22" s="43">
        <v>1495.9</v>
      </c>
      <c r="W22" s="43">
        <v>1501.6</v>
      </c>
      <c r="X22" s="49">
        <f t="shared" si="5"/>
        <v>1757.1338554325321</v>
      </c>
      <c r="Y22" s="48">
        <v>1.3086</v>
      </c>
    </row>
    <row r="23" spans="2:25" x14ac:dyDescent="0.2">
      <c r="B23" s="47">
        <v>43852</v>
      </c>
      <c r="C23" s="46">
        <v>1972</v>
      </c>
      <c r="D23" s="45">
        <v>1974</v>
      </c>
      <c r="E23" s="44">
        <f t="shared" si="0"/>
        <v>1973</v>
      </c>
      <c r="F23" s="46">
        <v>1965</v>
      </c>
      <c r="G23" s="45">
        <v>1967</v>
      </c>
      <c r="H23" s="44">
        <f t="shared" si="1"/>
        <v>1966</v>
      </c>
      <c r="I23" s="46">
        <v>1992</v>
      </c>
      <c r="J23" s="45">
        <v>1997</v>
      </c>
      <c r="K23" s="44">
        <f t="shared" si="2"/>
        <v>1994.5</v>
      </c>
      <c r="L23" s="46">
        <v>2010</v>
      </c>
      <c r="M23" s="45">
        <v>2015</v>
      </c>
      <c r="N23" s="44">
        <f t="shared" si="3"/>
        <v>2012.5</v>
      </c>
      <c r="O23" s="46">
        <v>2025</v>
      </c>
      <c r="P23" s="45">
        <v>2030</v>
      </c>
      <c r="Q23" s="44">
        <f t="shared" si="4"/>
        <v>2027.5</v>
      </c>
      <c r="R23" s="52">
        <v>1974</v>
      </c>
      <c r="S23" s="51">
        <v>1.3121</v>
      </c>
      <c r="T23" s="51">
        <v>1.1083000000000001</v>
      </c>
      <c r="U23" s="50">
        <v>109.98</v>
      </c>
      <c r="V23" s="43">
        <v>1504.46</v>
      </c>
      <c r="W23" s="43">
        <v>1494.91</v>
      </c>
      <c r="X23" s="49">
        <f t="shared" si="5"/>
        <v>1781.1061986826671</v>
      </c>
      <c r="Y23" s="48">
        <v>1.3158000000000001</v>
      </c>
    </row>
    <row r="24" spans="2:25" x14ac:dyDescent="0.2">
      <c r="B24" s="47">
        <v>43853</v>
      </c>
      <c r="C24" s="46">
        <v>1988.5</v>
      </c>
      <c r="D24" s="45">
        <v>1989</v>
      </c>
      <c r="E24" s="44">
        <f t="shared" si="0"/>
        <v>1988.75</v>
      </c>
      <c r="F24" s="46">
        <v>1986</v>
      </c>
      <c r="G24" s="45">
        <v>1988</v>
      </c>
      <c r="H24" s="44">
        <f t="shared" si="1"/>
        <v>1987</v>
      </c>
      <c r="I24" s="46">
        <v>2013</v>
      </c>
      <c r="J24" s="45">
        <v>2018</v>
      </c>
      <c r="K24" s="44">
        <f t="shared" si="2"/>
        <v>2015.5</v>
      </c>
      <c r="L24" s="46">
        <v>2030</v>
      </c>
      <c r="M24" s="45">
        <v>2035</v>
      </c>
      <c r="N24" s="44">
        <f t="shared" si="3"/>
        <v>2032.5</v>
      </c>
      <c r="O24" s="46">
        <v>2045</v>
      </c>
      <c r="P24" s="45">
        <v>2050</v>
      </c>
      <c r="Q24" s="44">
        <f t="shared" si="4"/>
        <v>2047.5</v>
      </c>
      <c r="R24" s="52">
        <v>1989</v>
      </c>
      <c r="S24" s="51">
        <v>1.3124</v>
      </c>
      <c r="T24" s="51">
        <v>1.1085</v>
      </c>
      <c r="U24" s="50">
        <v>109.6</v>
      </c>
      <c r="V24" s="43">
        <v>1515.54</v>
      </c>
      <c r="W24" s="43">
        <v>1510.52</v>
      </c>
      <c r="X24" s="49">
        <f t="shared" si="5"/>
        <v>1794.3166441136671</v>
      </c>
      <c r="Y24" s="48">
        <v>1.3161</v>
      </c>
    </row>
    <row r="25" spans="2:25" x14ac:dyDescent="0.2">
      <c r="B25" s="47">
        <v>43854</v>
      </c>
      <c r="C25" s="46">
        <v>1959.5</v>
      </c>
      <c r="D25" s="45">
        <v>1960</v>
      </c>
      <c r="E25" s="44">
        <f t="shared" si="0"/>
        <v>1959.75</v>
      </c>
      <c r="F25" s="46">
        <v>1945</v>
      </c>
      <c r="G25" s="45">
        <v>1946</v>
      </c>
      <c r="H25" s="44">
        <f t="shared" si="1"/>
        <v>1945.5</v>
      </c>
      <c r="I25" s="46">
        <v>1972</v>
      </c>
      <c r="J25" s="45">
        <v>1977</v>
      </c>
      <c r="K25" s="44">
        <f t="shared" si="2"/>
        <v>1974.5</v>
      </c>
      <c r="L25" s="46">
        <v>1990</v>
      </c>
      <c r="M25" s="45">
        <v>1995</v>
      </c>
      <c r="N25" s="44">
        <f t="shared" si="3"/>
        <v>1992.5</v>
      </c>
      <c r="O25" s="46">
        <v>2005</v>
      </c>
      <c r="P25" s="45">
        <v>2010</v>
      </c>
      <c r="Q25" s="44">
        <f t="shared" si="4"/>
        <v>2007.5</v>
      </c>
      <c r="R25" s="52">
        <v>1960</v>
      </c>
      <c r="S25" s="51">
        <v>1.3083</v>
      </c>
      <c r="T25" s="51">
        <v>1.1028</v>
      </c>
      <c r="U25" s="50">
        <v>109.62</v>
      </c>
      <c r="V25" s="43">
        <v>1498.13</v>
      </c>
      <c r="W25" s="43">
        <v>1483.23</v>
      </c>
      <c r="X25" s="49">
        <f t="shared" si="5"/>
        <v>1777.2941603191875</v>
      </c>
      <c r="Y25" s="48">
        <v>1.3120000000000001</v>
      </c>
    </row>
    <row r="26" spans="2:25" x14ac:dyDescent="0.2">
      <c r="B26" s="47">
        <v>43857</v>
      </c>
      <c r="C26" s="46">
        <v>1900</v>
      </c>
      <c r="D26" s="45">
        <v>1901</v>
      </c>
      <c r="E26" s="44">
        <f t="shared" si="0"/>
        <v>1900.5</v>
      </c>
      <c r="F26" s="46">
        <v>1878</v>
      </c>
      <c r="G26" s="45">
        <v>1880</v>
      </c>
      <c r="H26" s="44">
        <f t="shared" si="1"/>
        <v>1879</v>
      </c>
      <c r="I26" s="46">
        <v>1905</v>
      </c>
      <c r="J26" s="45">
        <v>1910</v>
      </c>
      <c r="K26" s="44">
        <f t="shared" si="2"/>
        <v>1907.5</v>
      </c>
      <c r="L26" s="46">
        <v>1923</v>
      </c>
      <c r="M26" s="45">
        <v>1928</v>
      </c>
      <c r="N26" s="44">
        <f t="shared" si="3"/>
        <v>1925.5</v>
      </c>
      <c r="O26" s="46">
        <v>1938</v>
      </c>
      <c r="P26" s="45">
        <v>1943</v>
      </c>
      <c r="Q26" s="44">
        <f t="shared" si="4"/>
        <v>1940.5</v>
      </c>
      <c r="R26" s="52">
        <v>1901</v>
      </c>
      <c r="S26" s="51">
        <v>1.3068</v>
      </c>
      <c r="T26" s="51">
        <v>1.1023000000000001</v>
      </c>
      <c r="U26" s="50">
        <v>108.96</v>
      </c>
      <c r="V26" s="43">
        <v>1454.7</v>
      </c>
      <c r="W26" s="43">
        <v>1434.57</v>
      </c>
      <c r="X26" s="49">
        <f t="shared" si="5"/>
        <v>1724.5758867821826</v>
      </c>
      <c r="Y26" s="48">
        <v>1.3105</v>
      </c>
    </row>
    <row r="27" spans="2:25" x14ac:dyDescent="0.2">
      <c r="B27" s="47">
        <v>43858</v>
      </c>
      <c r="C27" s="46">
        <v>1914</v>
      </c>
      <c r="D27" s="45">
        <v>1915</v>
      </c>
      <c r="E27" s="44">
        <f t="shared" si="0"/>
        <v>1914.5</v>
      </c>
      <c r="F27" s="46">
        <v>1898</v>
      </c>
      <c r="G27" s="45">
        <v>1899</v>
      </c>
      <c r="H27" s="44">
        <f t="shared" si="1"/>
        <v>1898.5</v>
      </c>
      <c r="I27" s="46">
        <v>1925</v>
      </c>
      <c r="J27" s="45">
        <v>1930</v>
      </c>
      <c r="K27" s="44">
        <f t="shared" si="2"/>
        <v>1927.5</v>
      </c>
      <c r="L27" s="46">
        <v>1943</v>
      </c>
      <c r="M27" s="45">
        <v>1948</v>
      </c>
      <c r="N27" s="44">
        <f t="shared" si="3"/>
        <v>1945.5</v>
      </c>
      <c r="O27" s="46">
        <v>1958</v>
      </c>
      <c r="P27" s="45">
        <v>1963</v>
      </c>
      <c r="Q27" s="44">
        <f t="shared" si="4"/>
        <v>1960.5</v>
      </c>
      <c r="R27" s="52">
        <v>1915</v>
      </c>
      <c r="S27" s="51">
        <v>1.3011999999999999</v>
      </c>
      <c r="T27" s="51">
        <v>1.1007</v>
      </c>
      <c r="U27" s="50">
        <v>109.06</v>
      </c>
      <c r="V27" s="43">
        <v>1471.72</v>
      </c>
      <c r="W27" s="43">
        <v>1455.28</v>
      </c>
      <c r="X27" s="49">
        <f t="shared" si="5"/>
        <v>1739.8019442173163</v>
      </c>
      <c r="Y27" s="48">
        <v>1.3048999999999999</v>
      </c>
    </row>
    <row r="28" spans="2:25" x14ac:dyDescent="0.2">
      <c r="B28" s="47">
        <v>43859</v>
      </c>
      <c r="C28" s="46">
        <v>1885</v>
      </c>
      <c r="D28" s="45">
        <v>1886</v>
      </c>
      <c r="E28" s="44">
        <f t="shared" si="0"/>
        <v>1885.5</v>
      </c>
      <c r="F28" s="46">
        <v>1880</v>
      </c>
      <c r="G28" s="45">
        <v>1881</v>
      </c>
      <c r="H28" s="44">
        <f t="shared" si="1"/>
        <v>1880.5</v>
      </c>
      <c r="I28" s="46">
        <v>1907</v>
      </c>
      <c r="J28" s="45">
        <v>1912</v>
      </c>
      <c r="K28" s="44">
        <f t="shared" si="2"/>
        <v>1909.5</v>
      </c>
      <c r="L28" s="46">
        <v>1923</v>
      </c>
      <c r="M28" s="45">
        <v>1928</v>
      </c>
      <c r="N28" s="44">
        <f t="shared" si="3"/>
        <v>1925.5</v>
      </c>
      <c r="O28" s="46">
        <v>1938</v>
      </c>
      <c r="P28" s="45">
        <v>1943</v>
      </c>
      <c r="Q28" s="44">
        <f t="shared" si="4"/>
        <v>1940.5</v>
      </c>
      <c r="R28" s="52">
        <v>1886</v>
      </c>
      <c r="S28" s="51">
        <v>1.3008999999999999</v>
      </c>
      <c r="T28" s="51">
        <v>1.0998000000000001</v>
      </c>
      <c r="U28" s="50">
        <v>109.12</v>
      </c>
      <c r="V28" s="43">
        <v>1449.77</v>
      </c>
      <c r="W28" s="43">
        <v>1441.93</v>
      </c>
      <c r="X28" s="49">
        <f t="shared" si="5"/>
        <v>1714.8572467721401</v>
      </c>
      <c r="Y28" s="48">
        <v>1.3045</v>
      </c>
    </row>
    <row r="29" spans="2:25" x14ac:dyDescent="0.2">
      <c r="B29" s="47">
        <v>43860</v>
      </c>
      <c r="C29" s="46">
        <v>1835</v>
      </c>
      <c r="D29" s="45">
        <v>1836</v>
      </c>
      <c r="E29" s="44">
        <f t="shared" si="0"/>
        <v>1835.5</v>
      </c>
      <c r="F29" s="46">
        <v>1825</v>
      </c>
      <c r="G29" s="45">
        <v>1827</v>
      </c>
      <c r="H29" s="44">
        <f t="shared" si="1"/>
        <v>1826</v>
      </c>
      <c r="I29" s="46">
        <v>1850</v>
      </c>
      <c r="J29" s="45">
        <v>1855</v>
      </c>
      <c r="K29" s="44">
        <f t="shared" si="2"/>
        <v>1852.5</v>
      </c>
      <c r="L29" s="46">
        <v>1868</v>
      </c>
      <c r="M29" s="45">
        <v>1873</v>
      </c>
      <c r="N29" s="44">
        <f t="shared" si="3"/>
        <v>1870.5</v>
      </c>
      <c r="O29" s="46">
        <v>1883</v>
      </c>
      <c r="P29" s="45">
        <v>1888</v>
      </c>
      <c r="Q29" s="44">
        <f t="shared" si="4"/>
        <v>1885.5</v>
      </c>
      <c r="R29" s="52">
        <v>1836</v>
      </c>
      <c r="S29" s="51">
        <v>1.3089</v>
      </c>
      <c r="T29" s="51">
        <v>1.1024</v>
      </c>
      <c r="U29" s="50">
        <v>108.78</v>
      </c>
      <c r="V29" s="43">
        <v>1402.7</v>
      </c>
      <c r="W29" s="43">
        <v>1392.42</v>
      </c>
      <c r="X29" s="49">
        <f t="shared" si="5"/>
        <v>1665.4571843251088</v>
      </c>
      <c r="Y29" s="48">
        <v>1.3121</v>
      </c>
    </row>
    <row r="30" spans="2:25" x14ac:dyDescent="0.2">
      <c r="B30" s="47">
        <v>43861</v>
      </c>
      <c r="C30" s="46">
        <v>1874</v>
      </c>
      <c r="D30" s="45">
        <v>1874.5</v>
      </c>
      <c r="E30" s="44">
        <f t="shared" si="0"/>
        <v>1874.25</v>
      </c>
      <c r="F30" s="46">
        <v>1851</v>
      </c>
      <c r="G30" s="45">
        <v>1852</v>
      </c>
      <c r="H30" s="44">
        <f t="shared" si="1"/>
        <v>1851.5</v>
      </c>
      <c r="I30" s="46">
        <v>1875</v>
      </c>
      <c r="J30" s="45">
        <v>1880</v>
      </c>
      <c r="K30" s="44">
        <f t="shared" si="2"/>
        <v>1877.5</v>
      </c>
      <c r="L30" s="46">
        <v>1893</v>
      </c>
      <c r="M30" s="45">
        <v>1898</v>
      </c>
      <c r="N30" s="44">
        <f t="shared" si="3"/>
        <v>1895.5</v>
      </c>
      <c r="O30" s="46">
        <v>1908</v>
      </c>
      <c r="P30" s="45">
        <v>1913</v>
      </c>
      <c r="Q30" s="44">
        <f t="shared" si="4"/>
        <v>1910.5</v>
      </c>
      <c r="R30" s="52">
        <v>1874.5</v>
      </c>
      <c r="S30" s="51">
        <v>1.3123</v>
      </c>
      <c r="T30" s="51">
        <v>1.1048</v>
      </c>
      <c r="U30" s="50">
        <v>108.97</v>
      </c>
      <c r="V30" s="43">
        <v>1428.41</v>
      </c>
      <c r="W30" s="43">
        <v>1407.83</v>
      </c>
      <c r="X30" s="49">
        <f t="shared" si="5"/>
        <v>1696.6871832005793</v>
      </c>
      <c r="Y30" s="48">
        <v>1.3154999999999999</v>
      </c>
    </row>
    <row r="31" spans="2:25" s="10" customFormat="1" x14ac:dyDescent="0.2">
      <c r="B31" s="42" t="s">
        <v>11</v>
      </c>
      <c r="C31" s="41">
        <f>ROUND(AVERAGE(C9:C30),2)</f>
        <v>1924.23</v>
      </c>
      <c r="D31" s="40">
        <f>ROUND(AVERAGE(D9:D30),2)</f>
        <v>1925.16</v>
      </c>
      <c r="E31" s="39">
        <f>ROUND(AVERAGE(C31:D31),2)</f>
        <v>1924.7</v>
      </c>
      <c r="F31" s="41">
        <f>ROUND(AVERAGE(F9:F30),2)</f>
        <v>1926.77</v>
      </c>
      <c r="G31" s="40">
        <f>ROUND(AVERAGE(G9:G30),2)</f>
        <v>1928.09</v>
      </c>
      <c r="H31" s="39">
        <f>ROUND(AVERAGE(F31:G31),2)</f>
        <v>1927.43</v>
      </c>
      <c r="I31" s="41">
        <f>ROUND(AVERAGE(I9:I30),2)</f>
        <v>1952.82</v>
      </c>
      <c r="J31" s="40">
        <f>ROUND(AVERAGE(J9:J30),2)</f>
        <v>1957.82</v>
      </c>
      <c r="K31" s="39">
        <f>ROUND(AVERAGE(I31:J31),2)</f>
        <v>1955.32</v>
      </c>
      <c r="L31" s="41">
        <f>ROUND(AVERAGE(L9:L30),2)</f>
        <v>1971.09</v>
      </c>
      <c r="M31" s="40">
        <f>ROUND(AVERAGE(M9:M30),2)</f>
        <v>1976.09</v>
      </c>
      <c r="N31" s="39">
        <f>ROUND(AVERAGE(L31:M31),2)</f>
        <v>1973.59</v>
      </c>
      <c r="O31" s="41">
        <f>ROUND(AVERAGE(O9:O30),2)</f>
        <v>1986.09</v>
      </c>
      <c r="P31" s="40">
        <f>ROUND(AVERAGE(P9:P30),2)</f>
        <v>1991.09</v>
      </c>
      <c r="Q31" s="39">
        <f>ROUND(AVERAGE(O31:P31),2)</f>
        <v>1988.59</v>
      </c>
      <c r="R31" s="38">
        <f>ROUND(AVERAGE(R9:R30),2)</f>
        <v>1925.16</v>
      </c>
      <c r="S31" s="37">
        <f>ROUND(AVERAGE(S9:S30),4)</f>
        <v>1.3068</v>
      </c>
      <c r="T31" s="36">
        <f>ROUND(AVERAGE(T9:T30),4)</f>
        <v>1.1099000000000001</v>
      </c>
      <c r="U31" s="175">
        <f>ROUND(AVERAGE(U9:U30),2)</f>
        <v>109.34</v>
      </c>
      <c r="V31" s="35">
        <f>AVERAGE(V9:V30)</f>
        <v>1473.1963636363641</v>
      </c>
      <c r="W31" s="35">
        <f>AVERAGE(W9:W30)</f>
        <v>1471.8327272727272</v>
      </c>
      <c r="X31" s="35">
        <f>AVERAGE(X9:X30)</f>
        <v>1734.4915098255362</v>
      </c>
      <c r="Y31" s="34">
        <f>AVERAGE(Y9:Y30)</f>
        <v>1.310031818181818</v>
      </c>
    </row>
    <row r="32" spans="2:25" s="5" customFormat="1" x14ac:dyDescent="0.2">
      <c r="B32" s="33" t="s">
        <v>12</v>
      </c>
      <c r="C32" s="32">
        <f t="shared" ref="C32:Y32" si="6">MAX(C9:C30)</f>
        <v>2026</v>
      </c>
      <c r="D32" s="31">
        <f t="shared" si="6"/>
        <v>2027</v>
      </c>
      <c r="E32" s="30">
        <f t="shared" si="6"/>
        <v>2026.5</v>
      </c>
      <c r="F32" s="32">
        <f t="shared" si="6"/>
        <v>2026</v>
      </c>
      <c r="G32" s="31">
        <f t="shared" si="6"/>
        <v>2027</v>
      </c>
      <c r="H32" s="30">
        <f t="shared" si="6"/>
        <v>2026.5</v>
      </c>
      <c r="I32" s="32">
        <f t="shared" si="6"/>
        <v>2053</v>
      </c>
      <c r="J32" s="31">
        <f t="shared" si="6"/>
        <v>2058</v>
      </c>
      <c r="K32" s="30">
        <f t="shared" si="6"/>
        <v>2055.5</v>
      </c>
      <c r="L32" s="32">
        <f t="shared" si="6"/>
        <v>2070</v>
      </c>
      <c r="M32" s="31">
        <f t="shared" si="6"/>
        <v>2075</v>
      </c>
      <c r="N32" s="30">
        <f t="shared" si="6"/>
        <v>2072.5</v>
      </c>
      <c r="O32" s="32">
        <f t="shared" si="6"/>
        <v>2085</v>
      </c>
      <c r="P32" s="31">
        <f t="shared" si="6"/>
        <v>2090</v>
      </c>
      <c r="Q32" s="30">
        <f t="shared" si="6"/>
        <v>2087.5</v>
      </c>
      <c r="R32" s="29">
        <f t="shared" si="6"/>
        <v>2027</v>
      </c>
      <c r="S32" s="28">
        <f t="shared" si="6"/>
        <v>1.3197000000000001</v>
      </c>
      <c r="T32" s="27">
        <f t="shared" si="6"/>
        <v>1.1198999999999999</v>
      </c>
      <c r="U32" s="26">
        <f t="shared" si="6"/>
        <v>110.19</v>
      </c>
      <c r="V32" s="25">
        <f t="shared" si="6"/>
        <v>1551.35</v>
      </c>
      <c r="W32" s="25">
        <f t="shared" si="6"/>
        <v>1546.97</v>
      </c>
      <c r="X32" s="25">
        <f t="shared" si="6"/>
        <v>1815.4948499776085</v>
      </c>
      <c r="Y32" s="24">
        <f t="shared" si="6"/>
        <v>1.323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1835</v>
      </c>
      <c r="D33" s="21">
        <f t="shared" si="7"/>
        <v>1836</v>
      </c>
      <c r="E33" s="20">
        <f t="shared" si="7"/>
        <v>1835.5</v>
      </c>
      <c r="F33" s="22">
        <f t="shared" si="7"/>
        <v>1825</v>
      </c>
      <c r="G33" s="21">
        <f t="shared" si="7"/>
        <v>1827</v>
      </c>
      <c r="H33" s="20">
        <f t="shared" si="7"/>
        <v>1826</v>
      </c>
      <c r="I33" s="22">
        <f t="shared" si="7"/>
        <v>1850</v>
      </c>
      <c r="J33" s="21">
        <f t="shared" si="7"/>
        <v>1855</v>
      </c>
      <c r="K33" s="20">
        <f t="shared" si="7"/>
        <v>1852.5</v>
      </c>
      <c r="L33" s="22">
        <f t="shared" si="7"/>
        <v>1868</v>
      </c>
      <c r="M33" s="21">
        <f t="shared" si="7"/>
        <v>1873</v>
      </c>
      <c r="N33" s="20">
        <f t="shared" si="7"/>
        <v>1870.5</v>
      </c>
      <c r="O33" s="22">
        <f t="shared" si="7"/>
        <v>1883</v>
      </c>
      <c r="P33" s="21">
        <f t="shared" si="7"/>
        <v>1888</v>
      </c>
      <c r="Q33" s="20">
        <f t="shared" si="7"/>
        <v>1885.5</v>
      </c>
      <c r="R33" s="19">
        <f t="shared" si="7"/>
        <v>1836</v>
      </c>
      <c r="S33" s="18">
        <f t="shared" si="7"/>
        <v>1.2975000000000001</v>
      </c>
      <c r="T33" s="17">
        <f t="shared" si="7"/>
        <v>1.0998000000000001</v>
      </c>
      <c r="U33" s="16">
        <f t="shared" si="7"/>
        <v>108.07</v>
      </c>
      <c r="V33" s="15">
        <f t="shared" si="7"/>
        <v>1402.7</v>
      </c>
      <c r="W33" s="15">
        <f t="shared" si="7"/>
        <v>1392.42</v>
      </c>
      <c r="X33" s="15">
        <f t="shared" si="7"/>
        <v>1665.4571843251088</v>
      </c>
      <c r="Y33" s="14">
        <f t="shared" si="7"/>
        <v>1.2990999999999999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43832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43832</v>
      </c>
      <c r="C9" s="46">
        <v>17125</v>
      </c>
      <c r="D9" s="45">
        <v>17150</v>
      </c>
      <c r="E9" s="44">
        <f t="shared" ref="E9:E30" si="0">AVERAGE(C9:D9)</f>
        <v>17137.5</v>
      </c>
      <c r="F9" s="46">
        <v>17100</v>
      </c>
      <c r="G9" s="45">
        <v>17125</v>
      </c>
      <c r="H9" s="44">
        <f t="shared" ref="H9:H30" si="1">AVERAGE(F9:G9)</f>
        <v>17112.5</v>
      </c>
      <c r="I9" s="46">
        <v>16990</v>
      </c>
      <c r="J9" s="45">
        <v>17040</v>
      </c>
      <c r="K9" s="44">
        <f t="shared" ref="K9:K30" si="2">AVERAGE(I9:J9)</f>
        <v>17015</v>
      </c>
      <c r="L9" s="52">
        <v>17150</v>
      </c>
      <c r="M9" s="51">
        <v>1.3197000000000001</v>
      </c>
      <c r="N9" s="53">
        <v>1.1193</v>
      </c>
      <c r="O9" s="50">
        <v>108.79</v>
      </c>
      <c r="P9" s="43">
        <v>12995.38</v>
      </c>
      <c r="Q9" s="43">
        <v>12944.07</v>
      </c>
      <c r="R9" s="49">
        <f t="shared" ref="R9:R30" si="3">L9/N9</f>
        <v>15322.076297686055</v>
      </c>
      <c r="S9" s="48">
        <v>1.323</v>
      </c>
    </row>
    <row r="10" spans="1:19" x14ac:dyDescent="0.2">
      <c r="B10" s="47">
        <v>43833</v>
      </c>
      <c r="C10" s="46">
        <v>16725</v>
      </c>
      <c r="D10" s="45">
        <v>16750</v>
      </c>
      <c r="E10" s="44">
        <f t="shared" si="0"/>
        <v>16737.5</v>
      </c>
      <c r="F10" s="46">
        <v>16750</v>
      </c>
      <c r="G10" s="45">
        <v>16800</v>
      </c>
      <c r="H10" s="44">
        <f t="shared" si="1"/>
        <v>16775</v>
      </c>
      <c r="I10" s="46">
        <v>16650</v>
      </c>
      <c r="J10" s="45">
        <v>16700</v>
      </c>
      <c r="K10" s="44">
        <f t="shared" si="2"/>
        <v>16675</v>
      </c>
      <c r="L10" s="52">
        <v>16750</v>
      </c>
      <c r="M10" s="51">
        <v>1.3081</v>
      </c>
      <c r="N10" s="51">
        <v>1.1138999999999999</v>
      </c>
      <c r="O10" s="50">
        <v>108.07</v>
      </c>
      <c r="P10" s="43">
        <v>12804.83</v>
      </c>
      <c r="Q10" s="43">
        <v>12810.74</v>
      </c>
      <c r="R10" s="49">
        <f t="shared" si="3"/>
        <v>15037.25648621959</v>
      </c>
      <c r="S10" s="48">
        <v>1.3113999999999999</v>
      </c>
    </row>
    <row r="11" spans="1:19" x14ac:dyDescent="0.2">
      <c r="B11" s="47">
        <v>43836</v>
      </c>
      <c r="C11" s="46">
        <v>16850</v>
      </c>
      <c r="D11" s="45">
        <v>16875</v>
      </c>
      <c r="E11" s="44">
        <f t="shared" si="0"/>
        <v>16862.5</v>
      </c>
      <c r="F11" s="46">
        <v>16825</v>
      </c>
      <c r="G11" s="45">
        <v>16850</v>
      </c>
      <c r="H11" s="44">
        <f t="shared" si="1"/>
        <v>16837.5</v>
      </c>
      <c r="I11" s="46">
        <v>16710</v>
      </c>
      <c r="J11" s="45">
        <v>16760</v>
      </c>
      <c r="K11" s="44">
        <f t="shared" si="2"/>
        <v>16735</v>
      </c>
      <c r="L11" s="52">
        <v>16875</v>
      </c>
      <c r="M11" s="51">
        <v>1.3140000000000001</v>
      </c>
      <c r="N11" s="51">
        <v>1.1198999999999999</v>
      </c>
      <c r="O11" s="50">
        <v>108.16</v>
      </c>
      <c r="P11" s="43">
        <v>12842.47</v>
      </c>
      <c r="Q11" s="43">
        <v>12791.32</v>
      </c>
      <c r="R11" s="49">
        <f t="shared" si="3"/>
        <v>15068.309670506296</v>
      </c>
      <c r="S11" s="48">
        <v>1.3172999999999999</v>
      </c>
    </row>
    <row r="12" spans="1:19" x14ac:dyDescent="0.2">
      <c r="B12" s="47">
        <v>43837</v>
      </c>
      <c r="C12" s="46">
        <v>16925</v>
      </c>
      <c r="D12" s="45">
        <v>16940</v>
      </c>
      <c r="E12" s="44">
        <f t="shared" si="0"/>
        <v>16932.5</v>
      </c>
      <c r="F12" s="46">
        <v>16925</v>
      </c>
      <c r="G12" s="45">
        <v>16950</v>
      </c>
      <c r="H12" s="44">
        <f t="shared" si="1"/>
        <v>16937.5</v>
      </c>
      <c r="I12" s="46">
        <v>16810</v>
      </c>
      <c r="J12" s="45">
        <v>16860</v>
      </c>
      <c r="K12" s="44">
        <f t="shared" si="2"/>
        <v>16835</v>
      </c>
      <c r="L12" s="52">
        <v>16940</v>
      </c>
      <c r="M12" s="51">
        <v>1.3121</v>
      </c>
      <c r="N12" s="51">
        <v>1.1174999999999999</v>
      </c>
      <c r="O12" s="50">
        <v>108.43</v>
      </c>
      <c r="P12" s="43">
        <v>12910.6</v>
      </c>
      <c r="Q12" s="43">
        <v>12918.22</v>
      </c>
      <c r="R12" s="49">
        <f t="shared" si="3"/>
        <v>15158.836689038033</v>
      </c>
      <c r="S12" s="48">
        <v>1.3121</v>
      </c>
    </row>
    <row r="13" spans="1:19" x14ac:dyDescent="0.2">
      <c r="B13" s="47">
        <v>43838</v>
      </c>
      <c r="C13" s="46">
        <v>16950</v>
      </c>
      <c r="D13" s="45">
        <v>16975</v>
      </c>
      <c r="E13" s="44">
        <f t="shared" si="0"/>
        <v>16962.5</v>
      </c>
      <c r="F13" s="46">
        <v>16950</v>
      </c>
      <c r="G13" s="45">
        <v>16975</v>
      </c>
      <c r="H13" s="44">
        <f t="shared" si="1"/>
        <v>16962.5</v>
      </c>
      <c r="I13" s="46">
        <v>16835</v>
      </c>
      <c r="J13" s="45">
        <v>16885</v>
      </c>
      <c r="K13" s="44">
        <f t="shared" si="2"/>
        <v>16860</v>
      </c>
      <c r="L13" s="52">
        <v>16975</v>
      </c>
      <c r="M13" s="51">
        <v>1.3093999999999999</v>
      </c>
      <c r="N13" s="51">
        <v>1.1115999999999999</v>
      </c>
      <c r="O13" s="50">
        <v>108.77</v>
      </c>
      <c r="P13" s="43">
        <v>12963.95</v>
      </c>
      <c r="Q13" s="43">
        <v>12930.38</v>
      </c>
      <c r="R13" s="49">
        <f t="shared" si="3"/>
        <v>15270.780856423175</v>
      </c>
      <c r="S13" s="48">
        <v>1.3128</v>
      </c>
    </row>
    <row r="14" spans="1:19" x14ac:dyDescent="0.2">
      <c r="B14" s="47">
        <v>43839</v>
      </c>
      <c r="C14" s="46">
        <v>17225</v>
      </c>
      <c r="D14" s="45">
        <v>17250</v>
      </c>
      <c r="E14" s="44">
        <f t="shared" si="0"/>
        <v>17237.5</v>
      </c>
      <c r="F14" s="46">
        <v>17225</v>
      </c>
      <c r="G14" s="45">
        <v>17275</v>
      </c>
      <c r="H14" s="44">
        <f t="shared" si="1"/>
        <v>17250</v>
      </c>
      <c r="I14" s="46">
        <v>17125</v>
      </c>
      <c r="J14" s="45">
        <v>17175</v>
      </c>
      <c r="K14" s="44">
        <f t="shared" si="2"/>
        <v>17150</v>
      </c>
      <c r="L14" s="52">
        <v>17250</v>
      </c>
      <c r="M14" s="51">
        <v>1.3038000000000001</v>
      </c>
      <c r="N14" s="51">
        <v>1.1113999999999999</v>
      </c>
      <c r="O14" s="50">
        <v>109.36</v>
      </c>
      <c r="P14" s="43">
        <v>13230.56</v>
      </c>
      <c r="Q14" s="43">
        <v>13215.27</v>
      </c>
      <c r="R14" s="49">
        <f t="shared" si="3"/>
        <v>15520.964549217204</v>
      </c>
      <c r="S14" s="48">
        <v>1.3071999999999999</v>
      </c>
    </row>
    <row r="15" spans="1:19" x14ac:dyDescent="0.2">
      <c r="B15" s="47">
        <v>43840</v>
      </c>
      <c r="C15" s="46">
        <v>17250</v>
      </c>
      <c r="D15" s="45">
        <v>17275</v>
      </c>
      <c r="E15" s="44">
        <f t="shared" si="0"/>
        <v>17262.5</v>
      </c>
      <c r="F15" s="46">
        <v>17250</v>
      </c>
      <c r="G15" s="45">
        <v>17275</v>
      </c>
      <c r="H15" s="44">
        <f t="shared" si="1"/>
        <v>17262.5</v>
      </c>
      <c r="I15" s="46">
        <v>17140</v>
      </c>
      <c r="J15" s="45">
        <v>17190</v>
      </c>
      <c r="K15" s="44">
        <f t="shared" si="2"/>
        <v>17165</v>
      </c>
      <c r="L15" s="52">
        <v>17275</v>
      </c>
      <c r="M15" s="51">
        <v>1.3085</v>
      </c>
      <c r="N15" s="51">
        <v>1.1099000000000001</v>
      </c>
      <c r="O15" s="50">
        <v>109.64</v>
      </c>
      <c r="P15" s="43">
        <v>13202.14</v>
      </c>
      <c r="Q15" s="43">
        <v>13167.92</v>
      </c>
      <c r="R15" s="49">
        <f t="shared" si="3"/>
        <v>15564.465267141182</v>
      </c>
      <c r="S15" s="48">
        <v>1.3119000000000001</v>
      </c>
    </row>
    <row r="16" spans="1:19" x14ac:dyDescent="0.2">
      <c r="B16" s="47">
        <v>43843</v>
      </c>
      <c r="C16" s="46">
        <v>17250</v>
      </c>
      <c r="D16" s="45">
        <v>17275</v>
      </c>
      <c r="E16" s="44">
        <f t="shared" si="0"/>
        <v>17262.5</v>
      </c>
      <c r="F16" s="46">
        <v>17250</v>
      </c>
      <c r="G16" s="45">
        <v>17255</v>
      </c>
      <c r="H16" s="44">
        <f t="shared" si="1"/>
        <v>17252.5</v>
      </c>
      <c r="I16" s="46">
        <v>17125</v>
      </c>
      <c r="J16" s="45">
        <v>17175</v>
      </c>
      <c r="K16" s="44">
        <f t="shared" si="2"/>
        <v>17150</v>
      </c>
      <c r="L16" s="52">
        <v>17275</v>
      </c>
      <c r="M16" s="51">
        <v>1.2976000000000001</v>
      </c>
      <c r="N16" s="51">
        <v>1.1125</v>
      </c>
      <c r="O16" s="50">
        <v>109.9</v>
      </c>
      <c r="P16" s="43">
        <v>13313.04</v>
      </c>
      <c r="Q16" s="43">
        <v>13260.84</v>
      </c>
      <c r="R16" s="49">
        <f t="shared" si="3"/>
        <v>15528.089887640448</v>
      </c>
      <c r="S16" s="48">
        <v>1.3011999999999999</v>
      </c>
    </row>
    <row r="17" spans="2:19" x14ac:dyDescent="0.2">
      <c r="B17" s="47">
        <v>43844</v>
      </c>
      <c r="C17" s="46">
        <v>17315</v>
      </c>
      <c r="D17" s="45">
        <v>17320</v>
      </c>
      <c r="E17" s="44">
        <f t="shared" si="0"/>
        <v>17317.5</v>
      </c>
      <c r="F17" s="46">
        <v>17315</v>
      </c>
      <c r="G17" s="45">
        <v>17335</v>
      </c>
      <c r="H17" s="44">
        <f t="shared" si="1"/>
        <v>17325</v>
      </c>
      <c r="I17" s="46">
        <v>17195</v>
      </c>
      <c r="J17" s="45">
        <v>17245</v>
      </c>
      <c r="K17" s="44">
        <f t="shared" si="2"/>
        <v>17220</v>
      </c>
      <c r="L17" s="52">
        <v>17320</v>
      </c>
      <c r="M17" s="51">
        <v>1.2975000000000001</v>
      </c>
      <c r="N17" s="51">
        <v>1.1120000000000001</v>
      </c>
      <c r="O17" s="50">
        <v>110.07</v>
      </c>
      <c r="P17" s="43">
        <v>13348.75</v>
      </c>
      <c r="Q17" s="43">
        <v>13323.34</v>
      </c>
      <c r="R17" s="49">
        <f t="shared" si="3"/>
        <v>15575.539568345323</v>
      </c>
      <c r="S17" s="48">
        <v>1.3010999999999999</v>
      </c>
    </row>
    <row r="18" spans="2:19" x14ac:dyDescent="0.2">
      <c r="B18" s="47">
        <v>43845</v>
      </c>
      <c r="C18" s="46">
        <v>17425</v>
      </c>
      <c r="D18" s="45">
        <v>17430</v>
      </c>
      <c r="E18" s="44">
        <f t="shared" si="0"/>
        <v>17427.5</v>
      </c>
      <c r="F18" s="46">
        <v>17450</v>
      </c>
      <c r="G18" s="45">
        <v>17475</v>
      </c>
      <c r="H18" s="44">
        <f t="shared" si="1"/>
        <v>17462.5</v>
      </c>
      <c r="I18" s="46">
        <v>17335</v>
      </c>
      <c r="J18" s="45">
        <v>17385</v>
      </c>
      <c r="K18" s="44">
        <f t="shared" si="2"/>
        <v>17360</v>
      </c>
      <c r="L18" s="52">
        <v>17430</v>
      </c>
      <c r="M18" s="51">
        <v>1.3007</v>
      </c>
      <c r="N18" s="51">
        <v>1.1141000000000001</v>
      </c>
      <c r="O18" s="50">
        <v>109.87</v>
      </c>
      <c r="P18" s="43">
        <v>13400.48</v>
      </c>
      <c r="Q18" s="43">
        <v>13396.96</v>
      </c>
      <c r="R18" s="49">
        <f t="shared" si="3"/>
        <v>15644.915178170719</v>
      </c>
      <c r="S18" s="48">
        <v>1.3044</v>
      </c>
    </row>
    <row r="19" spans="2:19" x14ac:dyDescent="0.2">
      <c r="B19" s="47">
        <v>43846</v>
      </c>
      <c r="C19" s="46">
        <v>17695</v>
      </c>
      <c r="D19" s="45">
        <v>17705</v>
      </c>
      <c r="E19" s="44">
        <f t="shared" si="0"/>
        <v>17700</v>
      </c>
      <c r="F19" s="46">
        <v>17625</v>
      </c>
      <c r="G19" s="45">
        <v>17675</v>
      </c>
      <c r="H19" s="44">
        <f t="shared" si="1"/>
        <v>17650</v>
      </c>
      <c r="I19" s="46">
        <v>17525</v>
      </c>
      <c r="J19" s="45">
        <v>17575</v>
      </c>
      <c r="K19" s="44">
        <f t="shared" si="2"/>
        <v>17550</v>
      </c>
      <c r="L19" s="52">
        <v>17705</v>
      </c>
      <c r="M19" s="51">
        <v>1.3066</v>
      </c>
      <c r="N19" s="51">
        <v>1.1165</v>
      </c>
      <c r="O19" s="50">
        <v>109.98</v>
      </c>
      <c r="P19" s="43">
        <v>13550.44</v>
      </c>
      <c r="Q19" s="43">
        <v>13489.28</v>
      </c>
      <c r="R19" s="49">
        <f t="shared" si="3"/>
        <v>15857.590685176892</v>
      </c>
      <c r="S19" s="48">
        <v>1.3103</v>
      </c>
    </row>
    <row r="20" spans="2:19" x14ac:dyDescent="0.2">
      <c r="B20" s="47">
        <v>43847</v>
      </c>
      <c r="C20" s="46">
        <v>17750</v>
      </c>
      <c r="D20" s="45">
        <v>17775</v>
      </c>
      <c r="E20" s="44">
        <f t="shared" si="0"/>
        <v>17762.5</v>
      </c>
      <c r="F20" s="46">
        <v>17730</v>
      </c>
      <c r="G20" s="45">
        <v>17735</v>
      </c>
      <c r="H20" s="44">
        <f t="shared" si="1"/>
        <v>17732.5</v>
      </c>
      <c r="I20" s="46">
        <v>17610</v>
      </c>
      <c r="J20" s="45">
        <v>17660</v>
      </c>
      <c r="K20" s="44">
        <f t="shared" si="2"/>
        <v>17635</v>
      </c>
      <c r="L20" s="52">
        <v>17775</v>
      </c>
      <c r="M20" s="51">
        <v>1.3051999999999999</v>
      </c>
      <c r="N20" s="51">
        <v>1.111</v>
      </c>
      <c r="O20" s="50">
        <v>110.11</v>
      </c>
      <c r="P20" s="43">
        <v>13618.6</v>
      </c>
      <c r="Q20" s="43">
        <v>13549.55</v>
      </c>
      <c r="R20" s="49">
        <f t="shared" si="3"/>
        <v>15999.099909990999</v>
      </c>
      <c r="S20" s="48">
        <v>1.3089</v>
      </c>
    </row>
    <row r="21" spans="2:19" x14ac:dyDescent="0.2">
      <c r="B21" s="47">
        <v>43850</v>
      </c>
      <c r="C21" s="46">
        <v>17750</v>
      </c>
      <c r="D21" s="45">
        <v>17775</v>
      </c>
      <c r="E21" s="44">
        <f t="shared" si="0"/>
        <v>17762.5</v>
      </c>
      <c r="F21" s="46">
        <v>17775</v>
      </c>
      <c r="G21" s="45">
        <v>17825</v>
      </c>
      <c r="H21" s="44">
        <f t="shared" si="1"/>
        <v>17800</v>
      </c>
      <c r="I21" s="46">
        <v>17685</v>
      </c>
      <c r="J21" s="45">
        <v>17735</v>
      </c>
      <c r="K21" s="44">
        <f t="shared" si="2"/>
        <v>17710</v>
      </c>
      <c r="L21" s="52">
        <v>17775</v>
      </c>
      <c r="M21" s="51">
        <v>1.2990999999999999</v>
      </c>
      <c r="N21" s="51">
        <v>1.1084000000000001</v>
      </c>
      <c r="O21" s="50">
        <v>110.19</v>
      </c>
      <c r="P21" s="43">
        <v>13682.55</v>
      </c>
      <c r="Q21" s="43">
        <v>13721.04</v>
      </c>
      <c r="R21" s="49">
        <f t="shared" si="3"/>
        <v>16036.62937567665</v>
      </c>
      <c r="S21" s="48">
        <v>1.2990999999999999</v>
      </c>
    </row>
    <row r="22" spans="2:19" x14ac:dyDescent="0.2">
      <c r="B22" s="47">
        <v>43851</v>
      </c>
      <c r="C22" s="46">
        <v>17670</v>
      </c>
      <c r="D22" s="45">
        <v>17675</v>
      </c>
      <c r="E22" s="44">
        <f t="shared" si="0"/>
        <v>17672.5</v>
      </c>
      <c r="F22" s="46">
        <v>17675</v>
      </c>
      <c r="G22" s="45">
        <v>17680</v>
      </c>
      <c r="H22" s="44">
        <f t="shared" si="1"/>
        <v>17677.5</v>
      </c>
      <c r="I22" s="46">
        <v>17560</v>
      </c>
      <c r="J22" s="45">
        <v>17610</v>
      </c>
      <c r="K22" s="44">
        <f t="shared" si="2"/>
        <v>17585</v>
      </c>
      <c r="L22" s="52">
        <v>17675</v>
      </c>
      <c r="M22" s="51">
        <v>1.3048999999999999</v>
      </c>
      <c r="N22" s="51">
        <v>1.1109</v>
      </c>
      <c r="O22" s="50">
        <v>110.05</v>
      </c>
      <c r="P22" s="43">
        <v>13545.1</v>
      </c>
      <c r="Q22" s="43">
        <v>13510.62</v>
      </c>
      <c r="R22" s="49">
        <f t="shared" si="3"/>
        <v>15910.522999369879</v>
      </c>
      <c r="S22" s="48">
        <v>1.3086</v>
      </c>
    </row>
    <row r="23" spans="2:19" x14ac:dyDescent="0.2">
      <c r="B23" s="47">
        <v>43852</v>
      </c>
      <c r="C23" s="46">
        <v>17550</v>
      </c>
      <c r="D23" s="45">
        <v>17575</v>
      </c>
      <c r="E23" s="44">
        <f t="shared" si="0"/>
        <v>17562.5</v>
      </c>
      <c r="F23" s="46">
        <v>17575</v>
      </c>
      <c r="G23" s="45">
        <v>17600</v>
      </c>
      <c r="H23" s="44">
        <f t="shared" si="1"/>
        <v>17587.5</v>
      </c>
      <c r="I23" s="46">
        <v>17475</v>
      </c>
      <c r="J23" s="45">
        <v>17525</v>
      </c>
      <c r="K23" s="44">
        <f t="shared" si="2"/>
        <v>17500</v>
      </c>
      <c r="L23" s="52">
        <v>17575</v>
      </c>
      <c r="M23" s="51">
        <v>1.3121</v>
      </c>
      <c r="N23" s="51">
        <v>1.1083000000000001</v>
      </c>
      <c r="O23" s="50">
        <v>109.98</v>
      </c>
      <c r="P23" s="43">
        <v>13394.56</v>
      </c>
      <c r="Q23" s="43">
        <v>13375.89</v>
      </c>
      <c r="R23" s="49">
        <f t="shared" si="3"/>
        <v>15857.619778038435</v>
      </c>
      <c r="S23" s="48">
        <v>1.3158000000000001</v>
      </c>
    </row>
    <row r="24" spans="2:19" x14ac:dyDescent="0.2">
      <c r="B24" s="47">
        <v>43853</v>
      </c>
      <c r="C24" s="46">
        <v>17125</v>
      </c>
      <c r="D24" s="45">
        <v>17135</v>
      </c>
      <c r="E24" s="44">
        <f t="shared" si="0"/>
        <v>17130</v>
      </c>
      <c r="F24" s="46">
        <v>17150</v>
      </c>
      <c r="G24" s="45">
        <v>17200</v>
      </c>
      <c r="H24" s="44">
        <f t="shared" si="1"/>
        <v>17175</v>
      </c>
      <c r="I24" s="46">
        <v>17060</v>
      </c>
      <c r="J24" s="45">
        <v>17110</v>
      </c>
      <c r="K24" s="44">
        <f t="shared" si="2"/>
        <v>17085</v>
      </c>
      <c r="L24" s="52">
        <v>17135</v>
      </c>
      <c r="M24" s="51">
        <v>1.3124</v>
      </c>
      <c r="N24" s="51">
        <v>1.1085</v>
      </c>
      <c r="O24" s="50">
        <v>109.6</v>
      </c>
      <c r="P24" s="43">
        <v>13056.23</v>
      </c>
      <c r="Q24" s="43">
        <v>13068.92</v>
      </c>
      <c r="R24" s="49">
        <f t="shared" si="3"/>
        <v>15457.825890843482</v>
      </c>
      <c r="S24" s="48">
        <v>1.3161</v>
      </c>
    </row>
    <row r="25" spans="2:19" x14ac:dyDescent="0.2">
      <c r="B25" s="47">
        <v>43854</v>
      </c>
      <c r="C25" s="46">
        <v>16895</v>
      </c>
      <c r="D25" s="45">
        <v>16900</v>
      </c>
      <c r="E25" s="44">
        <f t="shared" si="0"/>
        <v>16897.5</v>
      </c>
      <c r="F25" s="46">
        <v>16900</v>
      </c>
      <c r="G25" s="45">
        <v>16925</v>
      </c>
      <c r="H25" s="44">
        <f t="shared" si="1"/>
        <v>16912.5</v>
      </c>
      <c r="I25" s="46">
        <v>16805</v>
      </c>
      <c r="J25" s="45">
        <v>16855</v>
      </c>
      <c r="K25" s="44">
        <f t="shared" si="2"/>
        <v>16830</v>
      </c>
      <c r="L25" s="52">
        <v>16900</v>
      </c>
      <c r="M25" s="51">
        <v>1.3083</v>
      </c>
      <c r="N25" s="51">
        <v>1.1028</v>
      </c>
      <c r="O25" s="50">
        <v>109.62</v>
      </c>
      <c r="P25" s="43">
        <v>12917.53</v>
      </c>
      <c r="Q25" s="43">
        <v>12900.15</v>
      </c>
      <c r="R25" s="49">
        <f t="shared" si="3"/>
        <v>15324.628219078708</v>
      </c>
      <c r="S25" s="48">
        <v>1.3120000000000001</v>
      </c>
    </row>
    <row r="26" spans="2:19" x14ac:dyDescent="0.2">
      <c r="B26" s="47">
        <v>43857</v>
      </c>
      <c r="C26" s="46">
        <v>16560</v>
      </c>
      <c r="D26" s="45">
        <v>16565</v>
      </c>
      <c r="E26" s="44">
        <f t="shared" si="0"/>
        <v>16562.5</v>
      </c>
      <c r="F26" s="46">
        <v>16575</v>
      </c>
      <c r="G26" s="45">
        <v>16600</v>
      </c>
      <c r="H26" s="44">
        <f t="shared" si="1"/>
        <v>16587.5</v>
      </c>
      <c r="I26" s="46">
        <v>16475</v>
      </c>
      <c r="J26" s="45">
        <v>16525</v>
      </c>
      <c r="K26" s="44">
        <f t="shared" si="2"/>
        <v>16500</v>
      </c>
      <c r="L26" s="52">
        <v>16565</v>
      </c>
      <c r="M26" s="51">
        <v>1.3068</v>
      </c>
      <c r="N26" s="51">
        <v>1.1023000000000001</v>
      </c>
      <c r="O26" s="50">
        <v>108.96</v>
      </c>
      <c r="P26" s="43">
        <v>12676</v>
      </c>
      <c r="Q26" s="43">
        <v>12666.92</v>
      </c>
      <c r="R26" s="49">
        <f t="shared" si="3"/>
        <v>15027.669418488615</v>
      </c>
      <c r="S26" s="48">
        <v>1.3105</v>
      </c>
    </row>
    <row r="27" spans="2:19" x14ac:dyDescent="0.2">
      <c r="B27" s="47">
        <v>43858</v>
      </c>
      <c r="C27" s="46">
        <v>16340</v>
      </c>
      <c r="D27" s="45">
        <v>16345</v>
      </c>
      <c r="E27" s="44">
        <f t="shared" si="0"/>
        <v>16342.5</v>
      </c>
      <c r="F27" s="46">
        <v>16300</v>
      </c>
      <c r="G27" s="45">
        <v>16350</v>
      </c>
      <c r="H27" s="44">
        <f t="shared" si="1"/>
        <v>16325</v>
      </c>
      <c r="I27" s="46">
        <v>16210</v>
      </c>
      <c r="J27" s="45">
        <v>16260</v>
      </c>
      <c r="K27" s="44">
        <f t="shared" si="2"/>
        <v>16235</v>
      </c>
      <c r="L27" s="52">
        <v>16345</v>
      </c>
      <c r="M27" s="51">
        <v>1.3011999999999999</v>
      </c>
      <c r="N27" s="51">
        <v>1.1007</v>
      </c>
      <c r="O27" s="50">
        <v>109.06</v>
      </c>
      <c r="P27" s="43">
        <v>12561.48</v>
      </c>
      <c r="Q27" s="43">
        <v>12529.7</v>
      </c>
      <c r="R27" s="49">
        <f t="shared" si="3"/>
        <v>14849.64113745798</v>
      </c>
      <c r="S27" s="48">
        <v>1.3048999999999999</v>
      </c>
    </row>
    <row r="28" spans="2:19" x14ac:dyDescent="0.2">
      <c r="B28" s="47">
        <v>43859</v>
      </c>
      <c r="C28" s="46">
        <v>16300</v>
      </c>
      <c r="D28" s="45">
        <v>16325</v>
      </c>
      <c r="E28" s="44">
        <f t="shared" si="0"/>
        <v>16312.5</v>
      </c>
      <c r="F28" s="46">
        <v>16275</v>
      </c>
      <c r="G28" s="45">
        <v>16300</v>
      </c>
      <c r="H28" s="44">
        <f t="shared" si="1"/>
        <v>16287.5</v>
      </c>
      <c r="I28" s="46">
        <v>16170</v>
      </c>
      <c r="J28" s="45">
        <v>16220</v>
      </c>
      <c r="K28" s="44">
        <f t="shared" si="2"/>
        <v>16195</v>
      </c>
      <c r="L28" s="52">
        <v>16325</v>
      </c>
      <c r="M28" s="51">
        <v>1.3008999999999999</v>
      </c>
      <c r="N28" s="51">
        <v>1.0998000000000001</v>
      </c>
      <c r="O28" s="50">
        <v>109.12</v>
      </c>
      <c r="P28" s="43">
        <v>12549</v>
      </c>
      <c r="Q28" s="43">
        <v>12495.21</v>
      </c>
      <c r="R28" s="49">
        <f t="shared" si="3"/>
        <v>14843.607928714309</v>
      </c>
      <c r="S28" s="48">
        <v>1.3045</v>
      </c>
    </row>
    <row r="29" spans="2:19" x14ac:dyDescent="0.2">
      <c r="B29" s="47">
        <v>43860</v>
      </c>
      <c r="C29" s="46">
        <v>16250</v>
      </c>
      <c r="D29" s="45">
        <v>16275</v>
      </c>
      <c r="E29" s="44">
        <f t="shared" si="0"/>
        <v>16262.5</v>
      </c>
      <c r="F29" s="46">
        <v>16190</v>
      </c>
      <c r="G29" s="45">
        <v>16200</v>
      </c>
      <c r="H29" s="44">
        <f t="shared" si="1"/>
        <v>16195</v>
      </c>
      <c r="I29" s="46">
        <v>16075</v>
      </c>
      <c r="J29" s="45">
        <v>16125</v>
      </c>
      <c r="K29" s="44">
        <f t="shared" si="2"/>
        <v>16100</v>
      </c>
      <c r="L29" s="52">
        <v>16275</v>
      </c>
      <c r="M29" s="51">
        <v>1.3089</v>
      </c>
      <c r="N29" s="51">
        <v>1.1024</v>
      </c>
      <c r="O29" s="50">
        <v>108.78</v>
      </c>
      <c r="P29" s="43">
        <v>12434.1</v>
      </c>
      <c r="Q29" s="43">
        <v>12346.62</v>
      </c>
      <c r="R29" s="49">
        <f t="shared" si="3"/>
        <v>14763.243831640057</v>
      </c>
      <c r="S29" s="48">
        <v>1.3121</v>
      </c>
    </row>
    <row r="30" spans="2:19" x14ac:dyDescent="0.2">
      <c r="B30" s="47">
        <v>43861</v>
      </c>
      <c r="C30" s="46">
        <v>16225</v>
      </c>
      <c r="D30" s="45">
        <v>16275</v>
      </c>
      <c r="E30" s="44">
        <f t="shared" si="0"/>
        <v>16250</v>
      </c>
      <c r="F30" s="46">
        <v>16150</v>
      </c>
      <c r="G30" s="45">
        <v>16175</v>
      </c>
      <c r="H30" s="44">
        <f t="shared" si="1"/>
        <v>16162.5</v>
      </c>
      <c r="I30" s="46">
        <v>16045</v>
      </c>
      <c r="J30" s="45">
        <v>16095</v>
      </c>
      <c r="K30" s="44">
        <f t="shared" si="2"/>
        <v>16070</v>
      </c>
      <c r="L30" s="52">
        <v>16275</v>
      </c>
      <c r="M30" s="51">
        <v>1.3123</v>
      </c>
      <c r="N30" s="51">
        <v>1.1048</v>
      </c>
      <c r="O30" s="50">
        <v>108.97</v>
      </c>
      <c r="P30" s="43">
        <v>12401.89</v>
      </c>
      <c r="Q30" s="43">
        <v>12295.71</v>
      </c>
      <c r="R30" s="49">
        <f t="shared" si="3"/>
        <v>14731.173062997828</v>
      </c>
      <c r="S30" s="48">
        <v>1.3154999999999999</v>
      </c>
    </row>
    <row r="31" spans="2:19" s="10" customFormat="1" x14ac:dyDescent="0.2">
      <c r="B31" s="42" t="s">
        <v>11</v>
      </c>
      <c r="C31" s="41">
        <f>ROUND(AVERAGE(C9:C30),2)</f>
        <v>17052.27</v>
      </c>
      <c r="D31" s="40">
        <f>ROUND(AVERAGE(D9:D30),2)</f>
        <v>17071.14</v>
      </c>
      <c r="E31" s="39">
        <f>ROUND(AVERAGE(C31:D31),2)</f>
        <v>17061.71</v>
      </c>
      <c r="F31" s="41">
        <f>ROUND(AVERAGE(F9:F30),2)</f>
        <v>17043.64</v>
      </c>
      <c r="G31" s="40">
        <f>ROUND(AVERAGE(G9:G30),2)</f>
        <v>17071.82</v>
      </c>
      <c r="H31" s="39">
        <f>ROUND(AVERAGE(F31:G31),2)</f>
        <v>17057.73</v>
      </c>
      <c r="I31" s="41">
        <f>ROUND(AVERAGE(I9:I30),2)</f>
        <v>16936.82</v>
      </c>
      <c r="J31" s="40">
        <f>ROUND(AVERAGE(J9:J30),2)</f>
        <v>16986.82</v>
      </c>
      <c r="K31" s="39">
        <f>ROUND(AVERAGE(I31:J31),2)</f>
        <v>16961.82</v>
      </c>
      <c r="L31" s="38">
        <f>ROUND(AVERAGE(L9:L30),2)</f>
        <v>17071.14</v>
      </c>
      <c r="M31" s="37">
        <f>ROUND(AVERAGE(M9:M30),4)</f>
        <v>1.3068</v>
      </c>
      <c r="N31" s="36">
        <f>ROUND(AVERAGE(N9:N30),4)</f>
        <v>1.1099000000000001</v>
      </c>
      <c r="O31" s="175">
        <f>ROUND(AVERAGE(O9:O30),2)</f>
        <v>109.34</v>
      </c>
      <c r="P31" s="35">
        <f>AVERAGE(P9:P30)</f>
        <v>13063.621818181819</v>
      </c>
      <c r="Q31" s="35">
        <f>AVERAGE(Q9:Q30)</f>
        <v>13032.212272727274</v>
      </c>
      <c r="R31" s="35">
        <f>AVERAGE(R9:R30)</f>
        <v>15379.567576720992</v>
      </c>
      <c r="S31" s="34">
        <f>AVERAGE(S9:S30)</f>
        <v>1.310031818181818</v>
      </c>
    </row>
    <row r="32" spans="2:19" s="5" customFormat="1" x14ac:dyDescent="0.2">
      <c r="B32" s="33" t="s">
        <v>12</v>
      </c>
      <c r="C32" s="32">
        <f t="shared" ref="C32:S32" si="4">MAX(C9:C30)</f>
        <v>17750</v>
      </c>
      <c r="D32" s="31">
        <f t="shared" si="4"/>
        <v>17775</v>
      </c>
      <c r="E32" s="30">
        <f t="shared" si="4"/>
        <v>17762.5</v>
      </c>
      <c r="F32" s="32">
        <f t="shared" si="4"/>
        <v>17775</v>
      </c>
      <c r="G32" s="31">
        <f t="shared" si="4"/>
        <v>17825</v>
      </c>
      <c r="H32" s="30">
        <f t="shared" si="4"/>
        <v>17800</v>
      </c>
      <c r="I32" s="32">
        <f t="shared" si="4"/>
        <v>17685</v>
      </c>
      <c r="J32" s="31">
        <f t="shared" si="4"/>
        <v>17735</v>
      </c>
      <c r="K32" s="30">
        <f t="shared" si="4"/>
        <v>17710</v>
      </c>
      <c r="L32" s="29">
        <f t="shared" si="4"/>
        <v>17775</v>
      </c>
      <c r="M32" s="28">
        <f t="shared" si="4"/>
        <v>1.3197000000000001</v>
      </c>
      <c r="N32" s="27">
        <f t="shared" si="4"/>
        <v>1.1198999999999999</v>
      </c>
      <c r="O32" s="26">
        <f t="shared" si="4"/>
        <v>110.19</v>
      </c>
      <c r="P32" s="25">
        <f t="shared" si="4"/>
        <v>13682.55</v>
      </c>
      <c r="Q32" s="25">
        <f t="shared" si="4"/>
        <v>13721.04</v>
      </c>
      <c r="R32" s="25">
        <f t="shared" si="4"/>
        <v>16036.62937567665</v>
      </c>
      <c r="S32" s="24">
        <f t="shared" si="4"/>
        <v>1.323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16225</v>
      </c>
      <c r="D33" s="21">
        <f t="shared" si="5"/>
        <v>16275</v>
      </c>
      <c r="E33" s="20">
        <f t="shared" si="5"/>
        <v>16250</v>
      </c>
      <c r="F33" s="22">
        <f t="shared" si="5"/>
        <v>16150</v>
      </c>
      <c r="G33" s="21">
        <f t="shared" si="5"/>
        <v>16175</v>
      </c>
      <c r="H33" s="20">
        <f t="shared" si="5"/>
        <v>16162.5</v>
      </c>
      <c r="I33" s="22">
        <f t="shared" si="5"/>
        <v>16045</v>
      </c>
      <c r="J33" s="21">
        <f t="shared" si="5"/>
        <v>16095</v>
      </c>
      <c r="K33" s="20">
        <f t="shared" si="5"/>
        <v>16070</v>
      </c>
      <c r="L33" s="19">
        <f t="shared" si="5"/>
        <v>16275</v>
      </c>
      <c r="M33" s="18">
        <f t="shared" si="5"/>
        <v>1.2975000000000001</v>
      </c>
      <c r="N33" s="17">
        <f t="shared" si="5"/>
        <v>1.0998000000000001</v>
      </c>
      <c r="O33" s="16">
        <f t="shared" si="5"/>
        <v>108.07</v>
      </c>
      <c r="P33" s="15">
        <f t="shared" si="5"/>
        <v>12401.89</v>
      </c>
      <c r="Q33" s="15">
        <f t="shared" si="5"/>
        <v>12295.71</v>
      </c>
      <c r="R33" s="15">
        <f t="shared" si="5"/>
        <v>14731.173062997828</v>
      </c>
      <c r="S33" s="14">
        <f t="shared" si="5"/>
        <v>1.2990999999999999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43832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43832</v>
      </c>
      <c r="C9" s="46">
        <v>14070</v>
      </c>
      <c r="D9" s="45">
        <v>14075</v>
      </c>
      <c r="E9" s="44">
        <f t="shared" ref="E9:E30" si="0">AVERAGE(C9:D9)</f>
        <v>14072.5</v>
      </c>
      <c r="F9" s="46">
        <v>14155</v>
      </c>
      <c r="G9" s="45">
        <v>14165</v>
      </c>
      <c r="H9" s="44">
        <f t="shared" ref="H9:H30" si="1">AVERAGE(F9:G9)</f>
        <v>14160</v>
      </c>
      <c r="I9" s="46">
        <v>14560</v>
      </c>
      <c r="J9" s="45">
        <v>14610</v>
      </c>
      <c r="K9" s="44">
        <f t="shared" ref="K9:K30" si="2">AVERAGE(I9:J9)</f>
        <v>14585</v>
      </c>
      <c r="L9" s="46">
        <v>14845</v>
      </c>
      <c r="M9" s="45">
        <v>14895</v>
      </c>
      <c r="N9" s="44">
        <f t="shared" ref="N9:N30" si="3">AVERAGE(L9:M9)</f>
        <v>14870</v>
      </c>
      <c r="O9" s="46">
        <v>15135</v>
      </c>
      <c r="P9" s="45">
        <v>15185</v>
      </c>
      <c r="Q9" s="44">
        <f t="shared" ref="Q9:Q30" si="4">AVERAGE(O9:P9)</f>
        <v>15160</v>
      </c>
      <c r="R9" s="52">
        <v>14075</v>
      </c>
      <c r="S9" s="51">
        <v>1.3197000000000001</v>
      </c>
      <c r="T9" s="53">
        <v>1.1193</v>
      </c>
      <c r="U9" s="50">
        <v>108.79</v>
      </c>
      <c r="V9" s="43">
        <v>10665.3</v>
      </c>
      <c r="W9" s="43">
        <v>10706.73</v>
      </c>
      <c r="X9" s="49">
        <f t="shared" ref="X9:X30" si="5">R9/T9</f>
        <v>12574.823550433306</v>
      </c>
      <c r="Y9" s="48">
        <v>1.323</v>
      </c>
    </row>
    <row r="10" spans="1:25" x14ac:dyDescent="0.2">
      <c r="B10" s="47">
        <v>43833</v>
      </c>
      <c r="C10" s="46">
        <v>13735</v>
      </c>
      <c r="D10" s="45">
        <v>13740</v>
      </c>
      <c r="E10" s="44">
        <f t="shared" si="0"/>
        <v>13737.5</v>
      </c>
      <c r="F10" s="46">
        <v>13790</v>
      </c>
      <c r="G10" s="45">
        <v>13810</v>
      </c>
      <c r="H10" s="44">
        <f t="shared" si="1"/>
        <v>13800</v>
      </c>
      <c r="I10" s="46">
        <v>14200</v>
      </c>
      <c r="J10" s="45">
        <v>14250</v>
      </c>
      <c r="K10" s="44">
        <f t="shared" si="2"/>
        <v>14225</v>
      </c>
      <c r="L10" s="46">
        <v>14480</v>
      </c>
      <c r="M10" s="45">
        <v>14530</v>
      </c>
      <c r="N10" s="44">
        <f t="shared" si="3"/>
        <v>14505</v>
      </c>
      <c r="O10" s="46">
        <v>14770</v>
      </c>
      <c r="P10" s="45">
        <v>14820</v>
      </c>
      <c r="Q10" s="44">
        <f t="shared" si="4"/>
        <v>14795</v>
      </c>
      <c r="R10" s="52">
        <v>13740</v>
      </c>
      <c r="S10" s="51">
        <v>1.3081</v>
      </c>
      <c r="T10" s="51">
        <v>1.1138999999999999</v>
      </c>
      <c r="U10" s="50">
        <v>108.07</v>
      </c>
      <c r="V10" s="43">
        <v>10503.78</v>
      </c>
      <c r="W10" s="43">
        <v>10530.73</v>
      </c>
      <c r="X10" s="49">
        <f t="shared" si="5"/>
        <v>12335.039051979533</v>
      </c>
      <c r="Y10" s="48">
        <v>1.3113999999999999</v>
      </c>
    </row>
    <row r="11" spans="1:25" x14ac:dyDescent="0.2">
      <c r="B11" s="47">
        <v>43836</v>
      </c>
      <c r="C11" s="46">
        <v>13785</v>
      </c>
      <c r="D11" s="45">
        <v>13795</v>
      </c>
      <c r="E11" s="44">
        <f t="shared" si="0"/>
        <v>13790</v>
      </c>
      <c r="F11" s="46">
        <v>13820</v>
      </c>
      <c r="G11" s="45">
        <v>13830</v>
      </c>
      <c r="H11" s="44">
        <f t="shared" si="1"/>
        <v>13825</v>
      </c>
      <c r="I11" s="46">
        <v>14225</v>
      </c>
      <c r="J11" s="45">
        <v>14275</v>
      </c>
      <c r="K11" s="44">
        <f t="shared" si="2"/>
        <v>14250</v>
      </c>
      <c r="L11" s="46">
        <v>14505</v>
      </c>
      <c r="M11" s="45">
        <v>14555</v>
      </c>
      <c r="N11" s="44">
        <f t="shared" si="3"/>
        <v>14530</v>
      </c>
      <c r="O11" s="46">
        <v>14795</v>
      </c>
      <c r="P11" s="45">
        <v>14845</v>
      </c>
      <c r="Q11" s="44">
        <f t="shared" si="4"/>
        <v>14820</v>
      </c>
      <c r="R11" s="52">
        <v>13795</v>
      </c>
      <c r="S11" s="51">
        <v>1.3140000000000001</v>
      </c>
      <c r="T11" s="51">
        <v>1.1198999999999999</v>
      </c>
      <c r="U11" s="50">
        <v>108.16</v>
      </c>
      <c r="V11" s="43">
        <v>10498.48</v>
      </c>
      <c r="W11" s="43">
        <v>10498.75</v>
      </c>
      <c r="X11" s="49">
        <f t="shared" si="5"/>
        <v>12318.064112867221</v>
      </c>
      <c r="Y11" s="48">
        <v>1.3172999999999999</v>
      </c>
    </row>
    <row r="12" spans="1:25" x14ac:dyDescent="0.2">
      <c r="B12" s="47">
        <v>43837</v>
      </c>
      <c r="C12" s="46">
        <v>13855</v>
      </c>
      <c r="D12" s="45">
        <v>13860</v>
      </c>
      <c r="E12" s="44">
        <f t="shared" si="0"/>
        <v>13857.5</v>
      </c>
      <c r="F12" s="46">
        <v>13935</v>
      </c>
      <c r="G12" s="45">
        <v>13940</v>
      </c>
      <c r="H12" s="44">
        <f t="shared" si="1"/>
        <v>13937.5</v>
      </c>
      <c r="I12" s="46">
        <v>14335</v>
      </c>
      <c r="J12" s="45">
        <v>14385</v>
      </c>
      <c r="K12" s="44">
        <f t="shared" si="2"/>
        <v>14360</v>
      </c>
      <c r="L12" s="46">
        <v>14610</v>
      </c>
      <c r="M12" s="45">
        <v>14660</v>
      </c>
      <c r="N12" s="44">
        <f t="shared" si="3"/>
        <v>14635</v>
      </c>
      <c r="O12" s="46">
        <v>14900</v>
      </c>
      <c r="P12" s="45">
        <v>14950</v>
      </c>
      <c r="Q12" s="44">
        <f t="shared" si="4"/>
        <v>14925</v>
      </c>
      <c r="R12" s="52">
        <v>13860</v>
      </c>
      <c r="S12" s="51">
        <v>1.3121</v>
      </c>
      <c r="T12" s="51">
        <v>1.1174999999999999</v>
      </c>
      <c r="U12" s="50">
        <v>108.43</v>
      </c>
      <c r="V12" s="43">
        <v>10563.22</v>
      </c>
      <c r="W12" s="43">
        <v>10624.19</v>
      </c>
      <c r="X12" s="49">
        <f t="shared" si="5"/>
        <v>12402.68456375839</v>
      </c>
      <c r="Y12" s="48">
        <v>1.3121</v>
      </c>
    </row>
    <row r="13" spans="1:25" x14ac:dyDescent="0.2">
      <c r="B13" s="47">
        <v>43838</v>
      </c>
      <c r="C13" s="46">
        <v>13805</v>
      </c>
      <c r="D13" s="45">
        <v>13810</v>
      </c>
      <c r="E13" s="44">
        <f t="shared" si="0"/>
        <v>13807.5</v>
      </c>
      <c r="F13" s="46">
        <v>13875</v>
      </c>
      <c r="G13" s="45">
        <v>13900</v>
      </c>
      <c r="H13" s="44">
        <f t="shared" si="1"/>
        <v>13887.5</v>
      </c>
      <c r="I13" s="46">
        <v>14290</v>
      </c>
      <c r="J13" s="45">
        <v>14340</v>
      </c>
      <c r="K13" s="44">
        <f t="shared" si="2"/>
        <v>14315</v>
      </c>
      <c r="L13" s="46">
        <v>14560</v>
      </c>
      <c r="M13" s="45">
        <v>14610</v>
      </c>
      <c r="N13" s="44">
        <f t="shared" si="3"/>
        <v>14585</v>
      </c>
      <c r="O13" s="46">
        <v>14850</v>
      </c>
      <c r="P13" s="45">
        <v>14900</v>
      </c>
      <c r="Q13" s="44">
        <f t="shared" si="4"/>
        <v>14875</v>
      </c>
      <c r="R13" s="52">
        <v>13810</v>
      </c>
      <c r="S13" s="51">
        <v>1.3093999999999999</v>
      </c>
      <c r="T13" s="51">
        <v>1.1115999999999999</v>
      </c>
      <c r="U13" s="50">
        <v>108.77</v>
      </c>
      <c r="V13" s="43">
        <v>10546.82</v>
      </c>
      <c r="W13" s="43">
        <v>10588.06</v>
      </c>
      <c r="X13" s="49">
        <f t="shared" si="5"/>
        <v>12423.533645196114</v>
      </c>
      <c r="Y13" s="48">
        <v>1.3128</v>
      </c>
    </row>
    <row r="14" spans="1:25" x14ac:dyDescent="0.2">
      <c r="B14" s="47">
        <v>43839</v>
      </c>
      <c r="C14" s="46">
        <v>14120</v>
      </c>
      <c r="D14" s="45">
        <v>14125</v>
      </c>
      <c r="E14" s="44">
        <f t="shared" si="0"/>
        <v>14122.5</v>
      </c>
      <c r="F14" s="46">
        <v>14190</v>
      </c>
      <c r="G14" s="45">
        <v>14200</v>
      </c>
      <c r="H14" s="44">
        <f t="shared" si="1"/>
        <v>14195</v>
      </c>
      <c r="I14" s="46">
        <v>14610</v>
      </c>
      <c r="J14" s="45">
        <v>14660</v>
      </c>
      <c r="K14" s="44">
        <f t="shared" si="2"/>
        <v>14635</v>
      </c>
      <c r="L14" s="46">
        <v>14875</v>
      </c>
      <c r="M14" s="45">
        <v>14925</v>
      </c>
      <c r="N14" s="44">
        <f t="shared" si="3"/>
        <v>14900</v>
      </c>
      <c r="O14" s="46">
        <v>15165</v>
      </c>
      <c r="P14" s="45">
        <v>15215</v>
      </c>
      <c r="Q14" s="44">
        <f t="shared" si="4"/>
        <v>15190</v>
      </c>
      <c r="R14" s="52">
        <v>14125</v>
      </c>
      <c r="S14" s="51">
        <v>1.3038000000000001</v>
      </c>
      <c r="T14" s="51">
        <v>1.1113999999999999</v>
      </c>
      <c r="U14" s="50">
        <v>109.36</v>
      </c>
      <c r="V14" s="43">
        <v>10833.72</v>
      </c>
      <c r="W14" s="43">
        <v>10862.91</v>
      </c>
      <c r="X14" s="49">
        <f t="shared" si="5"/>
        <v>12709.195609141623</v>
      </c>
      <c r="Y14" s="48">
        <v>1.3071999999999999</v>
      </c>
    </row>
    <row r="15" spans="1:25" x14ac:dyDescent="0.2">
      <c r="B15" s="47">
        <v>43840</v>
      </c>
      <c r="C15" s="46">
        <v>14040</v>
      </c>
      <c r="D15" s="45">
        <v>14050</v>
      </c>
      <c r="E15" s="44">
        <f t="shared" si="0"/>
        <v>14045</v>
      </c>
      <c r="F15" s="46">
        <v>14130</v>
      </c>
      <c r="G15" s="45">
        <v>14140</v>
      </c>
      <c r="H15" s="44">
        <f t="shared" si="1"/>
        <v>14135</v>
      </c>
      <c r="I15" s="46">
        <v>14555</v>
      </c>
      <c r="J15" s="45">
        <v>14605</v>
      </c>
      <c r="K15" s="44">
        <f t="shared" si="2"/>
        <v>14580</v>
      </c>
      <c r="L15" s="46">
        <v>14820</v>
      </c>
      <c r="M15" s="45">
        <v>14870</v>
      </c>
      <c r="N15" s="44">
        <f t="shared" si="3"/>
        <v>14845</v>
      </c>
      <c r="O15" s="46">
        <v>15110</v>
      </c>
      <c r="P15" s="45">
        <v>15160</v>
      </c>
      <c r="Q15" s="44">
        <f t="shared" si="4"/>
        <v>15135</v>
      </c>
      <c r="R15" s="52">
        <v>14050</v>
      </c>
      <c r="S15" s="51">
        <v>1.3085</v>
      </c>
      <c r="T15" s="51">
        <v>1.1099000000000001</v>
      </c>
      <c r="U15" s="50">
        <v>109.64</v>
      </c>
      <c r="V15" s="43">
        <v>10737.49</v>
      </c>
      <c r="W15" s="43">
        <v>10778.26</v>
      </c>
      <c r="X15" s="49">
        <f t="shared" si="5"/>
        <v>12658.798089918009</v>
      </c>
      <c r="Y15" s="48">
        <v>1.3119000000000001</v>
      </c>
    </row>
    <row r="16" spans="1:25" x14ac:dyDescent="0.2">
      <c r="B16" s="47">
        <v>43843</v>
      </c>
      <c r="C16" s="46">
        <v>14185</v>
      </c>
      <c r="D16" s="45">
        <v>14190</v>
      </c>
      <c r="E16" s="44">
        <f t="shared" si="0"/>
        <v>14187.5</v>
      </c>
      <c r="F16" s="46">
        <v>14270</v>
      </c>
      <c r="G16" s="45">
        <v>14280</v>
      </c>
      <c r="H16" s="44">
        <f t="shared" si="1"/>
        <v>14275</v>
      </c>
      <c r="I16" s="46">
        <v>14685</v>
      </c>
      <c r="J16" s="45">
        <v>14735</v>
      </c>
      <c r="K16" s="44">
        <f t="shared" si="2"/>
        <v>14710</v>
      </c>
      <c r="L16" s="46">
        <v>14950</v>
      </c>
      <c r="M16" s="45">
        <v>15000</v>
      </c>
      <c r="N16" s="44">
        <f t="shared" si="3"/>
        <v>14975</v>
      </c>
      <c r="O16" s="46">
        <v>15240</v>
      </c>
      <c r="P16" s="45">
        <v>15290</v>
      </c>
      <c r="Q16" s="44">
        <f t="shared" si="4"/>
        <v>15265</v>
      </c>
      <c r="R16" s="52">
        <v>14190</v>
      </c>
      <c r="S16" s="51">
        <v>1.2976000000000001</v>
      </c>
      <c r="T16" s="51">
        <v>1.1125</v>
      </c>
      <c r="U16" s="50">
        <v>109.9</v>
      </c>
      <c r="V16" s="43">
        <v>10935.57</v>
      </c>
      <c r="W16" s="43">
        <v>10974.49</v>
      </c>
      <c r="X16" s="49">
        <f t="shared" si="5"/>
        <v>12755.05617977528</v>
      </c>
      <c r="Y16" s="48">
        <v>1.3011999999999999</v>
      </c>
    </row>
    <row r="17" spans="2:25" x14ac:dyDescent="0.2">
      <c r="B17" s="47">
        <v>43844</v>
      </c>
      <c r="C17" s="46">
        <v>13670</v>
      </c>
      <c r="D17" s="45">
        <v>13680</v>
      </c>
      <c r="E17" s="44">
        <f t="shared" si="0"/>
        <v>13675</v>
      </c>
      <c r="F17" s="46">
        <v>13765</v>
      </c>
      <c r="G17" s="45">
        <v>13770</v>
      </c>
      <c r="H17" s="44">
        <f t="shared" si="1"/>
        <v>13767.5</v>
      </c>
      <c r="I17" s="46">
        <v>14185</v>
      </c>
      <c r="J17" s="45">
        <v>14235</v>
      </c>
      <c r="K17" s="44">
        <f t="shared" si="2"/>
        <v>14210</v>
      </c>
      <c r="L17" s="46">
        <v>14450</v>
      </c>
      <c r="M17" s="45">
        <v>14500</v>
      </c>
      <c r="N17" s="44">
        <f t="shared" si="3"/>
        <v>14475</v>
      </c>
      <c r="O17" s="46">
        <v>14740</v>
      </c>
      <c r="P17" s="45">
        <v>14790</v>
      </c>
      <c r="Q17" s="44">
        <f t="shared" si="4"/>
        <v>14765</v>
      </c>
      <c r="R17" s="52">
        <v>13680</v>
      </c>
      <c r="S17" s="51">
        <v>1.2975000000000001</v>
      </c>
      <c r="T17" s="51">
        <v>1.1120000000000001</v>
      </c>
      <c r="U17" s="50">
        <v>110.07</v>
      </c>
      <c r="V17" s="43">
        <v>10543.35</v>
      </c>
      <c r="W17" s="43">
        <v>10583.35</v>
      </c>
      <c r="X17" s="49">
        <f t="shared" si="5"/>
        <v>12302.158273381294</v>
      </c>
      <c r="Y17" s="48">
        <v>1.3010999999999999</v>
      </c>
    </row>
    <row r="18" spans="2:25" x14ac:dyDescent="0.2">
      <c r="B18" s="47">
        <v>43845</v>
      </c>
      <c r="C18" s="46">
        <v>13945</v>
      </c>
      <c r="D18" s="45">
        <v>13950</v>
      </c>
      <c r="E18" s="44">
        <f t="shared" si="0"/>
        <v>13947.5</v>
      </c>
      <c r="F18" s="46">
        <v>14000</v>
      </c>
      <c r="G18" s="45">
        <v>14050</v>
      </c>
      <c r="H18" s="44">
        <f t="shared" si="1"/>
        <v>14025</v>
      </c>
      <c r="I18" s="46">
        <v>14445</v>
      </c>
      <c r="J18" s="45">
        <v>14495</v>
      </c>
      <c r="K18" s="44">
        <f t="shared" si="2"/>
        <v>14470</v>
      </c>
      <c r="L18" s="46">
        <v>14705</v>
      </c>
      <c r="M18" s="45">
        <v>14755</v>
      </c>
      <c r="N18" s="44">
        <f t="shared" si="3"/>
        <v>14730</v>
      </c>
      <c r="O18" s="46">
        <v>14990</v>
      </c>
      <c r="P18" s="45">
        <v>15040</v>
      </c>
      <c r="Q18" s="44">
        <f t="shared" si="4"/>
        <v>15015</v>
      </c>
      <c r="R18" s="52">
        <v>13950</v>
      </c>
      <c r="S18" s="51">
        <v>1.3007</v>
      </c>
      <c r="T18" s="51">
        <v>1.1141000000000001</v>
      </c>
      <c r="U18" s="50">
        <v>109.87</v>
      </c>
      <c r="V18" s="43">
        <v>10724.99</v>
      </c>
      <c r="W18" s="43">
        <v>10771.24</v>
      </c>
      <c r="X18" s="49">
        <f t="shared" si="5"/>
        <v>12521.317655506686</v>
      </c>
      <c r="Y18" s="48">
        <v>1.3044</v>
      </c>
    </row>
    <row r="19" spans="2:25" x14ac:dyDescent="0.2">
      <c r="B19" s="47">
        <v>43846</v>
      </c>
      <c r="C19" s="46">
        <v>14285</v>
      </c>
      <c r="D19" s="45">
        <v>14290</v>
      </c>
      <c r="E19" s="44">
        <f t="shared" si="0"/>
        <v>14287.5</v>
      </c>
      <c r="F19" s="46">
        <v>14360</v>
      </c>
      <c r="G19" s="45">
        <v>14370</v>
      </c>
      <c r="H19" s="44">
        <f t="shared" si="1"/>
        <v>14365</v>
      </c>
      <c r="I19" s="46">
        <v>14735</v>
      </c>
      <c r="J19" s="45">
        <v>14785</v>
      </c>
      <c r="K19" s="44">
        <f t="shared" si="2"/>
        <v>14760</v>
      </c>
      <c r="L19" s="46">
        <v>14985</v>
      </c>
      <c r="M19" s="45">
        <v>15035</v>
      </c>
      <c r="N19" s="44">
        <f t="shared" si="3"/>
        <v>15010</v>
      </c>
      <c r="O19" s="46">
        <v>15255</v>
      </c>
      <c r="P19" s="45">
        <v>15305</v>
      </c>
      <c r="Q19" s="44">
        <f t="shared" si="4"/>
        <v>15280</v>
      </c>
      <c r="R19" s="52">
        <v>14290</v>
      </c>
      <c r="S19" s="51">
        <v>1.3066</v>
      </c>
      <c r="T19" s="51">
        <v>1.1165</v>
      </c>
      <c r="U19" s="50">
        <v>109.98</v>
      </c>
      <c r="V19" s="43">
        <v>10936.78</v>
      </c>
      <c r="W19" s="43">
        <v>10966.95</v>
      </c>
      <c r="X19" s="49">
        <f t="shared" si="5"/>
        <v>12798.925212718315</v>
      </c>
      <c r="Y19" s="48">
        <v>1.3103</v>
      </c>
    </row>
    <row r="20" spans="2:25" x14ac:dyDescent="0.2">
      <c r="B20" s="47">
        <v>43847</v>
      </c>
      <c r="C20" s="46">
        <v>13835</v>
      </c>
      <c r="D20" s="45">
        <v>13840</v>
      </c>
      <c r="E20" s="44">
        <f t="shared" si="0"/>
        <v>13837.5</v>
      </c>
      <c r="F20" s="46">
        <v>13900</v>
      </c>
      <c r="G20" s="45">
        <v>13910</v>
      </c>
      <c r="H20" s="44">
        <f t="shared" si="1"/>
        <v>13905</v>
      </c>
      <c r="I20" s="46">
        <v>14295</v>
      </c>
      <c r="J20" s="45">
        <v>14345</v>
      </c>
      <c r="K20" s="44">
        <f t="shared" si="2"/>
        <v>14320</v>
      </c>
      <c r="L20" s="46">
        <v>14545</v>
      </c>
      <c r="M20" s="45">
        <v>14595</v>
      </c>
      <c r="N20" s="44">
        <f t="shared" si="3"/>
        <v>14570</v>
      </c>
      <c r="O20" s="46">
        <v>14815</v>
      </c>
      <c r="P20" s="45">
        <v>14865</v>
      </c>
      <c r="Q20" s="44">
        <f t="shared" si="4"/>
        <v>14840</v>
      </c>
      <c r="R20" s="52">
        <v>13840</v>
      </c>
      <c r="S20" s="51">
        <v>1.3051999999999999</v>
      </c>
      <c r="T20" s="51">
        <v>1.111</v>
      </c>
      <c r="U20" s="50">
        <v>110.11</v>
      </c>
      <c r="V20" s="43">
        <v>10603.74</v>
      </c>
      <c r="W20" s="43">
        <v>10627.24</v>
      </c>
      <c r="X20" s="49">
        <f t="shared" si="5"/>
        <v>12457.245724572458</v>
      </c>
      <c r="Y20" s="48">
        <v>1.3089</v>
      </c>
    </row>
    <row r="21" spans="2:25" x14ac:dyDescent="0.2">
      <c r="B21" s="47">
        <v>43850</v>
      </c>
      <c r="C21" s="46">
        <v>13840</v>
      </c>
      <c r="D21" s="45">
        <v>13845</v>
      </c>
      <c r="E21" s="44">
        <f t="shared" si="0"/>
        <v>13842.5</v>
      </c>
      <c r="F21" s="46">
        <v>13900</v>
      </c>
      <c r="G21" s="45">
        <v>13920</v>
      </c>
      <c r="H21" s="44">
        <f t="shared" si="1"/>
        <v>13910</v>
      </c>
      <c r="I21" s="46">
        <v>14295</v>
      </c>
      <c r="J21" s="45">
        <v>14345</v>
      </c>
      <c r="K21" s="44">
        <f t="shared" si="2"/>
        <v>14320</v>
      </c>
      <c r="L21" s="46">
        <v>14545</v>
      </c>
      <c r="M21" s="45">
        <v>14595</v>
      </c>
      <c r="N21" s="44">
        <f t="shared" si="3"/>
        <v>14570</v>
      </c>
      <c r="O21" s="46">
        <v>14815</v>
      </c>
      <c r="P21" s="45">
        <v>14865</v>
      </c>
      <c r="Q21" s="44">
        <f t="shared" si="4"/>
        <v>14840</v>
      </c>
      <c r="R21" s="52">
        <v>13845</v>
      </c>
      <c r="S21" s="51">
        <v>1.2990999999999999</v>
      </c>
      <c r="T21" s="51">
        <v>1.1084000000000001</v>
      </c>
      <c r="U21" s="50">
        <v>110.19</v>
      </c>
      <c r="V21" s="43">
        <v>10657.38</v>
      </c>
      <c r="W21" s="43">
        <v>10715.11</v>
      </c>
      <c r="X21" s="49">
        <f t="shared" si="5"/>
        <v>12490.977986286538</v>
      </c>
      <c r="Y21" s="48">
        <v>1.2990999999999999</v>
      </c>
    </row>
    <row r="22" spans="2:25" x14ac:dyDescent="0.2">
      <c r="B22" s="47">
        <v>43851</v>
      </c>
      <c r="C22" s="46">
        <v>13745</v>
      </c>
      <c r="D22" s="45">
        <v>13750</v>
      </c>
      <c r="E22" s="44">
        <f t="shared" si="0"/>
        <v>13747.5</v>
      </c>
      <c r="F22" s="46">
        <v>13835</v>
      </c>
      <c r="G22" s="45">
        <v>13840</v>
      </c>
      <c r="H22" s="44">
        <f t="shared" si="1"/>
        <v>13837.5</v>
      </c>
      <c r="I22" s="46">
        <v>14215</v>
      </c>
      <c r="J22" s="45">
        <v>14265</v>
      </c>
      <c r="K22" s="44">
        <f t="shared" si="2"/>
        <v>14240</v>
      </c>
      <c r="L22" s="46">
        <v>14465</v>
      </c>
      <c r="M22" s="45">
        <v>14515</v>
      </c>
      <c r="N22" s="44">
        <f t="shared" si="3"/>
        <v>14490</v>
      </c>
      <c r="O22" s="46">
        <v>14735</v>
      </c>
      <c r="P22" s="45">
        <v>14785</v>
      </c>
      <c r="Q22" s="44">
        <f t="shared" si="4"/>
        <v>14760</v>
      </c>
      <c r="R22" s="52">
        <v>13750</v>
      </c>
      <c r="S22" s="51">
        <v>1.3048999999999999</v>
      </c>
      <c r="T22" s="51">
        <v>1.1109</v>
      </c>
      <c r="U22" s="50">
        <v>110.05</v>
      </c>
      <c r="V22" s="43">
        <v>10537.21</v>
      </c>
      <c r="W22" s="43">
        <v>10576.19</v>
      </c>
      <c r="X22" s="49">
        <f t="shared" si="5"/>
        <v>12377.351696822396</v>
      </c>
      <c r="Y22" s="48">
        <v>1.3086</v>
      </c>
    </row>
    <row r="23" spans="2:25" x14ac:dyDescent="0.2">
      <c r="B23" s="47">
        <v>43852</v>
      </c>
      <c r="C23" s="46">
        <v>13640</v>
      </c>
      <c r="D23" s="45">
        <v>13645</v>
      </c>
      <c r="E23" s="44">
        <f t="shared" si="0"/>
        <v>13642.5</v>
      </c>
      <c r="F23" s="46">
        <v>13730</v>
      </c>
      <c r="G23" s="45">
        <v>13750</v>
      </c>
      <c r="H23" s="44">
        <f t="shared" si="1"/>
        <v>13740</v>
      </c>
      <c r="I23" s="46">
        <v>14120</v>
      </c>
      <c r="J23" s="45">
        <v>14170</v>
      </c>
      <c r="K23" s="44">
        <f t="shared" si="2"/>
        <v>14145</v>
      </c>
      <c r="L23" s="46">
        <v>14370</v>
      </c>
      <c r="M23" s="45">
        <v>14420</v>
      </c>
      <c r="N23" s="44">
        <f t="shared" si="3"/>
        <v>14395</v>
      </c>
      <c r="O23" s="46">
        <v>14640</v>
      </c>
      <c r="P23" s="45">
        <v>14690</v>
      </c>
      <c r="Q23" s="44">
        <f t="shared" si="4"/>
        <v>14665</v>
      </c>
      <c r="R23" s="52">
        <v>13645</v>
      </c>
      <c r="S23" s="51">
        <v>1.3121</v>
      </c>
      <c r="T23" s="51">
        <v>1.1083000000000001</v>
      </c>
      <c r="U23" s="50">
        <v>109.98</v>
      </c>
      <c r="V23" s="43">
        <v>10399.36</v>
      </c>
      <c r="W23" s="43">
        <v>10449.92</v>
      </c>
      <c r="X23" s="49">
        <f t="shared" si="5"/>
        <v>12311.648470630695</v>
      </c>
      <c r="Y23" s="48">
        <v>1.3158000000000001</v>
      </c>
    </row>
    <row r="24" spans="2:25" x14ac:dyDescent="0.2">
      <c r="B24" s="47">
        <v>43853</v>
      </c>
      <c r="C24" s="46">
        <v>13290</v>
      </c>
      <c r="D24" s="45">
        <v>13300</v>
      </c>
      <c r="E24" s="44">
        <f t="shared" si="0"/>
        <v>13295</v>
      </c>
      <c r="F24" s="46">
        <v>13370</v>
      </c>
      <c r="G24" s="45">
        <v>13375</v>
      </c>
      <c r="H24" s="44">
        <f t="shared" si="1"/>
        <v>13372.5</v>
      </c>
      <c r="I24" s="46">
        <v>13750</v>
      </c>
      <c r="J24" s="45">
        <v>13800</v>
      </c>
      <c r="K24" s="44">
        <f t="shared" si="2"/>
        <v>13775</v>
      </c>
      <c r="L24" s="46">
        <v>14000</v>
      </c>
      <c r="M24" s="45">
        <v>14050</v>
      </c>
      <c r="N24" s="44">
        <f t="shared" si="3"/>
        <v>14025</v>
      </c>
      <c r="O24" s="46">
        <v>14270</v>
      </c>
      <c r="P24" s="45">
        <v>14320</v>
      </c>
      <c r="Q24" s="44">
        <f t="shared" si="4"/>
        <v>14295</v>
      </c>
      <c r="R24" s="52">
        <v>13300</v>
      </c>
      <c r="S24" s="51">
        <v>1.3124</v>
      </c>
      <c r="T24" s="51">
        <v>1.1085</v>
      </c>
      <c r="U24" s="50">
        <v>109.6</v>
      </c>
      <c r="V24" s="43">
        <v>10134.11</v>
      </c>
      <c r="W24" s="43">
        <v>10162.6</v>
      </c>
      <c r="X24" s="49">
        <f t="shared" si="5"/>
        <v>11998.195760036084</v>
      </c>
      <c r="Y24" s="48">
        <v>1.3161</v>
      </c>
    </row>
    <row r="25" spans="2:25" x14ac:dyDescent="0.2">
      <c r="B25" s="47">
        <v>43854</v>
      </c>
      <c r="C25" s="46">
        <v>12980</v>
      </c>
      <c r="D25" s="45">
        <v>12990</v>
      </c>
      <c r="E25" s="44">
        <f t="shared" si="0"/>
        <v>12985</v>
      </c>
      <c r="F25" s="46">
        <v>13040</v>
      </c>
      <c r="G25" s="45">
        <v>13060</v>
      </c>
      <c r="H25" s="44">
        <f t="shared" si="1"/>
        <v>13050</v>
      </c>
      <c r="I25" s="46">
        <v>13435</v>
      </c>
      <c r="J25" s="45">
        <v>13485</v>
      </c>
      <c r="K25" s="44">
        <f t="shared" si="2"/>
        <v>13460</v>
      </c>
      <c r="L25" s="46">
        <v>13685</v>
      </c>
      <c r="M25" s="45">
        <v>13735</v>
      </c>
      <c r="N25" s="44">
        <f t="shared" si="3"/>
        <v>13710</v>
      </c>
      <c r="O25" s="46">
        <v>13955</v>
      </c>
      <c r="P25" s="45">
        <v>14005</v>
      </c>
      <c r="Q25" s="44">
        <f t="shared" si="4"/>
        <v>13980</v>
      </c>
      <c r="R25" s="52">
        <v>12990</v>
      </c>
      <c r="S25" s="51">
        <v>1.3083</v>
      </c>
      <c r="T25" s="51">
        <v>1.1028</v>
      </c>
      <c r="U25" s="50">
        <v>109.62</v>
      </c>
      <c r="V25" s="43">
        <v>9928.92</v>
      </c>
      <c r="W25" s="43">
        <v>9954.27</v>
      </c>
      <c r="X25" s="49">
        <f t="shared" si="5"/>
        <v>11779.107725788901</v>
      </c>
      <c r="Y25" s="48">
        <v>1.3120000000000001</v>
      </c>
    </row>
    <row r="26" spans="2:25" x14ac:dyDescent="0.2">
      <c r="B26" s="47">
        <v>43857</v>
      </c>
      <c r="C26" s="46">
        <v>12630</v>
      </c>
      <c r="D26" s="45">
        <v>12650</v>
      </c>
      <c r="E26" s="44">
        <f t="shared" si="0"/>
        <v>12640</v>
      </c>
      <c r="F26" s="46">
        <v>12740</v>
      </c>
      <c r="G26" s="45">
        <v>12745</v>
      </c>
      <c r="H26" s="44">
        <f t="shared" si="1"/>
        <v>12742.5</v>
      </c>
      <c r="I26" s="46">
        <v>13155</v>
      </c>
      <c r="J26" s="45">
        <v>13205</v>
      </c>
      <c r="K26" s="44">
        <f t="shared" si="2"/>
        <v>13180</v>
      </c>
      <c r="L26" s="46">
        <v>13405</v>
      </c>
      <c r="M26" s="45">
        <v>13455</v>
      </c>
      <c r="N26" s="44">
        <f t="shared" si="3"/>
        <v>13430</v>
      </c>
      <c r="O26" s="46">
        <v>13675</v>
      </c>
      <c r="P26" s="45">
        <v>13725</v>
      </c>
      <c r="Q26" s="44">
        <f t="shared" si="4"/>
        <v>13700</v>
      </c>
      <c r="R26" s="52">
        <v>12650</v>
      </c>
      <c r="S26" s="51">
        <v>1.3068</v>
      </c>
      <c r="T26" s="51">
        <v>1.1023000000000001</v>
      </c>
      <c r="U26" s="50">
        <v>108.96</v>
      </c>
      <c r="V26" s="43">
        <v>9680.1299999999992</v>
      </c>
      <c r="W26" s="43">
        <v>9725.2999999999993</v>
      </c>
      <c r="X26" s="49">
        <f t="shared" si="5"/>
        <v>11476.004717409052</v>
      </c>
      <c r="Y26" s="48">
        <v>1.3105</v>
      </c>
    </row>
    <row r="27" spans="2:25" x14ac:dyDescent="0.2">
      <c r="B27" s="47">
        <v>43858</v>
      </c>
      <c r="C27" s="46">
        <v>12730</v>
      </c>
      <c r="D27" s="45">
        <v>12740</v>
      </c>
      <c r="E27" s="44">
        <f t="shared" si="0"/>
        <v>12735</v>
      </c>
      <c r="F27" s="46">
        <v>12820</v>
      </c>
      <c r="G27" s="45">
        <v>12830</v>
      </c>
      <c r="H27" s="44">
        <f t="shared" si="1"/>
        <v>12825</v>
      </c>
      <c r="I27" s="46">
        <v>13235</v>
      </c>
      <c r="J27" s="45">
        <v>13285</v>
      </c>
      <c r="K27" s="44">
        <f t="shared" si="2"/>
        <v>13260</v>
      </c>
      <c r="L27" s="46">
        <v>13485</v>
      </c>
      <c r="M27" s="45">
        <v>13535</v>
      </c>
      <c r="N27" s="44">
        <f t="shared" si="3"/>
        <v>13510</v>
      </c>
      <c r="O27" s="46">
        <v>13755</v>
      </c>
      <c r="P27" s="45">
        <v>13805</v>
      </c>
      <c r="Q27" s="44">
        <f t="shared" si="4"/>
        <v>13780</v>
      </c>
      <c r="R27" s="52">
        <v>12740</v>
      </c>
      <c r="S27" s="51">
        <v>1.3011999999999999</v>
      </c>
      <c r="T27" s="51">
        <v>1.1007</v>
      </c>
      <c r="U27" s="50">
        <v>109.06</v>
      </c>
      <c r="V27" s="43">
        <v>9790.9599999999991</v>
      </c>
      <c r="W27" s="43">
        <v>9832.17</v>
      </c>
      <c r="X27" s="49">
        <f t="shared" si="5"/>
        <v>11574.452621059325</v>
      </c>
      <c r="Y27" s="48">
        <v>1.3048999999999999</v>
      </c>
    </row>
    <row r="28" spans="2:25" x14ac:dyDescent="0.2">
      <c r="B28" s="47">
        <v>43859</v>
      </c>
      <c r="C28" s="46">
        <v>12625</v>
      </c>
      <c r="D28" s="45">
        <v>12630</v>
      </c>
      <c r="E28" s="44">
        <f t="shared" si="0"/>
        <v>12627.5</v>
      </c>
      <c r="F28" s="46">
        <v>12710</v>
      </c>
      <c r="G28" s="45">
        <v>12720</v>
      </c>
      <c r="H28" s="44">
        <f t="shared" si="1"/>
        <v>12715</v>
      </c>
      <c r="I28" s="46">
        <v>13130</v>
      </c>
      <c r="J28" s="45">
        <v>13180</v>
      </c>
      <c r="K28" s="44">
        <f t="shared" si="2"/>
        <v>13155</v>
      </c>
      <c r="L28" s="46">
        <v>13390</v>
      </c>
      <c r="M28" s="45">
        <v>13440</v>
      </c>
      <c r="N28" s="44">
        <f t="shared" si="3"/>
        <v>13415</v>
      </c>
      <c r="O28" s="46">
        <v>13660</v>
      </c>
      <c r="P28" s="45">
        <v>13710</v>
      </c>
      <c r="Q28" s="44">
        <f t="shared" si="4"/>
        <v>13685</v>
      </c>
      <c r="R28" s="52">
        <v>12630</v>
      </c>
      <c r="S28" s="51">
        <v>1.3008999999999999</v>
      </c>
      <c r="T28" s="51">
        <v>1.0998000000000001</v>
      </c>
      <c r="U28" s="50">
        <v>109.12</v>
      </c>
      <c r="V28" s="43">
        <v>9708.66</v>
      </c>
      <c r="W28" s="43">
        <v>9750.86</v>
      </c>
      <c r="X28" s="49">
        <f t="shared" si="5"/>
        <v>11483.906164757227</v>
      </c>
      <c r="Y28" s="48">
        <v>1.3045</v>
      </c>
    </row>
    <row r="29" spans="2:25" x14ac:dyDescent="0.2">
      <c r="B29" s="47">
        <v>43860</v>
      </c>
      <c r="C29" s="46">
        <v>12530</v>
      </c>
      <c r="D29" s="45">
        <v>12535</v>
      </c>
      <c r="E29" s="44">
        <f t="shared" si="0"/>
        <v>12532.5</v>
      </c>
      <c r="F29" s="46">
        <v>12600</v>
      </c>
      <c r="G29" s="45">
        <v>12625</v>
      </c>
      <c r="H29" s="44">
        <f t="shared" si="1"/>
        <v>12612.5</v>
      </c>
      <c r="I29" s="46">
        <v>13025</v>
      </c>
      <c r="J29" s="45">
        <v>13075</v>
      </c>
      <c r="K29" s="44">
        <f t="shared" si="2"/>
        <v>13050</v>
      </c>
      <c r="L29" s="46">
        <v>13290</v>
      </c>
      <c r="M29" s="45">
        <v>13340</v>
      </c>
      <c r="N29" s="44">
        <f t="shared" si="3"/>
        <v>13315</v>
      </c>
      <c r="O29" s="46">
        <v>13560</v>
      </c>
      <c r="P29" s="45">
        <v>13610</v>
      </c>
      <c r="Q29" s="44">
        <f t="shared" si="4"/>
        <v>13585</v>
      </c>
      <c r="R29" s="52">
        <v>12535</v>
      </c>
      <c r="S29" s="51">
        <v>1.3089</v>
      </c>
      <c r="T29" s="51">
        <v>1.1024</v>
      </c>
      <c r="U29" s="50">
        <v>108.78</v>
      </c>
      <c r="V29" s="43">
        <v>9576.74</v>
      </c>
      <c r="W29" s="43">
        <v>9621.98</v>
      </c>
      <c r="X29" s="49">
        <f t="shared" si="5"/>
        <v>11370.645863570391</v>
      </c>
      <c r="Y29" s="48">
        <v>1.3121</v>
      </c>
    </row>
    <row r="30" spans="2:25" x14ac:dyDescent="0.2">
      <c r="B30" s="47">
        <v>43861</v>
      </c>
      <c r="C30" s="46">
        <v>12670</v>
      </c>
      <c r="D30" s="45">
        <v>12675</v>
      </c>
      <c r="E30" s="44">
        <f t="shared" si="0"/>
        <v>12672.5</v>
      </c>
      <c r="F30" s="46">
        <v>12750</v>
      </c>
      <c r="G30" s="45">
        <v>12760</v>
      </c>
      <c r="H30" s="44">
        <f t="shared" si="1"/>
        <v>12755</v>
      </c>
      <c r="I30" s="46">
        <v>13165</v>
      </c>
      <c r="J30" s="45">
        <v>13215</v>
      </c>
      <c r="K30" s="44">
        <f t="shared" si="2"/>
        <v>13190</v>
      </c>
      <c r="L30" s="46">
        <v>13430</v>
      </c>
      <c r="M30" s="45">
        <v>13480</v>
      </c>
      <c r="N30" s="44">
        <f t="shared" si="3"/>
        <v>13455</v>
      </c>
      <c r="O30" s="46">
        <v>13700</v>
      </c>
      <c r="P30" s="45">
        <v>13750</v>
      </c>
      <c r="Q30" s="44">
        <f t="shared" si="4"/>
        <v>13725</v>
      </c>
      <c r="R30" s="52">
        <v>12675</v>
      </c>
      <c r="S30" s="51">
        <v>1.3123</v>
      </c>
      <c r="T30" s="51">
        <v>1.1048</v>
      </c>
      <c r="U30" s="50">
        <v>108.97</v>
      </c>
      <c r="V30" s="43">
        <v>9658.61</v>
      </c>
      <c r="W30" s="43">
        <v>9699.73</v>
      </c>
      <c r="X30" s="49">
        <f t="shared" si="5"/>
        <v>11472.664735698769</v>
      </c>
      <c r="Y30" s="48">
        <v>1.3154999999999999</v>
      </c>
    </row>
    <row r="31" spans="2:25" s="10" customFormat="1" x14ac:dyDescent="0.2">
      <c r="B31" s="42" t="s">
        <v>11</v>
      </c>
      <c r="C31" s="41">
        <f>ROUND(AVERAGE(C9:C30),2)</f>
        <v>13545.91</v>
      </c>
      <c r="D31" s="40">
        <f>ROUND(AVERAGE(D9:D30),2)</f>
        <v>13552.95</v>
      </c>
      <c r="E31" s="39">
        <f>ROUND(AVERAGE(C31:D31),2)</f>
        <v>13549.43</v>
      </c>
      <c r="F31" s="41">
        <f>ROUND(AVERAGE(F9:F30),2)</f>
        <v>13622.05</v>
      </c>
      <c r="G31" s="40">
        <f>ROUND(AVERAGE(G9:G30),2)</f>
        <v>13635.91</v>
      </c>
      <c r="H31" s="39">
        <f>ROUND(AVERAGE(F31:G31),2)</f>
        <v>13628.98</v>
      </c>
      <c r="I31" s="41">
        <f>ROUND(AVERAGE(I9:I30),2)</f>
        <v>14029.32</v>
      </c>
      <c r="J31" s="40">
        <f>ROUND(AVERAGE(J9:J30),2)</f>
        <v>14079.32</v>
      </c>
      <c r="K31" s="39">
        <f>ROUND(AVERAGE(I31:J31),2)</f>
        <v>14054.32</v>
      </c>
      <c r="L31" s="41">
        <f>ROUND(AVERAGE(L9:L30),2)</f>
        <v>14290.68</v>
      </c>
      <c r="M31" s="40">
        <f>ROUND(AVERAGE(M9:M30),2)</f>
        <v>14340.68</v>
      </c>
      <c r="N31" s="39">
        <f>ROUND(AVERAGE(L31:M31),2)</f>
        <v>14315.68</v>
      </c>
      <c r="O31" s="41">
        <f>ROUND(AVERAGE(O9:O30),2)</f>
        <v>14569.55</v>
      </c>
      <c r="P31" s="40">
        <f>ROUND(AVERAGE(P9:P30),2)</f>
        <v>14619.55</v>
      </c>
      <c r="Q31" s="39">
        <f>ROUND(AVERAGE(O31:P31),2)</f>
        <v>14594.55</v>
      </c>
      <c r="R31" s="38">
        <f>ROUND(AVERAGE(R9:R30),2)</f>
        <v>13552.95</v>
      </c>
      <c r="S31" s="37">
        <f>ROUND(AVERAGE(S9:S30),4)</f>
        <v>1.3068</v>
      </c>
      <c r="T31" s="36">
        <f>ROUND(AVERAGE(T9:T30),4)</f>
        <v>1.1099000000000001</v>
      </c>
      <c r="U31" s="175">
        <f>ROUND(AVERAGE(U9:U30),2)</f>
        <v>109.34</v>
      </c>
      <c r="V31" s="35">
        <f>AVERAGE(V9:V30)</f>
        <v>10371.150909090909</v>
      </c>
      <c r="W31" s="35">
        <f>AVERAGE(W9:W30)</f>
        <v>10409.137727272728</v>
      </c>
      <c r="X31" s="35">
        <f>AVERAGE(X9:X30)</f>
        <v>12208.718064150347</v>
      </c>
      <c r="Y31" s="34">
        <f>AVERAGE(Y9:Y30)</f>
        <v>1.310031818181818</v>
      </c>
    </row>
    <row r="32" spans="2:25" s="5" customFormat="1" x14ac:dyDescent="0.2">
      <c r="B32" s="33" t="s">
        <v>12</v>
      </c>
      <c r="C32" s="32">
        <f t="shared" ref="C32:Y32" si="6">MAX(C9:C30)</f>
        <v>14285</v>
      </c>
      <c r="D32" s="31">
        <f t="shared" si="6"/>
        <v>14290</v>
      </c>
      <c r="E32" s="30">
        <f t="shared" si="6"/>
        <v>14287.5</v>
      </c>
      <c r="F32" s="32">
        <f t="shared" si="6"/>
        <v>14360</v>
      </c>
      <c r="G32" s="31">
        <f t="shared" si="6"/>
        <v>14370</v>
      </c>
      <c r="H32" s="30">
        <f t="shared" si="6"/>
        <v>14365</v>
      </c>
      <c r="I32" s="32">
        <f t="shared" si="6"/>
        <v>14735</v>
      </c>
      <c r="J32" s="31">
        <f t="shared" si="6"/>
        <v>14785</v>
      </c>
      <c r="K32" s="30">
        <f t="shared" si="6"/>
        <v>14760</v>
      </c>
      <c r="L32" s="32">
        <f t="shared" si="6"/>
        <v>14985</v>
      </c>
      <c r="M32" s="31">
        <f t="shared" si="6"/>
        <v>15035</v>
      </c>
      <c r="N32" s="30">
        <f t="shared" si="6"/>
        <v>15010</v>
      </c>
      <c r="O32" s="32">
        <f t="shared" si="6"/>
        <v>15255</v>
      </c>
      <c r="P32" s="31">
        <f t="shared" si="6"/>
        <v>15305</v>
      </c>
      <c r="Q32" s="30">
        <f t="shared" si="6"/>
        <v>15280</v>
      </c>
      <c r="R32" s="29">
        <f t="shared" si="6"/>
        <v>14290</v>
      </c>
      <c r="S32" s="28">
        <f t="shared" si="6"/>
        <v>1.3197000000000001</v>
      </c>
      <c r="T32" s="27">
        <f t="shared" si="6"/>
        <v>1.1198999999999999</v>
      </c>
      <c r="U32" s="26">
        <f t="shared" si="6"/>
        <v>110.19</v>
      </c>
      <c r="V32" s="25">
        <f t="shared" si="6"/>
        <v>10936.78</v>
      </c>
      <c r="W32" s="25">
        <f t="shared" si="6"/>
        <v>10974.49</v>
      </c>
      <c r="X32" s="25">
        <f t="shared" si="6"/>
        <v>12798.925212718315</v>
      </c>
      <c r="Y32" s="24">
        <f t="shared" si="6"/>
        <v>1.323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12530</v>
      </c>
      <c r="D33" s="21">
        <f t="shared" si="7"/>
        <v>12535</v>
      </c>
      <c r="E33" s="20">
        <f t="shared" si="7"/>
        <v>12532.5</v>
      </c>
      <c r="F33" s="22">
        <f t="shared" si="7"/>
        <v>12600</v>
      </c>
      <c r="G33" s="21">
        <f t="shared" si="7"/>
        <v>12625</v>
      </c>
      <c r="H33" s="20">
        <f t="shared" si="7"/>
        <v>12612.5</v>
      </c>
      <c r="I33" s="22">
        <f t="shared" si="7"/>
        <v>13025</v>
      </c>
      <c r="J33" s="21">
        <f t="shared" si="7"/>
        <v>13075</v>
      </c>
      <c r="K33" s="20">
        <f t="shared" si="7"/>
        <v>13050</v>
      </c>
      <c r="L33" s="22">
        <f t="shared" si="7"/>
        <v>13290</v>
      </c>
      <c r="M33" s="21">
        <f t="shared" si="7"/>
        <v>13340</v>
      </c>
      <c r="N33" s="20">
        <f t="shared" si="7"/>
        <v>13315</v>
      </c>
      <c r="O33" s="22">
        <f t="shared" si="7"/>
        <v>13560</v>
      </c>
      <c r="P33" s="21">
        <f t="shared" si="7"/>
        <v>13610</v>
      </c>
      <c r="Q33" s="20">
        <f t="shared" si="7"/>
        <v>13585</v>
      </c>
      <c r="R33" s="19">
        <f t="shared" si="7"/>
        <v>12535</v>
      </c>
      <c r="S33" s="18">
        <f t="shared" si="7"/>
        <v>1.2975000000000001</v>
      </c>
      <c r="T33" s="17">
        <f t="shared" si="7"/>
        <v>1.0998000000000001</v>
      </c>
      <c r="U33" s="16">
        <f t="shared" si="7"/>
        <v>108.07</v>
      </c>
      <c r="V33" s="15">
        <f t="shared" si="7"/>
        <v>9576.74</v>
      </c>
      <c r="W33" s="15">
        <f t="shared" si="7"/>
        <v>9621.98</v>
      </c>
      <c r="X33" s="15">
        <f t="shared" si="7"/>
        <v>11370.645863570391</v>
      </c>
      <c r="Y33" s="14">
        <f t="shared" si="7"/>
        <v>1.2990999999999999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43832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43832</v>
      </c>
      <c r="C9" s="46">
        <v>32000</v>
      </c>
      <c r="D9" s="45">
        <v>32500</v>
      </c>
      <c r="E9" s="44">
        <f t="shared" ref="E9:E30" si="0">AVERAGE(C9:D9)</f>
        <v>32250</v>
      </c>
      <c r="F9" s="46">
        <v>32500</v>
      </c>
      <c r="G9" s="45">
        <v>33000</v>
      </c>
      <c r="H9" s="44">
        <f t="shared" ref="H9:H30" si="1">AVERAGE(F9:G9)</f>
        <v>32750</v>
      </c>
      <c r="I9" s="46">
        <v>34120</v>
      </c>
      <c r="J9" s="45">
        <v>35120</v>
      </c>
      <c r="K9" s="44">
        <f t="shared" ref="K9:K30" si="2">AVERAGE(I9:J9)</f>
        <v>34620</v>
      </c>
      <c r="L9" s="52">
        <v>32500</v>
      </c>
      <c r="M9" s="51">
        <v>1.3197000000000001</v>
      </c>
      <c r="N9" s="53">
        <v>1.1193</v>
      </c>
      <c r="O9" s="50">
        <v>108.79</v>
      </c>
      <c r="P9" s="43">
        <v>24626.81</v>
      </c>
      <c r="Q9" s="43">
        <v>24943.31</v>
      </c>
      <c r="R9" s="49">
        <f t="shared" ref="R9:R30" si="3">L9/N9</f>
        <v>29036.004645760746</v>
      </c>
      <c r="S9" s="48">
        <v>1.323</v>
      </c>
    </row>
    <row r="10" spans="1:19" x14ac:dyDescent="0.2">
      <c r="B10" s="47">
        <v>43833</v>
      </c>
      <c r="C10" s="46">
        <v>31500</v>
      </c>
      <c r="D10" s="45">
        <v>32000</v>
      </c>
      <c r="E10" s="44">
        <f t="shared" si="0"/>
        <v>31750</v>
      </c>
      <c r="F10" s="46">
        <v>32000</v>
      </c>
      <c r="G10" s="45">
        <v>32500</v>
      </c>
      <c r="H10" s="44">
        <f t="shared" si="1"/>
        <v>32250</v>
      </c>
      <c r="I10" s="46">
        <v>33615</v>
      </c>
      <c r="J10" s="45">
        <v>34615</v>
      </c>
      <c r="K10" s="44">
        <f t="shared" si="2"/>
        <v>34115</v>
      </c>
      <c r="L10" s="52">
        <v>32000</v>
      </c>
      <c r="M10" s="51">
        <v>1.3081</v>
      </c>
      <c r="N10" s="51">
        <v>1.1138999999999999</v>
      </c>
      <c r="O10" s="50">
        <v>108.07</v>
      </c>
      <c r="P10" s="43">
        <v>24462.959999999999</v>
      </c>
      <c r="Q10" s="43">
        <v>24782.68</v>
      </c>
      <c r="R10" s="49">
        <f t="shared" si="3"/>
        <v>28727.892988598622</v>
      </c>
      <c r="S10" s="48">
        <v>1.3113999999999999</v>
      </c>
    </row>
    <row r="11" spans="1:19" x14ac:dyDescent="0.2">
      <c r="B11" s="47">
        <v>43836</v>
      </c>
      <c r="C11" s="46">
        <v>31500</v>
      </c>
      <c r="D11" s="45">
        <v>32000</v>
      </c>
      <c r="E11" s="44">
        <f t="shared" si="0"/>
        <v>31750</v>
      </c>
      <c r="F11" s="46">
        <v>32000</v>
      </c>
      <c r="G11" s="45">
        <v>32500</v>
      </c>
      <c r="H11" s="44">
        <f t="shared" si="1"/>
        <v>32250</v>
      </c>
      <c r="I11" s="46">
        <v>33600</v>
      </c>
      <c r="J11" s="45">
        <v>34600</v>
      </c>
      <c r="K11" s="44">
        <f t="shared" si="2"/>
        <v>34100</v>
      </c>
      <c r="L11" s="52">
        <v>32000</v>
      </c>
      <c r="M11" s="51">
        <v>1.3140000000000001</v>
      </c>
      <c r="N11" s="51">
        <v>1.1198999999999999</v>
      </c>
      <c r="O11" s="50">
        <v>108.16</v>
      </c>
      <c r="P11" s="43">
        <v>24353.119999999999</v>
      </c>
      <c r="Q11" s="43">
        <v>24671.68</v>
      </c>
      <c r="R11" s="49">
        <f t="shared" si="3"/>
        <v>28573.979819626755</v>
      </c>
      <c r="S11" s="48">
        <v>1.3172999999999999</v>
      </c>
    </row>
    <row r="12" spans="1:19" x14ac:dyDescent="0.2">
      <c r="B12" s="47">
        <v>43837</v>
      </c>
      <c r="C12" s="46">
        <v>31500</v>
      </c>
      <c r="D12" s="45">
        <v>32000</v>
      </c>
      <c r="E12" s="44">
        <f t="shared" si="0"/>
        <v>31750</v>
      </c>
      <c r="F12" s="46">
        <v>32000</v>
      </c>
      <c r="G12" s="45">
        <v>32500</v>
      </c>
      <c r="H12" s="44">
        <f t="shared" si="1"/>
        <v>32250</v>
      </c>
      <c r="I12" s="46">
        <v>33595</v>
      </c>
      <c r="J12" s="45">
        <v>34595</v>
      </c>
      <c r="K12" s="44">
        <f t="shared" si="2"/>
        <v>34095</v>
      </c>
      <c r="L12" s="52">
        <v>32000</v>
      </c>
      <c r="M12" s="51">
        <v>1.3121</v>
      </c>
      <c r="N12" s="51">
        <v>1.1174999999999999</v>
      </c>
      <c r="O12" s="50">
        <v>108.43</v>
      </c>
      <c r="P12" s="43">
        <v>24388.39</v>
      </c>
      <c r="Q12" s="43">
        <v>24769.45</v>
      </c>
      <c r="R12" s="49">
        <f t="shared" si="3"/>
        <v>28635.346756152128</v>
      </c>
      <c r="S12" s="48">
        <v>1.3121</v>
      </c>
    </row>
    <row r="13" spans="1:19" x14ac:dyDescent="0.2">
      <c r="B13" s="47">
        <v>43838</v>
      </c>
      <c r="C13" s="46">
        <v>31000</v>
      </c>
      <c r="D13" s="45">
        <v>31500</v>
      </c>
      <c r="E13" s="44">
        <f t="shared" si="0"/>
        <v>31250</v>
      </c>
      <c r="F13" s="46">
        <v>31500</v>
      </c>
      <c r="G13" s="45">
        <v>32000</v>
      </c>
      <c r="H13" s="44">
        <f t="shared" si="1"/>
        <v>31750</v>
      </c>
      <c r="I13" s="46">
        <v>33085</v>
      </c>
      <c r="J13" s="45">
        <v>34085</v>
      </c>
      <c r="K13" s="44">
        <f t="shared" si="2"/>
        <v>33585</v>
      </c>
      <c r="L13" s="52">
        <v>31500</v>
      </c>
      <c r="M13" s="51">
        <v>1.3093999999999999</v>
      </c>
      <c r="N13" s="51">
        <v>1.1115999999999999</v>
      </c>
      <c r="O13" s="50">
        <v>108.77</v>
      </c>
      <c r="P13" s="43">
        <v>24056.82</v>
      </c>
      <c r="Q13" s="43">
        <v>24375.38</v>
      </c>
      <c r="R13" s="49">
        <f t="shared" si="3"/>
        <v>28337.531486146097</v>
      </c>
      <c r="S13" s="48">
        <v>1.3128</v>
      </c>
    </row>
    <row r="14" spans="1:19" x14ac:dyDescent="0.2">
      <c r="B14" s="47">
        <v>43839</v>
      </c>
      <c r="C14" s="46">
        <v>32500</v>
      </c>
      <c r="D14" s="45">
        <v>33000</v>
      </c>
      <c r="E14" s="44">
        <f t="shared" si="0"/>
        <v>32750</v>
      </c>
      <c r="F14" s="46">
        <v>33000</v>
      </c>
      <c r="G14" s="45">
        <v>33500</v>
      </c>
      <c r="H14" s="44">
        <f t="shared" si="1"/>
        <v>33250</v>
      </c>
      <c r="I14" s="46">
        <v>34580</v>
      </c>
      <c r="J14" s="45">
        <v>35580</v>
      </c>
      <c r="K14" s="44">
        <f t="shared" si="2"/>
        <v>35080</v>
      </c>
      <c r="L14" s="52">
        <v>33000</v>
      </c>
      <c r="M14" s="51">
        <v>1.3038000000000001</v>
      </c>
      <c r="N14" s="51">
        <v>1.1113999999999999</v>
      </c>
      <c r="O14" s="50">
        <v>109.36</v>
      </c>
      <c r="P14" s="43">
        <v>25310.63</v>
      </c>
      <c r="Q14" s="43">
        <v>25627.29</v>
      </c>
      <c r="R14" s="49">
        <f t="shared" si="3"/>
        <v>29692.280007198129</v>
      </c>
      <c r="S14" s="48">
        <v>1.3071999999999999</v>
      </c>
    </row>
    <row r="15" spans="1:19" x14ac:dyDescent="0.2">
      <c r="B15" s="47">
        <v>43840</v>
      </c>
      <c r="C15" s="46">
        <v>32000</v>
      </c>
      <c r="D15" s="45">
        <v>32500</v>
      </c>
      <c r="E15" s="44">
        <f t="shared" si="0"/>
        <v>32250</v>
      </c>
      <c r="F15" s="46">
        <v>32500</v>
      </c>
      <c r="G15" s="45">
        <v>33000</v>
      </c>
      <c r="H15" s="44">
        <f t="shared" si="1"/>
        <v>32750</v>
      </c>
      <c r="I15" s="46">
        <v>34080</v>
      </c>
      <c r="J15" s="45">
        <v>35080</v>
      </c>
      <c r="K15" s="44">
        <f t="shared" si="2"/>
        <v>34580</v>
      </c>
      <c r="L15" s="52">
        <v>32500</v>
      </c>
      <c r="M15" s="51">
        <v>1.3085</v>
      </c>
      <c r="N15" s="51">
        <v>1.1099000000000001</v>
      </c>
      <c r="O15" s="50">
        <v>109.64</v>
      </c>
      <c r="P15" s="43">
        <v>24837.599999999999</v>
      </c>
      <c r="Q15" s="43">
        <v>25154.36</v>
      </c>
      <c r="R15" s="49">
        <f t="shared" si="3"/>
        <v>29281.917289845929</v>
      </c>
      <c r="S15" s="48">
        <v>1.3119000000000001</v>
      </c>
    </row>
    <row r="16" spans="1:19" x14ac:dyDescent="0.2">
      <c r="B16" s="47">
        <v>43843</v>
      </c>
      <c r="C16" s="46">
        <v>32000</v>
      </c>
      <c r="D16" s="45">
        <v>32500</v>
      </c>
      <c r="E16" s="44">
        <f t="shared" si="0"/>
        <v>32250</v>
      </c>
      <c r="F16" s="46">
        <v>32500</v>
      </c>
      <c r="G16" s="45">
        <v>33000</v>
      </c>
      <c r="H16" s="44">
        <f t="shared" si="1"/>
        <v>32750</v>
      </c>
      <c r="I16" s="46">
        <v>34055</v>
      </c>
      <c r="J16" s="45">
        <v>35055</v>
      </c>
      <c r="K16" s="44">
        <f t="shared" si="2"/>
        <v>34555</v>
      </c>
      <c r="L16" s="52">
        <v>32500</v>
      </c>
      <c r="M16" s="51">
        <v>1.2976000000000001</v>
      </c>
      <c r="N16" s="51">
        <v>1.1125</v>
      </c>
      <c r="O16" s="50">
        <v>109.9</v>
      </c>
      <c r="P16" s="43">
        <v>25046.240000000002</v>
      </c>
      <c r="Q16" s="43">
        <v>25361.21</v>
      </c>
      <c r="R16" s="49">
        <f t="shared" si="3"/>
        <v>29213.483146067414</v>
      </c>
      <c r="S16" s="48">
        <v>1.3011999999999999</v>
      </c>
    </row>
    <row r="17" spans="2:19" x14ac:dyDescent="0.2">
      <c r="B17" s="47">
        <v>43844</v>
      </c>
      <c r="C17" s="46">
        <v>32000</v>
      </c>
      <c r="D17" s="45">
        <v>32500</v>
      </c>
      <c r="E17" s="44">
        <f t="shared" si="0"/>
        <v>32250</v>
      </c>
      <c r="F17" s="46">
        <v>32500</v>
      </c>
      <c r="G17" s="45">
        <v>33000</v>
      </c>
      <c r="H17" s="44">
        <f t="shared" si="1"/>
        <v>32750</v>
      </c>
      <c r="I17" s="46">
        <v>34055</v>
      </c>
      <c r="J17" s="45">
        <v>35055</v>
      </c>
      <c r="K17" s="44">
        <f t="shared" si="2"/>
        <v>34555</v>
      </c>
      <c r="L17" s="52">
        <v>32500</v>
      </c>
      <c r="M17" s="51">
        <v>1.2975000000000001</v>
      </c>
      <c r="N17" s="51">
        <v>1.1120000000000001</v>
      </c>
      <c r="O17" s="50">
        <v>110.07</v>
      </c>
      <c r="P17" s="43">
        <v>25048.17</v>
      </c>
      <c r="Q17" s="43">
        <v>25363.15</v>
      </c>
      <c r="R17" s="49">
        <f t="shared" si="3"/>
        <v>29226.618705035969</v>
      </c>
      <c r="S17" s="48">
        <v>1.3010999999999999</v>
      </c>
    </row>
    <row r="18" spans="2:19" x14ac:dyDescent="0.2">
      <c r="B18" s="47">
        <v>43845</v>
      </c>
      <c r="C18" s="46">
        <v>32000</v>
      </c>
      <c r="D18" s="45">
        <v>32500</v>
      </c>
      <c r="E18" s="44">
        <f t="shared" si="0"/>
        <v>32250</v>
      </c>
      <c r="F18" s="46">
        <v>32500</v>
      </c>
      <c r="G18" s="45">
        <v>33000</v>
      </c>
      <c r="H18" s="44">
        <f t="shared" si="1"/>
        <v>32750</v>
      </c>
      <c r="I18" s="46">
        <v>34050</v>
      </c>
      <c r="J18" s="45">
        <v>35050</v>
      </c>
      <c r="K18" s="44">
        <f t="shared" si="2"/>
        <v>34550</v>
      </c>
      <c r="L18" s="52">
        <v>32500</v>
      </c>
      <c r="M18" s="51">
        <v>1.3007</v>
      </c>
      <c r="N18" s="51">
        <v>1.1141000000000001</v>
      </c>
      <c r="O18" s="50">
        <v>109.87</v>
      </c>
      <c r="P18" s="43">
        <v>24986.55</v>
      </c>
      <c r="Q18" s="43">
        <v>25298.99</v>
      </c>
      <c r="R18" s="49">
        <f t="shared" si="3"/>
        <v>29171.528588098015</v>
      </c>
      <c r="S18" s="48">
        <v>1.3044</v>
      </c>
    </row>
    <row r="19" spans="2:19" x14ac:dyDescent="0.2">
      <c r="B19" s="47">
        <v>43846</v>
      </c>
      <c r="C19" s="46">
        <v>32000</v>
      </c>
      <c r="D19" s="45">
        <v>32500</v>
      </c>
      <c r="E19" s="44">
        <f t="shared" si="0"/>
        <v>32250</v>
      </c>
      <c r="F19" s="46">
        <v>32500</v>
      </c>
      <c r="G19" s="45">
        <v>33000</v>
      </c>
      <c r="H19" s="44">
        <f t="shared" si="1"/>
        <v>32750</v>
      </c>
      <c r="I19" s="46">
        <v>34045</v>
      </c>
      <c r="J19" s="45">
        <v>35045</v>
      </c>
      <c r="K19" s="44">
        <f t="shared" si="2"/>
        <v>34545</v>
      </c>
      <c r="L19" s="52">
        <v>32500</v>
      </c>
      <c r="M19" s="51">
        <v>1.3066</v>
      </c>
      <c r="N19" s="51">
        <v>1.1165</v>
      </c>
      <c r="O19" s="50">
        <v>109.98</v>
      </c>
      <c r="P19" s="43">
        <v>24873.72</v>
      </c>
      <c r="Q19" s="43">
        <v>25185.07</v>
      </c>
      <c r="R19" s="49">
        <f t="shared" si="3"/>
        <v>29108.822212270486</v>
      </c>
      <c r="S19" s="48">
        <v>1.3103</v>
      </c>
    </row>
    <row r="20" spans="2:19" x14ac:dyDescent="0.2">
      <c r="B20" s="47">
        <v>43847</v>
      </c>
      <c r="C20" s="46">
        <v>31500</v>
      </c>
      <c r="D20" s="45">
        <v>32000</v>
      </c>
      <c r="E20" s="44">
        <f t="shared" si="0"/>
        <v>31750</v>
      </c>
      <c r="F20" s="46">
        <v>32000</v>
      </c>
      <c r="G20" s="45">
        <v>32500</v>
      </c>
      <c r="H20" s="44">
        <f t="shared" si="1"/>
        <v>32250</v>
      </c>
      <c r="I20" s="46">
        <v>33540</v>
      </c>
      <c r="J20" s="45">
        <v>34540</v>
      </c>
      <c r="K20" s="44">
        <f t="shared" si="2"/>
        <v>34040</v>
      </c>
      <c r="L20" s="52">
        <v>32000</v>
      </c>
      <c r="M20" s="51">
        <v>1.3051999999999999</v>
      </c>
      <c r="N20" s="51">
        <v>1.111</v>
      </c>
      <c r="O20" s="50">
        <v>110.11</v>
      </c>
      <c r="P20" s="43">
        <v>24517.32</v>
      </c>
      <c r="Q20" s="43">
        <v>24830.01</v>
      </c>
      <c r="R20" s="49">
        <f t="shared" si="3"/>
        <v>28802.880288028802</v>
      </c>
      <c r="S20" s="48">
        <v>1.3089</v>
      </c>
    </row>
    <row r="21" spans="2:19" x14ac:dyDescent="0.2">
      <c r="B21" s="47">
        <v>43850</v>
      </c>
      <c r="C21" s="46">
        <v>31500</v>
      </c>
      <c r="D21" s="45">
        <v>32000</v>
      </c>
      <c r="E21" s="44">
        <f t="shared" si="0"/>
        <v>31750</v>
      </c>
      <c r="F21" s="46">
        <v>32000</v>
      </c>
      <c r="G21" s="45">
        <v>32500</v>
      </c>
      <c r="H21" s="44">
        <f t="shared" si="1"/>
        <v>32250</v>
      </c>
      <c r="I21" s="46">
        <v>33530</v>
      </c>
      <c r="J21" s="45">
        <v>34530</v>
      </c>
      <c r="K21" s="44">
        <f t="shared" si="2"/>
        <v>34030</v>
      </c>
      <c r="L21" s="52">
        <v>32000</v>
      </c>
      <c r="M21" s="51">
        <v>1.2990999999999999</v>
      </c>
      <c r="N21" s="51">
        <v>1.1084000000000001</v>
      </c>
      <c r="O21" s="50">
        <v>110.19</v>
      </c>
      <c r="P21" s="43">
        <v>24632.44</v>
      </c>
      <c r="Q21" s="43">
        <v>25017.32</v>
      </c>
      <c r="R21" s="49">
        <f t="shared" si="3"/>
        <v>28870.443883074702</v>
      </c>
      <c r="S21" s="48">
        <v>1.2990999999999999</v>
      </c>
    </row>
    <row r="22" spans="2:19" x14ac:dyDescent="0.2">
      <c r="B22" s="47">
        <v>43851</v>
      </c>
      <c r="C22" s="46">
        <v>31500</v>
      </c>
      <c r="D22" s="45">
        <v>32000</v>
      </c>
      <c r="E22" s="44">
        <f t="shared" si="0"/>
        <v>31750</v>
      </c>
      <c r="F22" s="46">
        <v>32000</v>
      </c>
      <c r="G22" s="45">
        <v>32500</v>
      </c>
      <c r="H22" s="44">
        <f t="shared" si="1"/>
        <v>32250</v>
      </c>
      <c r="I22" s="46">
        <v>33525</v>
      </c>
      <c r="J22" s="45">
        <v>34525</v>
      </c>
      <c r="K22" s="44">
        <f t="shared" si="2"/>
        <v>34025</v>
      </c>
      <c r="L22" s="52">
        <v>32000</v>
      </c>
      <c r="M22" s="51">
        <v>1.3048999999999999</v>
      </c>
      <c r="N22" s="51">
        <v>1.1109</v>
      </c>
      <c r="O22" s="50">
        <v>110.05</v>
      </c>
      <c r="P22" s="43">
        <v>24522.95</v>
      </c>
      <c r="Q22" s="43">
        <v>24835.7</v>
      </c>
      <c r="R22" s="49">
        <f t="shared" si="3"/>
        <v>28805.473039877576</v>
      </c>
      <c r="S22" s="48">
        <v>1.3086</v>
      </c>
    </row>
    <row r="23" spans="2:19" x14ac:dyDescent="0.2">
      <c r="B23" s="47">
        <v>43852</v>
      </c>
      <c r="C23" s="46">
        <v>31500</v>
      </c>
      <c r="D23" s="45">
        <v>32000</v>
      </c>
      <c r="E23" s="44">
        <f t="shared" si="0"/>
        <v>31750</v>
      </c>
      <c r="F23" s="46">
        <v>32000</v>
      </c>
      <c r="G23" s="45">
        <v>32500</v>
      </c>
      <c r="H23" s="44">
        <f t="shared" si="1"/>
        <v>32250</v>
      </c>
      <c r="I23" s="46">
        <v>33520</v>
      </c>
      <c r="J23" s="45">
        <v>34520</v>
      </c>
      <c r="K23" s="44">
        <f t="shared" si="2"/>
        <v>34020</v>
      </c>
      <c r="L23" s="52">
        <v>32000</v>
      </c>
      <c r="M23" s="51">
        <v>1.3121</v>
      </c>
      <c r="N23" s="51">
        <v>1.1083000000000001</v>
      </c>
      <c r="O23" s="50">
        <v>109.98</v>
      </c>
      <c r="P23" s="43">
        <v>24388.39</v>
      </c>
      <c r="Q23" s="43">
        <v>24699.8</v>
      </c>
      <c r="R23" s="49">
        <f t="shared" si="3"/>
        <v>28873.04881349815</v>
      </c>
      <c r="S23" s="48">
        <v>1.3158000000000001</v>
      </c>
    </row>
    <row r="24" spans="2:19" x14ac:dyDescent="0.2">
      <c r="B24" s="47">
        <v>43853</v>
      </c>
      <c r="C24" s="46">
        <v>31750</v>
      </c>
      <c r="D24" s="45">
        <v>32250</v>
      </c>
      <c r="E24" s="44">
        <f t="shared" si="0"/>
        <v>32000</v>
      </c>
      <c r="F24" s="46">
        <v>32250</v>
      </c>
      <c r="G24" s="45">
        <v>32750</v>
      </c>
      <c r="H24" s="44">
        <f t="shared" si="1"/>
        <v>32500</v>
      </c>
      <c r="I24" s="46">
        <v>33770</v>
      </c>
      <c r="J24" s="45">
        <v>34770</v>
      </c>
      <c r="K24" s="44">
        <f t="shared" si="2"/>
        <v>34270</v>
      </c>
      <c r="L24" s="52">
        <v>32250</v>
      </c>
      <c r="M24" s="51">
        <v>1.3124</v>
      </c>
      <c r="N24" s="51">
        <v>1.1085</v>
      </c>
      <c r="O24" s="50">
        <v>109.6</v>
      </c>
      <c r="P24" s="43">
        <v>24573.3</v>
      </c>
      <c r="Q24" s="43">
        <v>24884.13</v>
      </c>
      <c r="R24" s="49">
        <f t="shared" si="3"/>
        <v>29093.36941813261</v>
      </c>
      <c r="S24" s="48">
        <v>1.3161</v>
      </c>
    </row>
    <row r="25" spans="2:19" x14ac:dyDescent="0.2">
      <c r="B25" s="47">
        <v>43854</v>
      </c>
      <c r="C25" s="46">
        <v>31750</v>
      </c>
      <c r="D25" s="45">
        <v>32250</v>
      </c>
      <c r="E25" s="44">
        <f t="shared" si="0"/>
        <v>32000</v>
      </c>
      <c r="F25" s="46">
        <v>32250</v>
      </c>
      <c r="G25" s="45">
        <v>32750</v>
      </c>
      <c r="H25" s="44">
        <f t="shared" si="1"/>
        <v>32500</v>
      </c>
      <c r="I25" s="46">
        <v>33765</v>
      </c>
      <c r="J25" s="45">
        <v>34765</v>
      </c>
      <c r="K25" s="44">
        <f t="shared" si="2"/>
        <v>34265</v>
      </c>
      <c r="L25" s="52">
        <v>32250</v>
      </c>
      <c r="M25" s="51">
        <v>1.3083</v>
      </c>
      <c r="N25" s="51">
        <v>1.1028</v>
      </c>
      <c r="O25" s="50">
        <v>109.62</v>
      </c>
      <c r="P25" s="43">
        <v>24650.31</v>
      </c>
      <c r="Q25" s="43">
        <v>24961.89</v>
      </c>
      <c r="R25" s="49">
        <f t="shared" si="3"/>
        <v>29243.743199129487</v>
      </c>
      <c r="S25" s="48">
        <v>1.3120000000000001</v>
      </c>
    </row>
    <row r="26" spans="2:19" x14ac:dyDescent="0.2">
      <c r="B26" s="47">
        <v>43857</v>
      </c>
      <c r="C26" s="46">
        <v>31750</v>
      </c>
      <c r="D26" s="45">
        <v>32750</v>
      </c>
      <c r="E26" s="44">
        <f t="shared" si="0"/>
        <v>32250</v>
      </c>
      <c r="F26" s="46">
        <v>32250</v>
      </c>
      <c r="G26" s="45">
        <v>32750</v>
      </c>
      <c r="H26" s="44">
        <f t="shared" si="1"/>
        <v>32500</v>
      </c>
      <c r="I26" s="46">
        <v>33750</v>
      </c>
      <c r="J26" s="45">
        <v>34750</v>
      </c>
      <c r="K26" s="44">
        <f t="shared" si="2"/>
        <v>34250</v>
      </c>
      <c r="L26" s="52">
        <v>32750</v>
      </c>
      <c r="M26" s="51">
        <v>1.3068</v>
      </c>
      <c r="N26" s="51">
        <v>1.1023000000000001</v>
      </c>
      <c r="O26" s="50">
        <v>108.96</v>
      </c>
      <c r="P26" s="43">
        <v>25061.22</v>
      </c>
      <c r="Q26" s="43">
        <v>24990.46</v>
      </c>
      <c r="R26" s="49">
        <f t="shared" si="3"/>
        <v>29710.605098430551</v>
      </c>
      <c r="S26" s="48">
        <v>1.3105</v>
      </c>
    </row>
    <row r="27" spans="2:19" x14ac:dyDescent="0.2">
      <c r="B27" s="47">
        <v>43858</v>
      </c>
      <c r="C27" s="46">
        <v>31750</v>
      </c>
      <c r="D27" s="45">
        <v>32250</v>
      </c>
      <c r="E27" s="44">
        <f t="shared" si="0"/>
        <v>32000</v>
      </c>
      <c r="F27" s="46">
        <v>32250</v>
      </c>
      <c r="G27" s="45">
        <v>32750</v>
      </c>
      <c r="H27" s="44">
        <f t="shared" si="1"/>
        <v>32500</v>
      </c>
      <c r="I27" s="46">
        <v>33745</v>
      </c>
      <c r="J27" s="45">
        <v>34745</v>
      </c>
      <c r="K27" s="44">
        <f t="shared" si="2"/>
        <v>34245</v>
      </c>
      <c r="L27" s="52">
        <v>32250</v>
      </c>
      <c r="M27" s="51">
        <v>1.3011999999999999</v>
      </c>
      <c r="N27" s="51">
        <v>1.1007</v>
      </c>
      <c r="O27" s="50">
        <v>109.06</v>
      </c>
      <c r="P27" s="43">
        <v>24784.81</v>
      </c>
      <c r="Q27" s="43">
        <v>25097.71</v>
      </c>
      <c r="R27" s="49">
        <f t="shared" si="3"/>
        <v>29299.536658490051</v>
      </c>
      <c r="S27" s="48">
        <v>1.3048999999999999</v>
      </c>
    </row>
    <row r="28" spans="2:19" x14ac:dyDescent="0.2">
      <c r="B28" s="47">
        <v>43859</v>
      </c>
      <c r="C28" s="46">
        <v>32000</v>
      </c>
      <c r="D28" s="45">
        <v>32500</v>
      </c>
      <c r="E28" s="44">
        <f t="shared" si="0"/>
        <v>32250</v>
      </c>
      <c r="F28" s="46">
        <v>32500</v>
      </c>
      <c r="G28" s="45">
        <v>33000</v>
      </c>
      <c r="H28" s="44">
        <f t="shared" si="1"/>
        <v>32750</v>
      </c>
      <c r="I28" s="46">
        <v>33990</v>
      </c>
      <c r="J28" s="45">
        <v>34990</v>
      </c>
      <c r="K28" s="44">
        <f t="shared" si="2"/>
        <v>34490</v>
      </c>
      <c r="L28" s="52">
        <v>32500</v>
      </c>
      <c r="M28" s="51">
        <v>1.3008999999999999</v>
      </c>
      <c r="N28" s="51">
        <v>1.0998000000000001</v>
      </c>
      <c r="O28" s="50">
        <v>109.12</v>
      </c>
      <c r="P28" s="43">
        <v>24982.7</v>
      </c>
      <c r="Q28" s="43">
        <v>25297.05</v>
      </c>
      <c r="R28" s="49">
        <f t="shared" si="3"/>
        <v>29550.827423167844</v>
      </c>
      <c r="S28" s="48">
        <v>1.3045</v>
      </c>
    </row>
    <row r="29" spans="2:19" x14ac:dyDescent="0.2">
      <c r="B29" s="47">
        <v>43860</v>
      </c>
      <c r="C29" s="46">
        <v>32000</v>
      </c>
      <c r="D29" s="45">
        <v>32500</v>
      </c>
      <c r="E29" s="44">
        <f t="shared" si="0"/>
        <v>32250</v>
      </c>
      <c r="F29" s="46">
        <v>32500</v>
      </c>
      <c r="G29" s="45">
        <v>33000</v>
      </c>
      <c r="H29" s="44">
        <f t="shared" si="1"/>
        <v>32750</v>
      </c>
      <c r="I29" s="46">
        <v>33990</v>
      </c>
      <c r="J29" s="45">
        <v>34990</v>
      </c>
      <c r="K29" s="44">
        <f t="shared" si="2"/>
        <v>34490</v>
      </c>
      <c r="L29" s="52">
        <v>32500</v>
      </c>
      <c r="M29" s="51">
        <v>1.3089</v>
      </c>
      <c r="N29" s="51">
        <v>1.1024</v>
      </c>
      <c r="O29" s="50">
        <v>108.78</v>
      </c>
      <c r="P29" s="43">
        <v>24830.01</v>
      </c>
      <c r="Q29" s="43">
        <v>25150.52</v>
      </c>
      <c r="R29" s="49">
        <f t="shared" si="3"/>
        <v>29481.132075471698</v>
      </c>
      <c r="S29" s="48">
        <v>1.3121</v>
      </c>
    </row>
    <row r="30" spans="2:19" x14ac:dyDescent="0.2">
      <c r="B30" s="47">
        <v>43861</v>
      </c>
      <c r="C30" s="46">
        <v>34250</v>
      </c>
      <c r="D30" s="45">
        <v>34750</v>
      </c>
      <c r="E30" s="44">
        <f t="shared" si="0"/>
        <v>34500</v>
      </c>
      <c r="F30" s="46">
        <v>34750</v>
      </c>
      <c r="G30" s="45">
        <v>35250</v>
      </c>
      <c r="H30" s="44">
        <f t="shared" si="1"/>
        <v>35000</v>
      </c>
      <c r="I30" s="46">
        <v>36240</v>
      </c>
      <c r="J30" s="45">
        <v>37240</v>
      </c>
      <c r="K30" s="44">
        <f t="shared" si="2"/>
        <v>36740</v>
      </c>
      <c r="L30" s="52">
        <v>34750</v>
      </c>
      <c r="M30" s="51">
        <v>1.3123</v>
      </c>
      <c r="N30" s="51">
        <v>1.1048</v>
      </c>
      <c r="O30" s="50">
        <v>108.97</v>
      </c>
      <c r="P30" s="43">
        <v>26480.23</v>
      </c>
      <c r="Q30" s="43">
        <v>26795.9</v>
      </c>
      <c r="R30" s="49">
        <f t="shared" si="3"/>
        <v>31453.656770456189</v>
      </c>
      <c r="S30" s="48">
        <v>1.3154999999999999</v>
      </c>
    </row>
    <row r="31" spans="2:19" s="10" customFormat="1" x14ac:dyDescent="0.2">
      <c r="B31" s="42" t="s">
        <v>11</v>
      </c>
      <c r="C31" s="41">
        <f>ROUND(AVERAGE(C9:C30),2)</f>
        <v>31875</v>
      </c>
      <c r="D31" s="40">
        <f>ROUND(AVERAGE(D9:D30),2)</f>
        <v>32397.73</v>
      </c>
      <c r="E31" s="39">
        <f>ROUND(AVERAGE(C31:D31),2)</f>
        <v>32136.37</v>
      </c>
      <c r="F31" s="41">
        <f>ROUND(AVERAGE(F9:F30),2)</f>
        <v>32375</v>
      </c>
      <c r="G31" s="40">
        <f>ROUND(AVERAGE(G9:G30),2)</f>
        <v>32875</v>
      </c>
      <c r="H31" s="39">
        <f>ROUND(AVERAGE(F31:G31),2)</f>
        <v>32625</v>
      </c>
      <c r="I31" s="41">
        <f>ROUND(AVERAGE(I9:I30),2)</f>
        <v>33920.230000000003</v>
      </c>
      <c r="J31" s="40">
        <f>ROUND(AVERAGE(J9:J30),2)</f>
        <v>34920.230000000003</v>
      </c>
      <c r="K31" s="39">
        <f>ROUND(AVERAGE(I31:J31),2)</f>
        <v>34420.230000000003</v>
      </c>
      <c r="L31" s="38">
        <f>ROUND(AVERAGE(L9:L30),2)</f>
        <v>32397.73</v>
      </c>
      <c r="M31" s="37">
        <f>ROUND(AVERAGE(M9:M30),4)</f>
        <v>1.3068</v>
      </c>
      <c r="N31" s="36">
        <f>ROUND(AVERAGE(N9:N30),4)</f>
        <v>1.1099000000000001</v>
      </c>
      <c r="O31" s="175">
        <f>ROUND(AVERAGE(O9:O30),2)</f>
        <v>109.34</v>
      </c>
      <c r="P31" s="35">
        <f>AVERAGE(P9:P30)</f>
        <v>24791.57681818182</v>
      </c>
      <c r="Q31" s="35">
        <f>AVERAGE(Q9:Q30)</f>
        <v>25095.139090909095</v>
      </c>
      <c r="R31" s="35">
        <f>AVERAGE(R9:R30)</f>
        <v>29190.460105116272</v>
      </c>
      <c r="S31" s="34">
        <f>AVERAGE(S9:S30)</f>
        <v>1.310031818181818</v>
      </c>
    </row>
    <row r="32" spans="2:19" s="5" customFormat="1" x14ac:dyDescent="0.2">
      <c r="B32" s="33" t="s">
        <v>12</v>
      </c>
      <c r="C32" s="32">
        <f t="shared" ref="C32:S32" si="4">MAX(C9:C30)</f>
        <v>34250</v>
      </c>
      <c r="D32" s="31">
        <f t="shared" si="4"/>
        <v>34750</v>
      </c>
      <c r="E32" s="30">
        <f t="shared" si="4"/>
        <v>34500</v>
      </c>
      <c r="F32" s="32">
        <f t="shared" si="4"/>
        <v>34750</v>
      </c>
      <c r="G32" s="31">
        <f t="shared" si="4"/>
        <v>35250</v>
      </c>
      <c r="H32" s="30">
        <f t="shared" si="4"/>
        <v>35000</v>
      </c>
      <c r="I32" s="32">
        <f t="shared" si="4"/>
        <v>36240</v>
      </c>
      <c r="J32" s="31">
        <f t="shared" si="4"/>
        <v>37240</v>
      </c>
      <c r="K32" s="30">
        <f t="shared" si="4"/>
        <v>36740</v>
      </c>
      <c r="L32" s="29">
        <f t="shared" si="4"/>
        <v>34750</v>
      </c>
      <c r="M32" s="28">
        <f t="shared" si="4"/>
        <v>1.3197000000000001</v>
      </c>
      <c r="N32" s="27">
        <f t="shared" si="4"/>
        <v>1.1198999999999999</v>
      </c>
      <c r="O32" s="26">
        <f t="shared" si="4"/>
        <v>110.19</v>
      </c>
      <c r="P32" s="25">
        <f t="shared" si="4"/>
        <v>26480.23</v>
      </c>
      <c r="Q32" s="25">
        <f t="shared" si="4"/>
        <v>26795.9</v>
      </c>
      <c r="R32" s="25">
        <f t="shared" si="4"/>
        <v>31453.656770456189</v>
      </c>
      <c r="S32" s="24">
        <f t="shared" si="4"/>
        <v>1.323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31000</v>
      </c>
      <c r="D33" s="21">
        <f t="shared" si="5"/>
        <v>31500</v>
      </c>
      <c r="E33" s="20">
        <f t="shared" si="5"/>
        <v>31250</v>
      </c>
      <c r="F33" s="22">
        <f t="shared" si="5"/>
        <v>31500</v>
      </c>
      <c r="G33" s="21">
        <f t="shared" si="5"/>
        <v>32000</v>
      </c>
      <c r="H33" s="20">
        <f t="shared" si="5"/>
        <v>31750</v>
      </c>
      <c r="I33" s="22">
        <f t="shared" si="5"/>
        <v>33085</v>
      </c>
      <c r="J33" s="21">
        <f t="shared" si="5"/>
        <v>34085</v>
      </c>
      <c r="K33" s="20">
        <f t="shared" si="5"/>
        <v>33585</v>
      </c>
      <c r="L33" s="19">
        <f t="shared" si="5"/>
        <v>31500</v>
      </c>
      <c r="M33" s="18">
        <f t="shared" si="5"/>
        <v>1.2975000000000001</v>
      </c>
      <c r="N33" s="17">
        <f t="shared" si="5"/>
        <v>1.0998000000000001</v>
      </c>
      <c r="O33" s="16">
        <f t="shared" si="5"/>
        <v>108.07</v>
      </c>
      <c r="P33" s="15">
        <f t="shared" si="5"/>
        <v>24056.82</v>
      </c>
      <c r="Q33" s="15">
        <f t="shared" si="5"/>
        <v>24375.38</v>
      </c>
      <c r="R33" s="15">
        <f t="shared" si="5"/>
        <v>28337.531486146097</v>
      </c>
      <c r="S33" s="14">
        <f t="shared" si="5"/>
        <v>1.2990999999999999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>
      <selection activeCell="G59" sqref="G59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43861</v>
      </c>
      <c r="D5" s="74"/>
      <c r="F5" s="75">
        <v>43861</v>
      </c>
      <c r="G5" s="74"/>
      <c r="I5" s="75">
        <v>43861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43832</v>
      </c>
      <c r="D8" s="68">
        <v>6217</v>
      </c>
      <c r="F8" s="69">
        <f t="shared" ref="F8:F29" si="0">C8</f>
        <v>43832</v>
      </c>
      <c r="G8" s="68">
        <v>1812.3</v>
      </c>
      <c r="I8" s="69">
        <f t="shared" ref="I8:I29" si="1">C8</f>
        <v>43832</v>
      </c>
      <c r="J8" s="68">
        <v>2285.61</v>
      </c>
    </row>
    <row r="9" spans="2:10" x14ac:dyDescent="0.2">
      <c r="C9" s="69">
        <v>43833</v>
      </c>
      <c r="D9" s="68">
        <v>6163</v>
      </c>
      <c r="F9" s="69">
        <f t="shared" si="0"/>
        <v>43833</v>
      </c>
      <c r="G9" s="68">
        <v>1796.35</v>
      </c>
      <c r="I9" s="69">
        <f t="shared" si="1"/>
        <v>43833</v>
      </c>
      <c r="J9" s="68">
        <v>2286.44</v>
      </c>
    </row>
    <row r="10" spans="2:10" x14ac:dyDescent="0.2">
      <c r="C10" s="69">
        <v>43836</v>
      </c>
      <c r="D10" s="68">
        <v>6129.98</v>
      </c>
      <c r="F10" s="69">
        <f t="shared" si="0"/>
        <v>43836</v>
      </c>
      <c r="G10" s="68">
        <v>1818.98</v>
      </c>
      <c r="I10" s="69">
        <f t="shared" si="1"/>
        <v>43836</v>
      </c>
      <c r="J10" s="68">
        <v>2330.4899999999998</v>
      </c>
    </row>
    <row r="11" spans="2:10" x14ac:dyDescent="0.2">
      <c r="C11" s="69">
        <v>43837</v>
      </c>
      <c r="D11" s="68">
        <v>6176.87</v>
      </c>
      <c r="F11" s="69">
        <f t="shared" si="0"/>
        <v>43837</v>
      </c>
      <c r="G11" s="68">
        <v>1831.5</v>
      </c>
      <c r="I11" s="69">
        <f t="shared" si="1"/>
        <v>43837</v>
      </c>
      <c r="J11" s="68">
        <v>2326.61</v>
      </c>
    </row>
    <row r="12" spans="2:10" x14ac:dyDescent="0.2">
      <c r="C12" s="69">
        <v>43838</v>
      </c>
      <c r="D12" s="68">
        <v>6168.38</v>
      </c>
      <c r="F12" s="69">
        <f t="shared" si="0"/>
        <v>43838</v>
      </c>
      <c r="G12" s="68">
        <v>1822</v>
      </c>
      <c r="I12" s="69">
        <f t="shared" si="1"/>
        <v>43838</v>
      </c>
      <c r="J12" s="68">
        <v>2356.5</v>
      </c>
    </row>
    <row r="13" spans="2:10" x14ac:dyDescent="0.2">
      <c r="C13" s="69">
        <v>43839</v>
      </c>
      <c r="D13" s="68">
        <v>6197.59</v>
      </c>
      <c r="F13" s="69">
        <f t="shared" si="0"/>
        <v>43839</v>
      </c>
      <c r="G13" s="68">
        <v>1797.86</v>
      </c>
      <c r="I13" s="69">
        <f t="shared" si="1"/>
        <v>43839</v>
      </c>
      <c r="J13" s="68">
        <v>2382.94</v>
      </c>
    </row>
    <row r="14" spans="2:10" x14ac:dyDescent="0.2">
      <c r="C14" s="69">
        <v>43840</v>
      </c>
      <c r="D14" s="68">
        <v>6193.5</v>
      </c>
      <c r="F14" s="69">
        <f t="shared" si="0"/>
        <v>43840</v>
      </c>
      <c r="G14" s="68">
        <v>1808.75</v>
      </c>
      <c r="I14" s="69">
        <f t="shared" si="1"/>
        <v>43840</v>
      </c>
      <c r="J14" s="68">
        <v>2367.5</v>
      </c>
    </row>
    <row r="15" spans="2:10" x14ac:dyDescent="0.2">
      <c r="C15" s="69">
        <v>43843</v>
      </c>
      <c r="D15" s="68">
        <v>6219.78</v>
      </c>
      <c r="F15" s="69">
        <f t="shared" si="0"/>
        <v>43843</v>
      </c>
      <c r="G15" s="68">
        <v>1803.37</v>
      </c>
      <c r="I15" s="69">
        <f t="shared" si="1"/>
        <v>43843</v>
      </c>
      <c r="J15" s="68">
        <v>2367.3200000000002</v>
      </c>
    </row>
    <row r="16" spans="2:10" x14ac:dyDescent="0.2">
      <c r="C16" s="69">
        <v>43844</v>
      </c>
      <c r="D16" s="68">
        <v>6289.58</v>
      </c>
      <c r="F16" s="69">
        <f t="shared" si="0"/>
        <v>43844</v>
      </c>
      <c r="G16" s="68">
        <v>1796.5</v>
      </c>
      <c r="I16" s="69">
        <f t="shared" si="1"/>
        <v>43844</v>
      </c>
      <c r="J16" s="68">
        <v>2366</v>
      </c>
    </row>
    <row r="17" spans="2:10" x14ac:dyDescent="0.2">
      <c r="C17" s="69">
        <v>43845</v>
      </c>
      <c r="D17" s="68">
        <v>6269.77</v>
      </c>
      <c r="F17" s="69">
        <f t="shared" si="0"/>
        <v>43845</v>
      </c>
      <c r="G17" s="68">
        <v>1799.5</v>
      </c>
      <c r="I17" s="69">
        <f t="shared" si="1"/>
        <v>43845</v>
      </c>
      <c r="J17" s="68">
        <v>2369.5</v>
      </c>
    </row>
    <row r="18" spans="2:10" x14ac:dyDescent="0.2">
      <c r="C18" s="69">
        <v>43846</v>
      </c>
      <c r="D18" s="68">
        <v>6279.82</v>
      </c>
      <c r="F18" s="69">
        <f t="shared" si="0"/>
        <v>43846</v>
      </c>
      <c r="G18" s="68">
        <v>1805.09</v>
      </c>
      <c r="I18" s="69">
        <f t="shared" si="1"/>
        <v>43846</v>
      </c>
      <c r="J18" s="68">
        <v>2387.3200000000002</v>
      </c>
    </row>
    <row r="19" spans="2:10" x14ac:dyDescent="0.2">
      <c r="C19" s="69">
        <v>43847</v>
      </c>
      <c r="D19" s="68">
        <v>6298.8</v>
      </c>
      <c r="F19" s="69">
        <f t="shared" si="0"/>
        <v>43847</v>
      </c>
      <c r="G19" s="68">
        <v>1812</v>
      </c>
      <c r="I19" s="69">
        <f t="shared" si="1"/>
        <v>43847</v>
      </c>
      <c r="J19" s="68">
        <v>2409</v>
      </c>
    </row>
    <row r="20" spans="2:10" x14ac:dyDescent="0.2">
      <c r="C20" s="69">
        <v>43850</v>
      </c>
      <c r="D20" s="68">
        <v>6288.32</v>
      </c>
      <c r="F20" s="69">
        <f t="shared" si="0"/>
        <v>43850</v>
      </c>
      <c r="G20" s="68">
        <v>1809.98</v>
      </c>
      <c r="I20" s="69">
        <f t="shared" si="1"/>
        <v>43850</v>
      </c>
      <c r="J20" s="68">
        <v>2443.42</v>
      </c>
    </row>
    <row r="21" spans="2:10" x14ac:dyDescent="0.2">
      <c r="C21" s="69">
        <v>43851</v>
      </c>
      <c r="D21" s="68">
        <v>6171.32</v>
      </c>
      <c r="F21" s="69">
        <f t="shared" si="0"/>
        <v>43851</v>
      </c>
      <c r="G21" s="68">
        <v>1805.03</v>
      </c>
      <c r="I21" s="69">
        <f t="shared" si="1"/>
        <v>43851</v>
      </c>
      <c r="J21" s="68">
        <v>2403.69</v>
      </c>
    </row>
    <row r="22" spans="2:10" x14ac:dyDescent="0.2">
      <c r="C22" s="69">
        <v>43852</v>
      </c>
      <c r="D22" s="68">
        <v>6168.87</v>
      </c>
      <c r="F22" s="69">
        <f t="shared" si="0"/>
        <v>43852</v>
      </c>
      <c r="G22" s="68">
        <v>1823.06</v>
      </c>
      <c r="I22" s="69">
        <f t="shared" si="1"/>
        <v>43852</v>
      </c>
      <c r="J22" s="68">
        <v>2443.5</v>
      </c>
    </row>
    <row r="23" spans="2:10" x14ac:dyDescent="0.2">
      <c r="C23" s="69">
        <v>43853</v>
      </c>
      <c r="D23" s="68">
        <v>6083</v>
      </c>
      <c r="F23" s="69">
        <f t="shared" si="0"/>
        <v>43853</v>
      </c>
      <c r="G23" s="68">
        <v>1801.58</v>
      </c>
      <c r="I23" s="69">
        <f t="shared" si="1"/>
        <v>43853</v>
      </c>
      <c r="J23" s="68">
        <v>2383.2800000000002</v>
      </c>
    </row>
    <row r="24" spans="2:10" x14ac:dyDescent="0.2">
      <c r="C24" s="69">
        <v>43854</v>
      </c>
      <c r="D24" s="68">
        <v>6010.37</v>
      </c>
      <c r="F24" s="69">
        <f t="shared" si="0"/>
        <v>43854</v>
      </c>
      <c r="G24" s="68">
        <v>1792.15</v>
      </c>
      <c r="I24" s="69">
        <f t="shared" si="1"/>
        <v>43854</v>
      </c>
      <c r="J24" s="68">
        <v>2338.87</v>
      </c>
    </row>
    <row r="25" spans="2:10" x14ac:dyDescent="0.2">
      <c r="C25" s="69">
        <v>43857</v>
      </c>
      <c r="D25" s="68">
        <v>5827.95</v>
      </c>
      <c r="F25" s="69">
        <f t="shared" si="0"/>
        <v>43857</v>
      </c>
      <c r="G25" s="68">
        <v>1770.5</v>
      </c>
      <c r="I25" s="69">
        <f t="shared" si="1"/>
        <v>43857</v>
      </c>
      <c r="J25" s="68">
        <v>2297.5</v>
      </c>
    </row>
    <row r="26" spans="2:10" x14ac:dyDescent="0.2">
      <c r="C26" s="69">
        <v>43858</v>
      </c>
      <c r="D26" s="68">
        <v>5743.72</v>
      </c>
      <c r="F26" s="69">
        <f t="shared" si="0"/>
        <v>43858</v>
      </c>
      <c r="G26" s="68">
        <v>1766.5</v>
      </c>
      <c r="I26" s="69">
        <f t="shared" si="1"/>
        <v>43858</v>
      </c>
      <c r="J26" s="68">
        <v>2247.5</v>
      </c>
    </row>
    <row r="27" spans="2:10" x14ac:dyDescent="0.2">
      <c r="C27" s="69">
        <v>43859</v>
      </c>
      <c r="D27" s="68">
        <v>5739</v>
      </c>
      <c r="F27" s="69">
        <f t="shared" si="0"/>
        <v>43859</v>
      </c>
      <c r="G27" s="68">
        <v>1754.5</v>
      </c>
      <c r="I27" s="69">
        <f t="shared" si="1"/>
        <v>43859</v>
      </c>
      <c r="J27" s="68">
        <v>2246.9299999999998</v>
      </c>
    </row>
    <row r="28" spans="2:10" x14ac:dyDescent="0.2">
      <c r="C28" s="69">
        <v>43860</v>
      </c>
      <c r="D28" s="68">
        <v>5588.5</v>
      </c>
      <c r="F28" s="69">
        <f t="shared" si="0"/>
        <v>43860</v>
      </c>
      <c r="G28" s="68">
        <v>1732</v>
      </c>
      <c r="I28" s="69">
        <f t="shared" si="1"/>
        <v>43860</v>
      </c>
      <c r="J28" s="68">
        <v>2204</v>
      </c>
    </row>
    <row r="29" spans="2:10" ht="13.5" thickBot="1" x14ac:dyDescent="0.25">
      <c r="C29" s="69">
        <v>43861</v>
      </c>
      <c r="D29" s="68">
        <v>5605.5</v>
      </c>
      <c r="F29" s="69">
        <f t="shared" si="0"/>
        <v>43861</v>
      </c>
      <c r="G29" s="68">
        <v>1726.5</v>
      </c>
      <c r="I29" s="69">
        <f t="shared" si="1"/>
        <v>43861</v>
      </c>
      <c r="J29" s="68">
        <v>2195</v>
      </c>
    </row>
    <row r="30" spans="2:10" x14ac:dyDescent="0.2">
      <c r="B30" s="5"/>
      <c r="C30" s="67" t="s">
        <v>11</v>
      </c>
      <c r="D30" s="66">
        <f>ROUND(AVERAGE(D8:D29),2)</f>
        <v>6083.21</v>
      </c>
      <c r="F30" s="67" t="s">
        <v>11</v>
      </c>
      <c r="G30" s="66">
        <f>ROUND(AVERAGE(G8:G29),2)</f>
        <v>1794.82</v>
      </c>
      <c r="I30" s="67" t="s">
        <v>11</v>
      </c>
      <c r="J30" s="66">
        <f>ROUND(AVERAGE(J8:J29),2)</f>
        <v>2338.13</v>
      </c>
    </row>
    <row r="31" spans="2:10" x14ac:dyDescent="0.2">
      <c r="B31" s="5"/>
      <c r="C31" s="65" t="s">
        <v>12</v>
      </c>
      <c r="D31" s="64">
        <f>MAX(D8:D29)</f>
        <v>6298.8</v>
      </c>
      <c r="F31" s="65" t="s">
        <v>12</v>
      </c>
      <c r="G31" s="64">
        <f>MAX(G8:G29)</f>
        <v>1831.5</v>
      </c>
      <c r="I31" s="65" t="s">
        <v>12</v>
      </c>
      <c r="J31" s="64">
        <f>MAX(J8:J29)</f>
        <v>2443.5</v>
      </c>
    </row>
    <row r="32" spans="2:10" x14ac:dyDescent="0.2">
      <c r="B32" s="5"/>
      <c r="C32" s="63" t="s">
        <v>13</v>
      </c>
      <c r="D32" s="62">
        <f>MIN(D8:D29)</f>
        <v>5588.5</v>
      </c>
      <c r="F32" s="63" t="s">
        <v>13</v>
      </c>
      <c r="G32" s="62">
        <f>MIN(G8:G29)</f>
        <v>1726.5</v>
      </c>
      <c r="I32" s="63" t="s">
        <v>13</v>
      </c>
      <c r="J32" s="62">
        <f>MIN(J8:J29)</f>
        <v>2195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6083.21</v>
      </c>
      <c r="D11" s="155">
        <f>ABR!G30</f>
        <v>1794.82</v>
      </c>
      <c r="E11" s="155">
        <f>ABR!J30</f>
        <v>2338.13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1.3068</v>
      </c>
    </row>
    <row r="18" spans="2:9" x14ac:dyDescent="0.2">
      <c r="B18" s="151" t="s">
        <v>43</v>
      </c>
      <c r="C18" s="150">
        <f>'Averages Inc. Euro Eq'!F67</f>
        <v>109.34</v>
      </c>
    </row>
    <row r="19" spans="2:9" x14ac:dyDescent="0.2">
      <c r="B19" s="151" t="s">
        <v>41</v>
      </c>
      <c r="C19" s="149">
        <f>'Averages Inc. Euro Eq'!F68</f>
        <v>1.1099000000000001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1771.14</v>
      </c>
      <c r="D13" s="113">
        <v>1375.68</v>
      </c>
      <c r="E13" s="113">
        <v>6048.09</v>
      </c>
      <c r="F13" s="113">
        <v>1924.23</v>
      </c>
      <c r="G13" s="113">
        <v>13545.91</v>
      </c>
      <c r="H13" s="113">
        <v>17052.27</v>
      </c>
      <c r="I13" s="113">
        <v>2355.9299999999998</v>
      </c>
      <c r="J13" s="113">
        <v>1243.6400000000001</v>
      </c>
      <c r="K13" s="113">
        <v>0.5</v>
      </c>
      <c r="L13" s="113">
        <v>31875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1771.73</v>
      </c>
      <c r="D15" s="113">
        <v>1385.11</v>
      </c>
      <c r="E15" s="113">
        <v>6049.2</v>
      </c>
      <c r="F15" s="113">
        <v>1925.16</v>
      </c>
      <c r="G15" s="113">
        <v>13552.95</v>
      </c>
      <c r="H15" s="113">
        <v>17071.14</v>
      </c>
      <c r="I15" s="113">
        <v>2357.27</v>
      </c>
      <c r="J15" s="113">
        <v>1252.32</v>
      </c>
      <c r="K15" s="113">
        <v>1</v>
      </c>
      <c r="L15" s="113">
        <v>32397.73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1771.43</v>
      </c>
      <c r="D17" s="113">
        <v>1380.4</v>
      </c>
      <c r="E17" s="113">
        <v>6048.65</v>
      </c>
      <c r="F17" s="113">
        <v>1924.69</v>
      </c>
      <c r="G17" s="113">
        <v>13549.43</v>
      </c>
      <c r="H17" s="113">
        <v>17061.7</v>
      </c>
      <c r="I17" s="113">
        <v>2356.6</v>
      </c>
      <c r="J17" s="113">
        <v>1247.98</v>
      </c>
      <c r="K17" s="113">
        <v>0.75</v>
      </c>
      <c r="L17" s="113">
        <v>32136.36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1791.41</v>
      </c>
      <c r="D19" s="113">
        <v>1380.91</v>
      </c>
      <c r="E19" s="113">
        <v>6074.73</v>
      </c>
      <c r="F19" s="113">
        <v>1926.77</v>
      </c>
      <c r="G19" s="113">
        <v>13622.05</v>
      </c>
      <c r="H19" s="113">
        <v>17043.64</v>
      </c>
      <c r="I19" s="113">
        <v>2341.0500000000002</v>
      </c>
      <c r="J19" s="113">
        <v>1262.5</v>
      </c>
      <c r="K19" s="113">
        <v>0.5</v>
      </c>
      <c r="L19" s="113">
        <v>32375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1792.32</v>
      </c>
      <c r="D21" s="113">
        <v>1391.82</v>
      </c>
      <c r="E21" s="113">
        <v>6076.48</v>
      </c>
      <c r="F21" s="113">
        <v>1928.09</v>
      </c>
      <c r="G21" s="113">
        <v>13635.91</v>
      </c>
      <c r="H21" s="113">
        <v>17071.82</v>
      </c>
      <c r="I21" s="113">
        <v>2342.14</v>
      </c>
      <c r="J21" s="113">
        <v>1272.27</v>
      </c>
      <c r="K21" s="113">
        <v>1</v>
      </c>
      <c r="L21" s="113">
        <v>32875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1791.86</v>
      </c>
      <c r="D23" s="113">
        <v>1386.36</v>
      </c>
      <c r="E23" s="113">
        <v>6075.6</v>
      </c>
      <c r="F23" s="113">
        <v>1927.43</v>
      </c>
      <c r="G23" s="113">
        <v>13628.98</v>
      </c>
      <c r="H23" s="113">
        <v>17057.73</v>
      </c>
      <c r="I23" s="113">
        <v>2341.59</v>
      </c>
      <c r="J23" s="113">
        <v>1267.3900000000001</v>
      </c>
      <c r="K23" s="113">
        <v>0.75</v>
      </c>
      <c r="L23" s="113">
        <v>32625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1924.09</v>
      </c>
      <c r="D25" s="113">
        <v>1386.36</v>
      </c>
      <c r="E25" s="113">
        <v>6150.91</v>
      </c>
      <c r="F25" s="113">
        <v>1952.82</v>
      </c>
      <c r="G25" s="113">
        <v>14029.32</v>
      </c>
      <c r="H25" s="113"/>
      <c r="I25" s="113">
        <v>2308.8200000000002</v>
      </c>
      <c r="J25" s="113">
        <v>1266.5899999999999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1929.09</v>
      </c>
      <c r="D27" s="113">
        <v>1396.36</v>
      </c>
      <c r="E27" s="113">
        <v>6160.91</v>
      </c>
      <c r="F27" s="113">
        <v>1957.82</v>
      </c>
      <c r="G27" s="113">
        <v>14079.32</v>
      </c>
      <c r="H27" s="113"/>
      <c r="I27" s="113">
        <v>2313.8200000000002</v>
      </c>
      <c r="J27" s="113">
        <v>1276.5899999999999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1926.59</v>
      </c>
      <c r="D29" s="113">
        <v>1391.36</v>
      </c>
      <c r="E29" s="113">
        <v>6155.91</v>
      </c>
      <c r="F29" s="113">
        <v>1955.32</v>
      </c>
      <c r="G29" s="113">
        <v>14054.32</v>
      </c>
      <c r="H29" s="113"/>
      <c r="I29" s="113">
        <v>2311.3200000000002</v>
      </c>
      <c r="J29" s="113">
        <v>1271.5899999999999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2007.55</v>
      </c>
      <c r="D31" s="113"/>
      <c r="E31" s="113">
        <v>6190.91</v>
      </c>
      <c r="F31" s="113">
        <v>1971.09</v>
      </c>
      <c r="G31" s="113">
        <v>14290.68</v>
      </c>
      <c r="H31" s="113"/>
      <c r="I31" s="113">
        <v>2308.8200000000002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2012.55</v>
      </c>
      <c r="D33" s="113"/>
      <c r="E33" s="113">
        <v>6200.91</v>
      </c>
      <c r="F33" s="113">
        <v>1976.09</v>
      </c>
      <c r="G33" s="113">
        <v>14340.68</v>
      </c>
      <c r="H33" s="113"/>
      <c r="I33" s="113">
        <v>2313.8200000000002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2010.05</v>
      </c>
      <c r="D35" s="113"/>
      <c r="E35" s="113">
        <v>6195.91</v>
      </c>
      <c r="F35" s="113">
        <v>1973.59</v>
      </c>
      <c r="G35" s="113">
        <v>14315.68</v>
      </c>
      <c r="H35" s="113"/>
      <c r="I35" s="113">
        <v>2311.3200000000002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2092.8200000000002</v>
      </c>
      <c r="D37" s="113"/>
      <c r="E37" s="113">
        <v>6233.86</v>
      </c>
      <c r="F37" s="113">
        <v>1986.09</v>
      </c>
      <c r="G37" s="113">
        <v>14569.55</v>
      </c>
      <c r="H37" s="113"/>
      <c r="I37" s="113">
        <v>2308.8200000000002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2097.8200000000002</v>
      </c>
      <c r="D39" s="113"/>
      <c r="E39" s="113">
        <v>6243.86</v>
      </c>
      <c r="F39" s="113">
        <v>1991.09</v>
      </c>
      <c r="G39" s="113">
        <v>14619.55</v>
      </c>
      <c r="H39" s="113"/>
      <c r="I39" s="113">
        <v>2313.8200000000002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2095.3200000000002</v>
      </c>
      <c r="D41" s="113"/>
      <c r="E41" s="113">
        <v>6238.86</v>
      </c>
      <c r="F41" s="113">
        <v>1988.59</v>
      </c>
      <c r="G41" s="113">
        <v>14594.55</v>
      </c>
      <c r="H41" s="113"/>
      <c r="I41" s="113">
        <v>2311.3200000000002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16936.82</v>
      </c>
      <c r="I43" s="113"/>
      <c r="J43" s="113"/>
      <c r="K43" s="113">
        <v>0.5</v>
      </c>
      <c r="L43" s="113">
        <v>33920.230000000003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16986.82</v>
      </c>
      <c r="I45" s="113"/>
      <c r="J45" s="113"/>
      <c r="K45" s="113">
        <v>1</v>
      </c>
      <c r="L45" s="113">
        <v>34920.230000000003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16961.82</v>
      </c>
      <c r="I47" s="110"/>
      <c r="J47" s="110"/>
      <c r="K47" s="110">
        <v>0.75</v>
      </c>
      <c r="L47" s="110">
        <v>34420.230000000003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1596.23</v>
      </c>
    </row>
    <row r="55" spans="2:5" x14ac:dyDescent="0.2">
      <c r="B55" s="100" t="s">
        <v>56</v>
      </c>
      <c r="C55" s="101">
        <v>1248.04</v>
      </c>
    </row>
    <row r="56" spans="2:5" x14ac:dyDescent="0.2">
      <c r="B56" s="100" t="s">
        <v>55</v>
      </c>
      <c r="C56" s="101">
        <v>5449.45</v>
      </c>
    </row>
    <row r="57" spans="2:5" x14ac:dyDescent="0.2">
      <c r="B57" s="100" t="s">
        <v>54</v>
      </c>
      <c r="C57" s="101">
        <v>1734.49</v>
      </c>
    </row>
    <row r="58" spans="2:5" x14ac:dyDescent="0.2">
      <c r="B58" s="100" t="s">
        <v>53</v>
      </c>
      <c r="C58" s="101">
        <v>12208.72</v>
      </c>
    </row>
    <row r="59" spans="2:5" x14ac:dyDescent="0.2">
      <c r="B59" s="100" t="s">
        <v>52</v>
      </c>
      <c r="C59" s="101">
        <v>15379.57</v>
      </c>
    </row>
    <row r="60" spans="2:5" x14ac:dyDescent="0.2">
      <c r="B60" s="100" t="s">
        <v>51</v>
      </c>
      <c r="C60" s="101">
        <v>2123.73</v>
      </c>
    </row>
    <row r="61" spans="2:5" x14ac:dyDescent="0.2">
      <c r="B61" s="98" t="s">
        <v>50</v>
      </c>
      <c r="C61" s="97">
        <v>1128.3399999999999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4629.1099999999997</v>
      </c>
      <c r="E65" s="96" t="s">
        <v>46</v>
      </c>
    </row>
    <row r="66" spans="2:9" x14ac:dyDescent="0.2">
      <c r="B66" s="93" t="s">
        <v>45</v>
      </c>
      <c r="D66" s="92">
        <v>4638.62</v>
      </c>
      <c r="E66" s="95" t="s">
        <v>10</v>
      </c>
      <c r="F66" s="90">
        <v>1.3068</v>
      </c>
    </row>
    <row r="67" spans="2:9" x14ac:dyDescent="0.2">
      <c r="B67" s="93" t="s">
        <v>44</v>
      </c>
      <c r="D67" s="92">
        <v>1473.2</v>
      </c>
      <c r="E67" s="95" t="s">
        <v>43</v>
      </c>
      <c r="F67" s="94">
        <v>109.34</v>
      </c>
    </row>
    <row r="68" spans="2:9" x14ac:dyDescent="0.2">
      <c r="B68" s="93" t="s">
        <v>42</v>
      </c>
      <c r="D68" s="92">
        <v>1471.83</v>
      </c>
      <c r="E68" s="91" t="s">
        <v>41</v>
      </c>
      <c r="F68" s="90">
        <v>1.1099000000000001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3116E4-9996-48B3-BBF2-69F2FFCA0A48}"/>
</file>

<file path=customXml/itemProps2.xml><?xml version="1.0" encoding="utf-8"?>
<ds:datastoreItem xmlns:ds="http://schemas.openxmlformats.org/officeDocument/2006/customXml" ds:itemID="{B36FBBE5-EA1E-457A-939D-A78BC2F7E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2020-02-03T13:20:29Z</dcterms:modified>
</cp:coreProperties>
</file>