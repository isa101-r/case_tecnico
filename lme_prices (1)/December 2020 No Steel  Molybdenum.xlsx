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0\"/>
    </mc:Choice>
  </mc:AlternateContent>
  <xr:revisionPtr revIDLastSave="0" documentId="8_{7FE88465-4D2F-4B41-B54D-D06C3CC01172}" xr6:coauthVersionLast="45" xr6:coauthVersionMax="45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K30" i="10" s="1"/>
  <c r="I30" i="10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K9" i="10"/>
  <c r="K31" i="10" s="1"/>
  <c r="H9" i="10"/>
  <c r="H31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G30" i="8"/>
  <c r="F30" i="8"/>
  <c r="D30" i="8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X32" i="8" s="1"/>
  <c r="Q12" i="8"/>
  <c r="N12" i="8"/>
  <c r="K12" i="8"/>
  <c r="H12" i="8"/>
  <c r="E12" i="8"/>
  <c r="X11" i="8"/>
  <c r="X31" i="8" s="1"/>
  <c r="Q11" i="8"/>
  <c r="N11" i="8"/>
  <c r="K11" i="8"/>
  <c r="H11" i="8"/>
  <c r="E11" i="8"/>
  <c r="X10" i="8"/>
  <c r="Q10" i="8"/>
  <c r="N10" i="8"/>
  <c r="K10" i="8"/>
  <c r="H10" i="8"/>
  <c r="E10" i="8"/>
  <c r="X9" i="8"/>
  <c r="Q9" i="8"/>
  <c r="N9" i="8"/>
  <c r="K9" i="8"/>
  <c r="K31" i="8" s="1"/>
  <c r="H9" i="8"/>
  <c r="E9" i="8"/>
  <c r="E32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K9" i="7"/>
  <c r="H9" i="7"/>
  <c r="E9" i="7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30" i="6" s="1"/>
  <c r="Q10" i="6"/>
  <c r="N10" i="6"/>
  <c r="K10" i="6"/>
  <c r="K31" i="6" s="1"/>
  <c r="H10" i="6"/>
  <c r="E10" i="6"/>
  <c r="X9" i="6"/>
  <c r="Q9" i="6"/>
  <c r="N9" i="6"/>
  <c r="N32" i="6" s="1"/>
  <c r="K9" i="6"/>
  <c r="H9" i="6"/>
  <c r="E9" i="6"/>
  <c r="E32" i="6" s="1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K30" i="5"/>
  <c r="J30" i="5"/>
  <c r="I30" i="5"/>
  <c r="G30" i="5"/>
  <c r="H30" i="5" s="1"/>
  <c r="F30" i="5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E32" i="5" s="1"/>
  <c r="X10" i="5"/>
  <c r="Q10" i="5"/>
  <c r="N10" i="5"/>
  <c r="K10" i="5"/>
  <c r="H10" i="5"/>
  <c r="H31" i="5" s="1"/>
  <c r="E10" i="5"/>
  <c r="X9" i="5"/>
  <c r="Q9" i="5"/>
  <c r="N9" i="5"/>
  <c r="K9" i="5"/>
  <c r="H9" i="5"/>
  <c r="E9" i="5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N30" i="4"/>
  <c r="M30" i="4"/>
  <c r="L30" i="4"/>
  <c r="J30" i="4"/>
  <c r="K30" i="4" s="1"/>
  <c r="I30" i="4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Q31" i="4" s="1"/>
  <c r="N10" i="4"/>
  <c r="K10" i="4"/>
  <c r="H10" i="4"/>
  <c r="E10" i="4"/>
  <c r="X9" i="4"/>
  <c r="Q9" i="4"/>
  <c r="N9" i="4"/>
  <c r="N31" i="4" s="1"/>
  <c r="K9" i="4"/>
  <c r="H9" i="4"/>
  <c r="E9" i="4"/>
  <c r="E32" i="4" s="1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K30" i="3" s="1"/>
  <c r="I30" i="3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0" i="3" s="1"/>
  <c r="K9" i="3"/>
  <c r="K32" i="3" s="1"/>
  <c r="H9" i="3"/>
  <c r="E9" i="3"/>
  <c r="E31" i="3" s="1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H9" i="2"/>
  <c r="H31" i="2" s="1"/>
  <c r="E9" i="2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X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N30" i="1" s="1"/>
  <c r="K30" i="1"/>
  <c r="J30" i="1"/>
  <c r="I30" i="1"/>
  <c r="G30" i="1"/>
  <c r="F30" i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E32" i="1" s="1"/>
  <c r="X10" i="1"/>
  <c r="Q10" i="1"/>
  <c r="N10" i="1"/>
  <c r="K10" i="1"/>
  <c r="H10" i="1"/>
  <c r="E10" i="1"/>
  <c r="X9" i="1"/>
  <c r="X32" i="1" s="1"/>
  <c r="Q9" i="1"/>
  <c r="N9" i="1"/>
  <c r="K9" i="1"/>
  <c r="H9" i="1"/>
  <c r="E9" i="1"/>
  <c r="N31" i="5" l="1"/>
  <c r="X30" i="5"/>
  <c r="E30" i="6"/>
  <c r="R30" i="7"/>
  <c r="N31" i="8"/>
  <c r="K30" i="8"/>
  <c r="E31" i="1"/>
  <c r="K32" i="2"/>
  <c r="X32" i="5"/>
  <c r="N30" i="5"/>
  <c r="X30" i="8"/>
  <c r="K32" i="4"/>
  <c r="H31" i="1"/>
  <c r="X30" i="4"/>
  <c r="X32" i="4"/>
  <c r="E31" i="5"/>
  <c r="E30" i="5"/>
  <c r="R32" i="7"/>
  <c r="E31" i="8"/>
  <c r="E30" i="8"/>
  <c r="E32" i="2"/>
  <c r="E31" i="4"/>
  <c r="Q32" i="4"/>
  <c r="H32" i="1"/>
  <c r="H30" i="1"/>
  <c r="Q30" i="4"/>
  <c r="X31" i="5"/>
  <c r="Q32" i="6"/>
  <c r="E31" i="7"/>
  <c r="R31" i="7"/>
  <c r="H30" i="8"/>
  <c r="K32" i="10"/>
  <c r="R31" i="3"/>
  <c r="H32" i="5"/>
  <c r="H32" i="8"/>
  <c r="E31" i="10"/>
  <c r="K31" i="4"/>
  <c r="Q32" i="1"/>
  <c r="N31" i="1"/>
  <c r="X30" i="1"/>
  <c r="K31" i="3"/>
  <c r="H32" i="4"/>
  <c r="X31" i="4"/>
  <c r="Q32" i="5"/>
  <c r="K32" i="7"/>
  <c r="K32" i="8"/>
  <c r="H32" i="10"/>
  <c r="E32" i="3"/>
  <c r="E32" i="7"/>
  <c r="K31" i="1"/>
  <c r="K32" i="1"/>
  <c r="Q31" i="1"/>
  <c r="H32" i="3"/>
  <c r="H31" i="3"/>
  <c r="K31" i="5"/>
  <c r="K32" i="5"/>
  <c r="Q31" i="5"/>
  <c r="H32" i="7"/>
  <c r="H31" i="7"/>
  <c r="R32" i="10"/>
  <c r="R31" i="10"/>
  <c r="H31" i="4"/>
  <c r="N31" i="6"/>
  <c r="H31" i="8"/>
  <c r="R30" i="10"/>
  <c r="Q30" i="1"/>
  <c r="N32" i="1"/>
  <c r="R30" i="2"/>
  <c r="E31" i="2"/>
  <c r="R31" i="2"/>
  <c r="Q30" i="5"/>
  <c r="N32" i="5"/>
  <c r="H31" i="6"/>
  <c r="X31" i="6"/>
  <c r="E31" i="6"/>
  <c r="K32" i="6"/>
  <c r="Q31" i="8"/>
  <c r="Q32" i="8"/>
  <c r="N32" i="4"/>
  <c r="H32" i="6"/>
  <c r="X32" i="6"/>
  <c r="N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<sst xmlns="http://schemas.openxmlformats.org/spreadsheetml/2006/main" count="429" uniqueCount="99">
  <si>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</si>
  <si>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</si>
  <si>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</si>
  <si>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</si>
  <si>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</si>
  <si>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</si>
  <si>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</si>
  <si>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</si>
  <si>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</si>
  <si>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</si>
  <si>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</si>
  <si>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</si>
  <si>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</si>
  <si>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</si>
  <si>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</si>
  <si>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</si>
  <si>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</si>
  <si>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</si>
  <si>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</si>
  <si>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</si>
  <si>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</si>
  <si>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</si>
  <si>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</si>
  <si>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</si>
  <si>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</si>
  <si>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</si>
  <si>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</si>
  <si>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</si>
  <si>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</si>
  <si>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</si>
  <si>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</si>
  <si>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</si>
  <si>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</si>
  <si>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</si>
  <si>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</si>
  <si>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</si>
  <si>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</si>
  <si>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</si>
  <si>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</si>
  <si>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</si>
  <si>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</si>
  <si>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</si>
  <si>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</si>
  <si>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</si>
  <si>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</si>
  <si>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</si>
  <si>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</si>
  <si>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</si>
  <si>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</si>
  <si>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</si>
  <si>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</si>
  <si>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</si>
  <si>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</si>
  <si>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</si>
  <si>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</si>
  <si>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</si>
  <si>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</si>
  <si>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</si>
  <si>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</si>
  <si>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</si>
  <si>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</si>
  <si>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</si>
  <si>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</si>
  <si>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</si>
  <si>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</si>
  <si>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</si>
  <si>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</si>
  <si>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</si>
  <si>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</si>
  <si>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</si>
  <si>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</si>
  <si>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</si>
  <si>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</si>
  <si>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</si>
  <si>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</si>
  <si>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</si>
  <si>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</si>
  <si>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</si>
  <si>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</si>
  <si>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</si>
  <si>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</si>
  <si>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</si>
  <si>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</si>
  <si>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</si>
  <si>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</si>
  <si>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</si>
  <si>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</si>
  <si>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</si>
  <si>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</si>
  <si>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</si>
  <si>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</si>
  <si>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</si>
  <si>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</si>
  <si>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</si>
  <si>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</si>
  <si>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DECEMBER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</si>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</sst>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44166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44166</v>
      </c>
      <c r="C9" s="46">
        <v>7644</v>
      </c>
      <c r="D9" s="45">
        <v>7644</v>
      </c>
      <c r="E9" s="44">
        <f t="shared" ref="E9:E29" si="0">AVERAGE(C9:D9)</f>
        <v>7644</v>
      </c>
      <c r="F9" s="46">
        <v>7649</v>
      </c>
      <c r="G9" s="45">
        <v>7649</v>
      </c>
      <c r="H9" s="44">
        <f t="shared" ref="H9:H29" si="1">AVERAGE(F9:G9)</f>
        <v>7649</v>
      </c>
      <c r="I9" s="46">
        <v>7633</v>
      </c>
      <c r="J9" s="45">
        <v>7633</v>
      </c>
      <c r="K9" s="44">
        <f t="shared" ref="K9:K29" si="2">AVERAGE(I9:J9)</f>
        <v>7633</v>
      </c>
      <c r="L9" s="46">
        <v>7618</v>
      </c>
      <c r="M9" s="45">
        <v>7618</v>
      </c>
      <c r="N9" s="44">
        <f t="shared" ref="N9:N29" si="3">AVERAGE(L9:M9)</f>
        <v>7618</v>
      </c>
      <c r="O9" s="46">
        <v>7620</v>
      </c>
      <c r="P9" s="45">
        <v>7620</v>
      </c>
      <c r="Q9" s="44">
        <f t="shared" ref="Q9:Q29" si="4">AVERAGE(O9:P9)</f>
        <v>7620</v>
      </c>
      <c r="R9" s="52">
        <v>7644</v>
      </c>
      <c r="S9" s="51">
        <v>1.3331</v>
      </c>
      <c r="T9" s="53">
        <v>1.1967000000000001</v>
      </c>
      <c r="U9" s="50">
        <v>104.4</v>
      </c>
      <c r="V9" s="43">
        <v>5734</v>
      </c>
      <c r="W9" s="43">
        <v>5732.59</v>
      </c>
      <c r="X9" s="49">
        <f t="shared" ref="X9:X29" si="5">R9/T9</f>
        <v>6387.5658059664074</v>
      </c>
      <c r="Y9" s="48">
        <v>1.3343</v>
      </c>
    </row>
    <row r="10" spans="1:25" x14ac:dyDescent="0.2">
      <c r="B10" s="47">
        <v>44167</v>
      </c>
      <c r="C10" s="46">
        <v>7616.5</v>
      </c>
      <c r="D10" s="45">
        <v>7616.5</v>
      </c>
      <c r="E10" s="44">
        <f t="shared" si="0"/>
        <v>7616.5</v>
      </c>
      <c r="F10" s="46">
        <v>7623</v>
      </c>
      <c r="G10" s="45">
        <v>7623</v>
      </c>
      <c r="H10" s="44">
        <f t="shared" si="1"/>
        <v>7623</v>
      </c>
      <c r="I10" s="46">
        <v>7604</v>
      </c>
      <c r="J10" s="45">
        <v>7604</v>
      </c>
      <c r="K10" s="44">
        <f t="shared" si="2"/>
        <v>7604</v>
      </c>
      <c r="L10" s="46">
        <v>7584</v>
      </c>
      <c r="M10" s="45">
        <v>7584</v>
      </c>
      <c r="N10" s="44">
        <f t="shared" si="3"/>
        <v>7584</v>
      </c>
      <c r="O10" s="46">
        <v>7586</v>
      </c>
      <c r="P10" s="45">
        <v>7586</v>
      </c>
      <c r="Q10" s="44">
        <f t="shared" si="4"/>
        <v>7586</v>
      </c>
      <c r="R10" s="52">
        <v>7616.5</v>
      </c>
      <c r="S10" s="51">
        <v>1.3328</v>
      </c>
      <c r="T10" s="51">
        <v>1.206</v>
      </c>
      <c r="U10" s="50">
        <v>104.66</v>
      </c>
      <c r="V10" s="43">
        <v>5714.66</v>
      </c>
      <c r="W10" s="43">
        <v>5714.82</v>
      </c>
      <c r="X10" s="49">
        <f t="shared" si="5"/>
        <v>6315.5058043117742</v>
      </c>
      <c r="Y10" s="48">
        <v>1.3339000000000001</v>
      </c>
    </row>
    <row r="11" spans="1:25" x14ac:dyDescent="0.2">
      <c r="B11" s="47">
        <v>44168</v>
      </c>
      <c r="C11" s="46">
        <v>7679</v>
      </c>
      <c r="D11" s="45">
        <v>7679</v>
      </c>
      <c r="E11" s="44">
        <f t="shared" si="0"/>
        <v>7679</v>
      </c>
      <c r="F11" s="46">
        <v>7682</v>
      </c>
      <c r="G11" s="45">
        <v>7682</v>
      </c>
      <c r="H11" s="44">
        <f t="shared" si="1"/>
        <v>7682</v>
      </c>
      <c r="I11" s="46">
        <v>7651.5</v>
      </c>
      <c r="J11" s="45">
        <v>7651.5</v>
      </c>
      <c r="K11" s="44">
        <f t="shared" si="2"/>
        <v>7651.5</v>
      </c>
      <c r="L11" s="46">
        <v>7620.5</v>
      </c>
      <c r="M11" s="45">
        <v>7620.5</v>
      </c>
      <c r="N11" s="44">
        <f t="shared" si="3"/>
        <v>7620.5</v>
      </c>
      <c r="O11" s="46">
        <v>7610.5</v>
      </c>
      <c r="P11" s="45">
        <v>7610.5</v>
      </c>
      <c r="Q11" s="44">
        <f t="shared" si="4"/>
        <v>7610.5</v>
      </c>
      <c r="R11" s="52">
        <v>7679</v>
      </c>
      <c r="S11" s="51">
        <v>1.3452</v>
      </c>
      <c r="T11" s="51">
        <v>1.2156</v>
      </c>
      <c r="U11" s="50">
        <v>104.09</v>
      </c>
      <c r="V11" s="43">
        <v>5708.44</v>
      </c>
      <c r="W11" s="43">
        <v>5706.01</v>
      </c>
      <c r="X11" s="49">
        <f t="shared" si="5"/>
        <v>6317.0450806186245</v>
      </c>
      <c r="Y11" s="48">
        <v>1.3463000000000001</v>
      </c>
    </row>
    <row r="12" spans="1:25" x14ac:dyDescent="0.2">
      <c r="B12" s="47">
        <v>44169</v>
      </c>
      <c r="C12" s="46">
        <v>7741.5</v>
      </c>
      <c r="D12" s="45">
        <v>7741.5</v>
      </c>
      <c r="E12" s="44">
        <f t="shared" si="0"/>
        <v>7741.5</v>
      </c>
      <c r="F12" s="46">
        <v>7748.5</v>
      </c>
      <c r="G12" s="45">
        <v>7748.5</v>
      </c>
      <c r="H12" s="44">
        <f t="shared" si="1"/>
        <v>7748.5</v>
      </c>
      <c r="I12" s="46">
        <v>7722</v>
      </c>
      <c r="J12" s="45">
        <v>7722</v>
      </c>
      <c r="K12" s="44">
        <f t="shared" si="2"/>
        <v>7722</v>
      </c>
      <c r="L12" s="46">
        <v>7687</v>
      </c>
      <c r="M12" s="45">
        <v>7687</v>
      </c>
      <c r="N12" s="44">
        <f t="shared" si="3"/>
        <v>7687</v>
      </c>
      <c r="O12" s="46">
        <v>7670</v>
      </c>
      <c r="P12" s="45">
        <v>7670</v>
      </c>
      <c r="Q12" s="44">
        <f t="shared" si="4"/>
        <v>7670</v>
      </c>
      <c r="R12" s="52">
        <v>7741.5</v>
      </c>
      <c r="S12" s="51">
        <v>1.3463000000000001</v>
      </c>
      <c r="T12" s="51">
        <v>1.216</v>
      </c>
      <c r="U12" s="50">
        <v>104</v>
      </c>
      <c r="V12" s="43">
        <v>5750.2</v>
      </c>
      <c r="W12" s="43">
        <v>5750.71</v>
      </c>
      <c r="X12" s="49">
        <f t="shared" si="5"/>
        <v>6366.3651315789475</v>
      </c>
      <c r="Y12" s="48">
        <v>1.3473999999999999</v>
      </c>
    </row>
    <row r="13" spans="1:25" x14ac:dyDescent="0.2">
      <c r="B13" s="47">
        <v>44172</v>
      </c>
      <c r="C13" s="46">
        <v>7656.5</v>
      </c>
      <c r="D13" s="45">
        <v>7656.5</v>
      </c>
      <c r="E13" s="44">
        <f t="shared" si="0"/>
        <v>7656.5</v>
      </c>
      <c r="F13" s="46">
        <v>7672</v>
      </c>
      <c r="G13" s="45">
        <v>7672</v>
      </c>
      <c r="H13" s="44">
        <f t="shared" si="1"/>
        <v>7672</v>
      </c>
      <c r="I13" s="46">
        <v>7649</v>
      </c>
      <c r="J13" s="45">
        <v>7649</v>
      </c>
      <c r="K13" s="44">
        <f t="shared" si="2"/>
        <v>7649</v>
      </c>
      <c r="L13" s="46">
        <v>7619</v>
      </c>
      <c r="M13" s="45">
        <v>7619</v>
      </c>
      <c r="N13" s="44">
        <f t="shared" si="3"/>
        <v>7619</v>
      </c>
      <c r="O13" s="46">
        <v>7602</v>
      </c>
      <c r="P13" s="45">
        <v>7602</v>
      </c>
      <c r="Q13" s="44">
        <f t="shared" si="4"/>
        <v>7602</v>
      </c>
      <c r="R13" s="52">
        <v>7656.5</v>
      </c>
      <c r="S13" s="51">
        <v>1.3270999999999999</v>
      </c>
      <c r="T13" s="51">
        <v>1.2117</v>
      </c>
      <c r="U13" s="50">
        <v>104.17</v>
      </c>
      <c r="V13" s="43">
        <v>5769.35</v>
      </c>
      <c r="W13" s="43">
        <v>5775.8</v>
      </c>
      <c r="X13" s="49">
        <f t="shared" si="5"/>
        <v>6318.8082858793432</v>
      </c>
      <c r="Y13" s="48">
        <v>1.3283</v>
      </c>
    </row>
    <row r="14" spans="1:25" x14ac:dyDescent="0.2">
      <c r="B14" s="47">
        <v>44173</v>
      </c>
      <c r="C14" s="46">
        <v>7635</v>
      </c>
      <c r="D14" s="45">
        <v>7635</v>
      </c>
      <c r="E14" s="44">
        <f t="shared" si="0"/>
        <v>7635</v>
      </c>
      <c r="F14" s="46">
        <v>7647.5</v>
      </c>
      <c r="G14" s="45">
        <v>7647.5</v>
      </c>
      <c r="H14" s="44">
        <f t="shared" si="1"/>
        <v>7647.5</v>
      </c>
      <c r="I14" s="46">
        <v>7636.5</v>
      </c>
      <c r="J14" s="45">
        <v>7636.5</v>
      </c>
      <c r="K14" s="44">
        <f t="shared" si="2"/>
        <v>7636.5</v>
      </c>
      <c r="L14" s="46">
        <v>7601.5</v>
      </c>
      <c r="M14" s="45">
        <v>7601.5</v>
      </c>
      <c r="N14" s="44">
        <f t="shared" si="3"/>
        <v>7601.5</v>
      </c>
      <c r="O14" s="46">
        <v>7586.5</v>
      </c>
      <c r="P14" s="45">
        <v>7586.5</v>
      </c>
      <c r="Q14" s="44">
        <f t="shared" si="4"/>
        <v>7586.5</v>
      </c>
      <c r="R14" s="52">
        <v>7635</v>
      </c>
      <c r="S14" s="51">
        <v>1.3301000000000001</v>
      </c>
      <c r="T14" s="51">
        <v>1.2115</v>
      </c>
      <c r="U14" s="50">
        <v>104.15</v>
      </c>
      <c r="V14" s="43">
        <v>5740.17</v>
      </c>
      <c r="W14" s="43">
        <v>5743.52</v>
      </c>
      <c r="X14" s="49">
        <f t="shared" si="5"/>
        <v>6302.1048287247213</v>
      </c>
      <c r="Y14" s="48">
        <v>1.3314999999999999</v>
      </c>
    </row>
    <row r="15" spans="1:25" x14ac:dyDescent="0.2">
      <c r="B15" s="47">
        <v>44174</v>
      </c>
      <c r="C15" s="46">
        <v>7704.5</v>
      </c>
      <c r="D15" s="45">
        <v>7704.5</v>
      </c>
      <c r="E15" s="44">
        <f t="shared" si="0"/>
        <v>7704.5</v>
      </c>
      <c r="F15" s="46">
        <v>7723.5</v>
      </c>
      <c r="G15" s="45">
        <v>7723.5</v>
      </c>
      <c r="H15" s="44">
        <f t="shared" si="1"/>
        <v>7723.5</v>
      </c>
      <c r="I15" s="46">
        <v>7712.5</v>
      </c>
      <c r="J15" s="45">
        <v>7712.5</v>
      </c>
      <c r="K15" s="44">
        <f t="shared" si="2"/>
        <v>7712.5</v>
      </c>
      <c r="L15" s="46">
        <v>7677</v>
      </c>
      <c r="M15" s="45">
        <v>7677</v>
      </c>
      <c r="N15" s="44">
        <f t="shared" si="3"/>
        <v>7677</v>
      </c>
      <c r="O15" s="46">
        <v>7662</v>
      </c>
      <c r="P15" s="45">
        <v>7662</v>
      </c>
      <c r="Q15" s="44">
        <f t="shared" si="4"/>
        <v>7662</v>
      </c>
      <c r="R15" s="52">
        <v>7704.5</v>
      </c>
      <c r="S15" s="51">
        <v>1.3452</v>
      </c>
      <c r="T15" s="51">
        <v>1.2109000000000001</v>
      </c>
      <c r="U15" s="50">
        <v>104.12</v>
      </c>
      <c r="V15" s="43">
        <v>5727.4</v>
      </c>
      <c r="W15" s="43">
        <v>5735.98</v>
      </c>
      <c r="X15" s="49">
        <f t="shared" si="5"/>
        <v>6362.6228425138324</v>
      </c>
      <c r="Y15" s="48">
        <v>1.3465</v>
      </c>
    </row>
    <row r="16" spans="1:25" x14ac:dyDescent="0.2">
      <c r="B16" s="47">
        <v>44175</v>
      </c>
      <c r="C16" s="46">
        <v>7712</v>
      </c>
      <c r="D16" s="45">
        <v>7712</v>
      </c>
      <c r="E16" s="44">
        <f t="shared" si="0"/>
        <v>7712</v>
      </c>
      <c r="F16" s="46">
        <v>7729.5</v>
      </c>
      <c r="G16" s="45">
        <v>7729.5</v>
      </c>
      <c r="H16" s="44">
        <f t="shared" si="1"/>
        <v>7729.5</v>
      </c>
      <c r="I16" s="46">
        <v>7709.5</v>
      </c>
      <c r="J16" s="45">
        <v>7709.5</v>
      </c>
      <c r="K16" s="44">
        <f t="shared" si="2"/>
        <v>7709.5</v>
      </c>
      <c r="L16" s="46">
        <v>7655.5</v>
      </c>
      <c r="M16" s="45">
        <v>7655.5</v>
      </c>
      <c r="N16" s="44">
        <f t="shared" si="3"/>
        <v>7655.5</v>
      </c>
      <c r="O16" s="46">
        <v>7635.5</v>
      </c>
      <c r="P16" s="45">
        <v>7635.5</v>
      </c>
      <c r="Q16" s="44">
        <f t="shared" si="4"/>
        <v>7635.5</v>
      </c>
      <c r="R16" s="52">
        <v>7712</v>
      </c>
      <c r="S16" s="51">
        <v>1.3295999999999999</v>
      </c>
      <c r="T16" s="51">
        <v>1.2111000000000001</v>
      </c>
      <c r="U16" s="50">
        <v>104.45</v>
      </c>
      <c r="V16" s="43">
        <v>5800.24</v>
      </c>
      <c r="W16" s="43">
        <v>5808.16</v>
      </c>
      <c r="X16" s="49">
        <f t="shared" si="5"/>
        <v>6367.7648418792833</v>
      </c>
      <c r="Y16" s="48">
        <v>1.3308</v>
      </c>
    </row>
    <row r="17" spans="2:25" x14ac:dyDescent="0.2">
      <c r="B17" s="47">
        <v>44176</v>
      </c>
      <c r="C17" s="46">
        <v>7741</v>
      </c>
      <c r="D17" s="45">
        <v>7741</v>
      </c>
      <c r="E17" s="44">
        <f t="shared" si="0"/>
        <v>7741</v>
      </c>
      <c r="F17" s="46">
        <v>7760</v>
      </c>
      <c r="G17" s="45">
        <v>7760</v>
      </c>
      <c r="H17" s="44">
        <f t="shared" si="1"/>
        <v>7760</v>
      </c>
      <c r="I17" s="46">
        <v>7727.5</v>
      </c>
      <c r="J17" s="45">
        <v>7727.5</v>
      </c>
      <c r="K17" s="44">
        <f t="shared" si="2"/>
        <v>7727.5</v>
      </c>
      <c r="L17" s="46">
        <v>7647.5</v>
      </c>
      <c r="M17" s="45">
        <v>7647.5</v>
      </c>
      <c r="N17" s="44">
        <f t="shared" si="3"/>
        <v>7647.5</v>
      </c>
      <c r="O17" s="46">
        <v>7617.5</v>
      </c>
      <c r="P17" s="45">
        <v>7617.5</v>
      </c>
      <c r="Q17" s="44">
        <f t="shared" si="4"/>
        <v>7617.5</v>
      </c>
      <c r="R17" s="52">
        <v>7741</v>
      </c>
      <c r="S17" s="51">
        <v>1.3167</v>
      </c>
      <c r="T17" s="51">
        <v>1.2125999999999999</v>
      </c>
      <c r="U17" s="50">
        <v>104.12</v>
      </c>
      <c r="V17" s="43">
        <v>5879.09</v>
      </c>
      <c r="W17" s="43">
        <v>5888.16</v>
      </c>
      <c r="X17" s="49">
        <f t="shared" si="5"/>
        <v>6383.8033976579254</v>
      </c>
      <c r="Y17" s="48">
        <v>1.3179000000000001</v>
      </c>
    </row>
    <row r="18" spans="2:25" x14ac:dyDescent="0.2">
      <c r="B18" s="47">
        <v>44179</v>
      </c>
      <c r="C18" s="46">
        <v>7763</v>
      </c>
      <c r="D18" s="45">
        <v>7763</v>
      </c>
      <c r="E18" s="44">
        <f t="shared" si="0"/>
        <v>7763</v>
      </c>
      <c r="F18" s="46">
        <v>7787</v>
      </c>
      <c r="G18" s="45">
        <v>7787</v>
      </c>
      <c r="H18" s="44">
        <f t="shared" si="1"/>
        <v>7787</v>
      </c>
      <c r="I18" s="46">
        <v>7776</v>
      </c>
      <c r="J18" s="45">
        <v>7776</v>
      </c>
      <c r="K18" s="44">
        <f t="shared" si="2"/>
        <v>7776</v>
      </c>
      <c r="L18" s="46">
        <v>7712</v>
      </c>
      <c r="M18" s="45">
        <v>7712</v>
      </c>
      <c r="N18" s="44">
        <f t="shared" si="3"/>
        <v>7712</v>
      </c>
      <c r="O18" s="46">
        <v>7687</v>
      </c>
      <c r="P18" s="45">
        <v>7687</v>
      </c>
      <c r="Q18" s="44">
        <f t="shared" si="4"/>
        <v>7687</v>
      </c>
      <c r="R18" s="52">
        <v>7763</v>
      </c>
      <c r="S18" s="51">
        <v>1.3405</v>
      </c>
      <c r="T18" s="51">
        <v>1.2158</v>
      </c>
      <c r="U18" s="50">
        <v>103.72</v>
      </c>
      <c r="V18" s="43">
        <v>5791.12</v>
      </c>
      <c r="W18" s="43">
        <v>5803.83</v>
      </c>
      <c r="X18" s="49">
        <f t="shared" si="5"/>
        <v>6385.0962329330487</v>
      </c>
      <c r="Y18" s="48">
        <v>1.3416999999999999</v>
      </c>
    </row>
    <row r="19" spans="2:25" x14ac:dyDescent="0.2">
      <c r="B19" s="47">
        <v>44180</v>
      </c>
      <c r="C19" s="46">
        <v>7753</v>
      </c>
      <c r="D19" s="45">
        <v>7753</v>
      </c>
      <c r="E19" s="44">
        <f t="shared" si="0"/>
        <v>7753</v>
      </c>
      <c r="F19" s="46">
        <v>7775.5</v>
      </c>
      <c r="G19" s="45">
        <v>7775.5</v>
      </c>
      <c r="H19" s="44">
        <f t="shared" si="1"/>
        <v>7775.5</v>
      </c>
      <c r="I19" s="46">
        <v>7761</v>
      </c>
      <c r="J19" s="45">
        <v>7761</v>
      </c>
      <c r="K19" s="44">
        <f t="shared" si="2"/>
        <v>7761</v>
      </c>
      <c r="L19" s="46">
        <v>7701</v>
      </c>
      <c r="M19" s="45">
        <v>7701</v>
      </c>
      <c r="N19" s="44">
        <f t="shared" si="3"/>
        <v>7701</v>
      </c>
      <c r="O19" s="46">
        <v>7676</v>
      </c>
      <c r="P19" s="45">
        <v>7676</v>
      </c>
      <c r="Q19" s="44">
        <f t="shared" si="4"/>
        <v>7676</v>
      </c>
      <c r="R19" s="52">
        <v>7753</v>
      </c>
      <c r="S19" s="51">
        <v>1.3366</v>
      </c>
      <c r="T19" s="51">
        <v>1.2122999999999999</v>
      </c>
      <c r="U19" s="50">
        <v>103.93</v>
      </c>
      <c r="V19" s="43">
        <v>5800.54</v>
      </c>
      <c r="W19" s="43">
        <v>5812.59</v>
      </c>
      <c r="X19" s="49">
        <f t="shared" si="5"/>
        <v>6395.2816959498477</v>
      </c>
      <c r="Y19" s="48">
        <v>1.3376999999999999</v>
      </c>
    </row>
    <row r="20" spans="2:25" x14ac:dyDescent="0.2">
      <c r="B20" s="47">
        <v>44181</v>
      </c>
      <c r="C20" s="46">
        <v>7823</v>
      </c>
      <c r="D20" s="45">
        <v>7823</v>
      </c>
      <c r="E20" s="44">
        <f t="shared" si="0"/>
        <v>7823</v>
      </c>
      <c r="F20" s="46">
        <v>7847.5</v>
      </c>
      <c r="G20" s="45">
        <v>7847.5</v>
      </c>
      <c r="H20" s="44">
        <f t="shared" si="1"/>
        <v>7847.5</v>
      </c>
      <c r="I20" s="46">
        <v>7818</v>
      </c>
      <c r="J20" s="45">
        <v>7818</v>
      </c>
      <c r="K20" s="44">
        <f t="shared" si="2"/>
        <v>7818</v>
      </c>
      <c r="L20" s="46">
        <v>7747</v>
      </c>
      <c r="M20" s="45">
        <v>7747</v>
      </c>
      <c r="N20" s="44">
        <f t="shared" si="3"/>
        <v>7747</v>
      </c>
      <c r="O20" s="46">
        <v>7717</v>
      </c>
      <c r="P20" s="45">
        <v>7717</v>
      </c>
      <c r="Q20" s="44">
        <f t="shared" si="4"/>
        <v>7717</v>
      </c>
      <c r="R20" s="52">
        <v>7823</v>
      </c>
      <c r="S20" s="51">
        <v>1.3547</v>
      </c>
      <c r="T20" s="51">
        <v>1.2195</v>
      </c>
      <c r="U20" s="50">
        <v>103.3</v>
      </c>
      <c r="V20" s="43">
        <v>5774.71</v>
      </c>
      <c r="W20" s="43">
        <v>5787.67</v>
      </c>
      <c r="X20" s="49">
        <f t="shared" si="5"/>
        <v>6414.9241492414922</v>
      </c>
      <c r="Y20" s="48">
        <v>1.3559000000000001</v>
      </c>
    </row>
    <row r="21" spans="2:25" x14ac:dyDescent="0.2">
      <c r="B21" s="47">
        <v>44182</v>
      </c>
      <c r="C21" s="46">
        <v>7893</v>
      </c>
      <c r="D21" s="45">
        <v>7893</v>
      </c>
      <c r="E21" s="44">
        <f t="shared" si="0"/>
        <v>7893</v>
      </c>
      <c r="F21" s="46">
        <v>7914</v>
      </c>
      <c r="G21" s="45">
        <v>7914</v>
      </c>
      <c r="H21" s="44">
        <f t="shared" si="1"/>
        <v>7914</v>
      </c>
      <c r="I21" s="46">
        <v>7883</v>
      </c>
      <c r="J21" s="45">
        <v>7883</v>
      </c>
      <c r="K21" s="44">
        <f t="shared" si="2"/>
        <v>7883</v>
      </c>
      <c r="L21" s="46">
        <v>7793</v>
      </c>
      <c r="M21" s="45">
        <v>7793</v>
      </c>
      <c r="N21" s="44">
        <f t="shared" si="3"/>
        <v>7793</v>
      </c>
      <c r="O21" s="46">
        <v>7748</v>
      </c>
      <c r="P21" s="45">
        <v>7748</v>
      </c>
      <c r="Q21" s="44">
        <f t="shared" si="4"/>
        <v>7748</v>
      </c>
      <c r="R21" s="52">
        <v>7893</v>
      </c>
      <c r="S21" s="51">
        <v>1.359</v>
      </c>
      <c r="T21" s="51">
        <v>1.2249000000000001</v>
      </c>
      <c r="U21" s="50">
        <v>103.02</v>
      </c>
      <c r="V21" s="43">
        <v>5807.95</v>
      </c>
      <c r="W21" s="43">
        <v>5816.98</v>
      </c>
      <c r="X21" s="49">
        <f t="shared" si="5"/>
        <v>6443.7913299044812</v>
      </c>
      <c r="Y21" s="48">
        <v>1.3605</v>
      </c>
    </row>
    <row r="22" spans="2:25" x14ac:dyDescent="0.2">
      <c r="B22" s="47">
        <v>44183</v>
      </c>
      <c r="C22" s="46">
        <v>7964</v>
      </c>
      <c r="D22" s="45">
        <v>7964</v>
      </c>
      <c r="E22" s="44">
        <f t="shared" si="0"/>
        <v>7964</v>
      </c>
      <c r="F22" s="46">
        <v>7984.5</v>
      </c>
      <c r="G22" s="45">
        <v>7984.5</v>
      </c>
      <c r="H22" s="44">
        <f t="shared" si="1"/>
        <v>7984.5</v>
      </c>
      <c r="I22" s="46">
        <v>7958</v>
      </c>
      <c r="J22" s="45">
        <v>7958</v>
      </c>
      <c r="K22" s="44">
        <f t="shared" si="2"/>
        <v>7958</v>
      </c>
      <c r="L22" s="46">
        <v>7868</v>
      </c>
      <c r="M22" s="45">
        <v>7868</v>
      </c>
      <c r="N22" s="44">
        <f t="shared" si="3"/>
        <v>7868</v>
      </c>
      <c r="O22" s="46">
        <v>7818</v>
      </c>
      <c r="P22" s="45">
        <v>7818</v>
      </c>
      <c r="Q22" s="44">
        <f t="shared" si="4"/>
        <v>7818</v>
      </c>
      <c r="R22" s="52">
        <v>7964</v>
      </c>
      <c r="S22" s="51">
        <v>1.3521000000000001</v>
      </c>
      <c r="T22" s="51">
        <v>1.2255</v>
      </c>
      <c r="U22" s="50">
        <v>103.28</v>
      </c>
      <c r="V22" s="43">
        <v>5890.1</v>
      </c>
      <c r="W22" s="43">
        <v>5900.02</v>
      </c>
      <c r="X22" s="49">
        <f t="shared" si="5"/>
        <v>6498.5720114239084</v>
      </c>
      <c r="Y22" s="48">
        <v>1.3532999999999999</v>
      </c>
    </row>
    <row r="23" spans="2:25" x14ac:dyDescent="0.2">
      <c r="B23" s="47">
        <v>44186</v>
      </c>
      <c r="C23" s="46">
        <v>7838.5</v>
      </c>
      <c r="D23" s="45">
        <v>7838.5</v>
      </c>
      <c r="E23" s="44">
        <f t="shared" si="0"/>
        <v>7838.5</v>
      </c>
      <c r="F23" s="46">
        <v>7858.5</v>
      </c>
      <c r="G23" s="45">
        <v>7858.5</v>
      </c>
      <c r="H23" s="44">
        <f t="shared" si="1"/>
        <v>7858.5</v>
      </c>
      <c r="I23" s="46">
        <v>7834.5</v>
      </c>
      <c r="J23" s="45">
        <v>7834.5</v>
      </c>
      <c r="K23" s="44">
        <f t="shared" si="2"/>
        <v>7834.5</v>
      </c>
      <c r="L23" s="46">
        <v>7742</v>
      </c>
      <c r="M23" s="45">
        <v>7742</v>
      </c>
      <c r="N23" s="44">
        <f t="shared" si="3"/>
        <v>7742</v>
      </c>
      <c r="O23" s="46">
        <v>7677</v>
      </c>
      <c r="P23" s="45">
        <v>7677</v>
      </c>
      <c r="Q23" s="44">
        <f t="shared" si="4"/>
        <v>7677</v>
      </c>
      <c r="R23" s="52">
        <v>7838.5</v>
      </c>
      <c r="S23" s="51">
        <v>1.3282</v>
      </c>
      <c r="T23" s="51">
        <v>1.2163999999999999</v>
      </c>
      <c r="U23" s="50">
        <v>103.59</v>
      </c>
      <c r="V23" s="43">
        <v>5901.6</v>
      </c>
      <c r="W23" s="43">
        <v>5909.98</v>
      </c>
      <c r="X23" s="49">
        <f t="shared" si="5"/>
        <v>6444.0151266030916</v>
      </c>
      <c r="Y23" s="48">
        <v>1.3297000000000001</v>
      </c>
    </row>
    <row r="24" spans="2:25" x14ac:dyDescent="0.2">
      <c r="B24" s="47">
        <v>44187</v>
      </c>
      <c r="C24" s="46">
        <v>7753</v>
      </c>
      <c r="D24" s="45">
        <v>7753</v>
      </c>
      <c r="E24" s="44">
        <f t="shared" si="0"/>
        <v>7753</v>
      </c>
      <c r="F24" s="46">
        <v>7777</v>
      </c>
      <c r="G24" s="45">
        <v>7777</v>
      </c>
      <c r="H24" s="44">
        <f t="shared" si="1"/>
        <v>7777</v>
      </c>
      <c r="I24" s="46">
        <v>7757.5</v>
      </c>
      <c r="J24" s="45">
        <v>7757.5</v>
      </c>
      <c r="K24" s="44">
        <f t="shared" si="2"/>
        <v>7757.5</v>
      </c>
      <c r="L24" s="46">
        <v>7677.5</v>
      </c>
      <c r="M24" s="45">
        <v>7677.5</v>
      </c>
      <c r="N24" s="44">
        <f t="shared" si="3"/>
        <v>7677.5</v>
      </c>
      <c r="O24" s="46">
        <v>7612.5</v>
      </c>
      <c r="P24" s="45">
        <v>7612.5</v>
      </c>
      <c r="Q24" s="44">
        <f t="shared" si="4"/>
        <v>7612.5</v>
      </c>
      <c r="R24" s="52">
        <v>7753</v>
      </c>
      <c r="S24" s="51">
        <v>1.3415999999999999</v>
      </c>
      <c r="T24" s="51">
        <v>1.224</v>
      </c>
      <c r="U24" s="50">
        <v>103.38</v>
      </c>
      <c r="V24" s="43">
        <v>5778.92</v>
      </c>
      <c r="W24" s="43">
        <v>5789.9</v>
      </c>
      <c r="X24" s="49">
        <f t="shared" si="5"/>
        <v>6334.1503267973858</v>
      </c>
      <c r="Y24" s="48">
        <v>1.3431999999999999</v>
      </c>
    </row>
    <row r="25" spans="2:25" x14ac:dyDescent="0.2">
      <c r="B25" s="47">
        <v>44188</v>
      </c>
      <c r="C25" s="46">
        <v>7764.5</v>
      </c>
      <c r="D25" s="45">
        <v>7764.5</v>
      </c>
      <c r="E25" s="44">
        <f t="shared" si="0"/>
        <v>7764.5</v>
      </c>
      <c r="F25" s="46">
        <v>7784.5</v>
      </c>
      <c r="G25" s="45">
        <v>7784.5</v>
      </c>
      <c r="H25" s="44">
        <f t="shared" si="1"/>
        <v>7784.5</v>
      </c>
      <c r="I25" s="46">
        <v>7764.5</v>
      </c>
      <c r="J25" s="45">
        <v>7764.5</v>
      </c>
      <c r="K25" s="44">
        <f t="shared" si="2"/>
        <v>7764.5</v>
      </c>
      <c r="L25" s="46">
        <v>7694.5</v>
      </c>
      <c r="M25" s="45">
        <v>7694.5</v>
      </c>
      <c r="N25" s="44">
        <f t="shared" si="3"/>
        <v>7694.5</v>
      </c>
      <c r="O25" s="46">
        <v>7649.5</v>
      </c>
      <c r="P25" s="45">
        <v>7649.5</v>
      </c>
      <c r="Q25" s="44">
        <f t="shared" si="4"/>
        <v>7649.5</v>
      </c>
      <c r="R25" s="52">
        <v>7764.5</v>
      </c>
      <c r="S25" s="51">
        <v>1.3426</v>
      </c>
      <c r="T25" s="51">
        <v>1.2181999999999999</v>
      </c>
      <c r="U25" s="50">
        <v>103.48</v>
      </c>
      <c r="V25" s="43">
        <v>5783.18</v>
      </c>
      <c r="W25" s="43">
        <v>5791.61</v>
      </c>
      <c r="X25" s="49">
        <f t="shared" si="5"/>
        <v>6373.7481530126415</v>
      </c>
      <c r="Y25" s="48">
        <v>1.3441000000000001</v>
      </c>
    </row>
    <row r="26" spans="2:25" x14ac:dyDescent="0.2">
      <c r="B26" s="47">
        <v>44189</v>
      </c>
      <c r="C26" s="46">
        <v>7793</v>
      </c>
      <c r="D26" s="45">
        <v>7793</v>
      </c>
      <c r="E26" s="44">
        <f t="shared" si="0"/>
        <v>7793</v>
      </c>
      <c r="F26" s="46">
        <v>7811.5</v>
      </c>
      <c r="G26" s="45">
        <v>7811.5</v>
      </c>
      <c r="H26" s="44">
        <f t="shared" si="1"/>
        <v>7811.5</v>
      </c>
      <c r="I26" s="46">
        <v>7790.5</v>
      </c>
      <c r="J26" s="45">
        <v>7790.5</v>
      </c>
      <c r="K26" s="44">
        <f t="shared" si="2"/>
        <v>7790.5</v>
      </c>
      <c r="L26" s="46">
        <v>7738.5</v>
      </c>
      <c r="M26" s="45">
        <v>7738.5</v>
      </c>
      <c r="N26" s="44">
        <f t="shared" si="3"/>
        <v>7738.5</v>
      </c>
      <c r="O26" s="46">
        <v>7693.5</v>
      </c>
      <c r="P26" s="45">
        <v>7693.5</v>
      </c>
      <c r="Q26" s="44">
        <f t="shared" si="4"/>
        <v>7693.5</v>
      </c>
      <c r="R26" s="52">
        <v>7793</v>
      </c>
      <c r="S26" s="51">
        <v>1.3582000000000001</v>
      </c>
      <c r="T26" s="51">
        <v>1.2188000000000001</v>
      </c>
      <c r="U26" s="50">
        <v>103.67</v>
      </c>
      <c r="V26" s="43">
        <v>5737.74</v>
      </c>
      <c r="W26" s="43">
        <v>5745.44</v>
      </c>
      <c r="X26" s="49">
        <f t="shared" si="5"/>
        <v>6393.9940925500487</v>
      </c>
      <c r="Y26" s="48">
        <v>1.3595999999999999</v>
      </c>
    </row>
    <row r="27" spans="2:25" x14ac:dyDescent="0.2">
      <c r="B27" s="47">
        <v>44194</v>
      </c>
      <c r="C27" s="46">
        <v>7840</v>
      </c>
      <c r="D27" s="45">
        <v>7840</v>
      </c>
      <c r="E27" s="44">
        <f t="shared" si="0"/>
        <v>7840</v>
      </c>
      <c r="F27" s="46">
        <v>7854</v>
      </c>
      <c r="G27" s="45">
        <v>7854</v>
      </c>
      <c r="H27" s="44">
        <f t="shared" si="1"/>
        <v>7854</v>
      </c>
      <c r="I27" s="46">
        <v>7833</v>
      </c>
      <c r="J27" s="45">
        <v>7833</v>
      </c>
      <c r="K27" s="44">
        <f t="shared" si="2"/>
        <v>7833</v>
      </c>
      <c r="L27" s="46">
        <v>7792</v>
      </c>
      <c r="M27" s="45">
        <v>7792</v>
      </c>
      <c r="N27" s="44">
        <f t="shared" si="3"/>
        <v>7792</v>
      </c>
      <c r="O27" s="46">
        <v>7747</v>
      </c>
      <c r="P27" s="45">
        <v>7747</v>
      </c>
      <c r="Q27" s="44">
        <f t="shared" si="4"/>
        <v>7747</v>
      </c>
      <c r="R27" s="52">
        <v>7840</v>
      </c>
      <c r="S27" s="51">
        <v>1.3488</v>
      </c>
      <c r="T27" s="51">
        <v>1.2256</v>
      </c>
      <c r="U27" s="50">
        <v>103.68</v>
      </c>
      <c r="V27" s="43">
        <v>5812.57</v>
      </c>
      <c r="W27" s="43">
        <v>5818.21</v>
      </c>
      <c r="X27" s="49">
        <f t="shared" si="5"/>
        <v>6396.8668407310706</v>
      </c>
      <c r="Y27" s="48">
        <v>1.3499000000000001</v>
      </c>
    </row>
    <row r="28" spans="2:25" x14ac:dyDescent="0.2">
      <c r="B28" s="47">
        <v>44195</v>
      </c>
      <c r="C28" s="46">
        <v>7803.5</v>
      </c>
      <c r="D28" s="45">
        <v>7803.5</v>
      </c>
      <c r="E28" s="44">
        <f t="shared" si="0"/>
        <v>7803.5</v>
      </c>
      <c r="F28" s="46">
        <v>7815.5</v>
      </c>
      <c r="G28" s="45">
        <v>7815.5</v>
      </c>
      <c r="H28" s="44">
        <f t="shared" si="1"/>
        <v>7815.5</v>
      </c>
      <c r="I28" s="46">
        <v>7795</v>
      </c>
      <c r="J28" s="45">
        <v>7795</v>
      </c>
      <c r="K28" s="44">
        <f t="shared" si="2"/>
        <v>7795</v>
      </c>
      <c r="L28" s="46">
        <v>7754</v>
      </c>
      <c r="M28" s="45">
        <v>7754</v>
      </c>
      <c r="N28" s="44">
        <f t="shared" si="3"/>
        <v>7754</v>
      </c>
      <c r="O28" s="46">
        <v>7709</v>
      </c>
      <c r="P28" s="45">
        <v>7709</v>
      </c>
      <c r="Q28" s="44">
        <f t="shared" si="4"/>
        <v>7709</v>
      </c>
      <c r="R28" s="52">
        <v>7803.5</v>
      </c>
      <c r="S28" s="51">
        <v>1.3594999999999999</v>
      </c>
      <c r="T28" s="51">
        <v>1.2290000000000001</v>
      </c>
      <c r="U28" s="50">
        <v>103.08</v>
      </c>
      <c r="V28" s="43">
        <v>5739.98</v>
      </c>
      <c r="W28" s="43">
        <v>5745.42</v>
      </c>
      <c r="X28" s="49">
        <f t="shared" si="5"/>
        <v>6349.4711147274202</v>
      </c>
      <c r="Y28" s="48">
        <v>1.3603000000000001</v>
      </c>
    </row>
    <row r="29" spans="2:25" x14ac:dyDescent="0.2">
      <c r="B29" s="47">
        <v>44196</v>
      </c>
      <c r="C29" s="46">
        <v>7741.5</v>
      </c>
      <c r="D29" s="45">
        <v>7741.5</v>
      </c>
      <c r="E29" s="44">
        <f t="shared" si="0"/>
        <v>7741.5</v>
      </c>
      <c r="F29" s="46">
        <v>7757</v>
      </c>
      <c r="G29" s="45">
        <v>7757</v>
      </c>
      <c r="H29" s="44">
        <f t="shared" si="1"/>
        <v>7757</v>
      </c>
      <c r="I29" s="46">
        <v>7742</v>
      </c>
      <c r="J29" s="45">
        <v>7742</v>
      </c>
      <c r="K29" s="44">
        <f t="shared" si="2"/>
        <v>7742</v>
      </c>
      <c r="L29" s="46">
        <v>7707</v>
      </c>
      <c r="M29" s="45">
        <v>7707</v>
      </c>
      <c r="N29" s="44">
        <f t="shared" si="3"/>
        <v>7707</v>
      </c>
      <c r="O29" s="46">
        <v>7678</v>
      </c>
      <c r="P29" s="45">
        <v>7678</v>
      </c>
      <c r="Q29" s="44">
        <f t="shared" si="4"/>
        <v>7678</v>
      </c>
      <c r="R29" s="52">
        <v>7741.5</v>
      </c>
      <c r="S29" s="51">
        <v>1.3663000000000001</v>
      </c>
      <c r="T29" s="51">
        <v>1.2272000000000001</v>
      </c>
      <c r="U29" s="50">
        <v>103.07</v>
      </c>
      <c r="V29" s="43">
        <v>5666.03</v>
      </c>
      <c r="W29" s="43">
        <v>5674.05</v>
      </c>
      <c r="X29" s="49">
        <f t="shared" si="5"/>
        <v>6308.2627118644068</v>
      </c>
      <c r="Y29" s="48">
        <v>1.3671</v>
      </c>
    </row>
    <row r="30" spans="2:25" s="10" customFormat="1" x14ac:dyDescent="0.2">
      <c r="B30" s="42" t="s">
        <v>11</v>
      </c>
      <c r="C30" s="41">
        <f>ROUND(AVERAGE(C9:C29),2)</f>
        <v>7755.24</v>
      </c>
      <c r="D30" s="40">
        <f>ROUND(AVERAGE(D9:D29),2)</f>
        <v>7755.24</v>
      </c>
      <c r="E30" s="39">
        <f>ROUND(AVERAGE(C30:D30),2)</f>
        <v>7755.24</v>
      </c>
      <c r="F30" s="41">
        <f>ROUND(AVERAGE(F9:F29),2)</f>
        <v>7771.5</v>
      </c>
      <c r="G30" s="40">
        <f>ROUND(AVERAGE(G9:G29),2)</f>
        <v>7771.5</v>
      </c>
      <c r="H30" s="39">
        <f>ROUND(AVERAGE(F30:G30),2)</f>
        <v>7771.5</v>
      </c>
      <c r="I30" s="41">
        <f>ROUND(AVERAGE(I9:I29),2)</f>
        <v>7750.4</v>
      </c>
      <c r="J30" s="40">
        <f>ROUND(AVERAGE(J9:J29),2)</f>
        <v>7750.4</v>
      </c>
      <c r="K30" s="39">
        <f>ROUND(AVERAGE(I30:J30),2)</f>
        <v>7750.4</v>
      </c>
      <c r="L30" s="41">
        <f>ROUND(AVERAGE(L9:L29),2)</f>
        <v>7696.98</v>
      </c>
      <c r="M30" s="40">
        <f>ROUND(AVERAGE(M9:M29),2)</f>
        <v>7696.98</v>
      </c>
      <c r="N30" s="39">
        <f>ROUND(AVERAGE(L30:M30),2)</f>
        <v>7696.98</v>
      </c>
      <c r="O30" s="41">
        <f>ROUND(AVERAGE(O9:O29),2)</f>
        <v>7666.79</v>
      </c>
      <c r="P30" s="40">
        <f>ROUND(AVERAGE(P9:P29),2)</f>
        <v>7666.79</v>
      </c>
      <c r="Q30" s="39">
        <f>ROUND(AVERAGE(O30:P30),2)</f>
        <v>7666.79</v>
      </c>
      <c r="R30" s="38">
        <f>ROUND(AVERAGE(R9:R29),2)</f>
        <v>7755.24</v>
      </c>
      <c r="S30" s="37">
        <f>ROUND(AVERAGE(S9:S29),4)</f>
        <v>1.3426</v>
      </c>
      <c r="T30" s="36">
        <f>ROUND(AVERAGE(T9:T29),4)</f>
        <v>1.2165999999999999</v>
      </c>
      <c r="U30" s="175">
        <f>ROUND(AVERAGE(U9:U29),2)</f>
        <v>103.78</v>
      </c>
      <c r="V30" s="35">
        <f>AVERAGE(V9:V29)</f>
        <v>5776.5709523809528</v>
      </c>
      <c r="W30" s="35">
        <f>AVERAGE(W9:W29)</f>
        <v>5783.4023809523806</v>
      </c>
      <c r="X30" s="35">
        <f>AVERAGE(X9:X29)</f>
        <v>6374.2742764223658</v>
      </c>
      <c r="Y30" s="34">
        <f>AVERAGE(Y9:Y29)</f>
        <v>1.3438047619047619</v>
      </c>
    </row>
    <row r="31" spans="2:25" s="5" customFormat="1" x14ac:dyDescent="0.2">
      <c r="B31" s="33" t="s">
        <v>12</v>
      </c>
      <c r="C31" s="32">
        <f t="shared" ref="C31:Y31" si="6">MAX(C9:C29)</f>
        <v>7964</v>
      </c>
      <c r="D31" s="31">
        <f t="shared" si="6"/>
        <v>7964</v>
      </c>
      <c r="E31" s="30">
        <f t="shared" si="6"/>
        <v>7964</v>
      </c>
      <c r="F31" s="32">
        <f t="shared" si="6"/>
        <v>7984.5</v>
      </c>
      <c r="G31" s="31">
        <f t="shared" si="6"/>
        <v>7984.5</v>
      </c>
      <c r="H31" s="30">
        <f t="shared" si="6"/>
        <v>7984.5</v>
      </c>
      <c r="I31" s="32">
        <f t="shared" si="6"/>
        <v>7958</v>
      </c>
      <c r="J31" s="31">
        <f t="shared" si="6"/>
        <v>7958</v>
      </c>
      <c r="K31" s="30">
        <f t="shared" si="6"/>
        <v>7958</v>
      </c>
      <c r="L31" s="32">
        <f t="shared" si="6"/>
        <v>7868</v>
      </c>
      <c r="M31" s="31">
        <f t="shared" si="6"/>
        <v>7868</v>
      </c>
      <c r="N31" s="30">
        <f t="shared" si="6"/>
        <v>7868</v>
      </c>
      <c r="O31" s="32">
        <f t="shared" si="6"/>
        <v>7818</v>
      </c>
      <c r="P31" s="31">
        <f t="shared" si="6"/>
        <v>7818</v>
      </c>
      <c r="Q31" s="30">
        <f t="shared" si="6"/>
        <v>7818</v>
      </c>
      <c r="R31" s="29">
        <f t="shared" si="6"/>
        <v>7964</v>
      </c>
      <c r="S31" s="28">
        <f t="shared" si="6"/>
        <v>1.3663000000000001</v>
      </c>
      <c r="T31" s="27">
        <f t="shared" si="6"/>
        <v>1.2290000000000001</v>
      </c>
      <c r="U31" s="26">
        <f t="shared" si="6"/>
        <v>104.66</v>
      </c>
      <c r="V31" s="25">
        <f t="shared" si="6"/>
        <v>5901.6</v>
      </c>
      <c r="W31" s="25">
        <f t="shared" si="6"/>
        <v>5909.98</v>
      </c>
      <c r="X31" s="25">
        <f t="shared" si="6"/>
        <v>6498.5720114239084</v>
      </c>
      <c r="Y31" s="24">
        <f t="shared" si="6"/>
        <v>1.3671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7616.5</v>
      </c>
      <c r="D32" s="21">
        <f t="shared" si="7"/>
        <v>7616.5</v>
      </c>
      <c r="E32" s="20">
        <f t="shared" si="7"/>
        <v>7616.5</v>
      </c>
      <c r="F32" s="22">
        <f t="shared" si="7"/>
        <v>7623</v>
      </c>
      <c r="G32" s="21">
        <f t="shared" si="7"/>
        <v>7623</v>
      </c>
      <c r="H32" s="20">
        <f t="shared" si="7"/>
        <v>7623</v>
      </c>
      <c r="I32" s="22">
        <f t="shared" si="7"/>
        <v>7604</v>
      </c>
      <c r="J32" s="21">
        <f t="shared" si="7"/>
        <v>7604</v>
      </c>
      <c r="K32" s="20">
        <f t="shared" si="7"/>
        <v>7604</v>
      </c>
      <c r="L32" s="22">
        <f t="shared" si="7"/>
        <v>7584</v>
      </c>
      <c r="M32" s="21">
        <f t="shared" si="7"/>
        <v>7584</v>
      </c>
      <c r="N32" s="20">
        <f t="shared" si="7"/>
        <v>7584</v>
      </c>
      <c r="O32" s="22">
        <f t="shared" si="7"/>
        <v>7586</v>
      </c>
      <c r="P32" s="21">
        <f t="shared" si="7"/>
        <v>7586</v>
      </c>
      <c r="Q32" s="20">
        <f t="shared" si="7"/>
        <v>7586</v>
      </c>
      <c r="R32" s="19">
        <f t="shared" si="7"/>
        <v>7616.5</v>
      </c>
      <c r="S32" s="18">
        <f t="shared" si="7"/>
        <v>1.3167</v>
      </c>
      <c r="T32" s="17">
        <f t="shared" si="7"/>
        <v>1.1967000000000001</v>
      </c>
      <c r="U32" s="16">
        <f t="shared" si="7"/>
        <v>103.02</v>
      </c>
      <c r="V32" s="15">
        <f t="shared" si="7"/>
        <v>5666.03</v>
      </c>
      <c r="W32" s="15">
        <f t="shared" si="7"/>
        <v>5674.05</v>
      </c>
      <c r="X32" s="15">
        <f t="shared" si="7"/>
        <v>6302.1048287247213</v>
      </c>
      <c r="Y32" s="14">
        <f t="shared" si="7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tabSelected="1" workbookViewId="0">
      <pane ySplit="8" topLeftCell="A17" activePane="bottomLeft" state="frozen"/>
      <selection activeCell="C46" sqref="C46"/>
      <selection pane="bottomLeft" activeCell="G29" sqref="G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44166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44166</v>
      </c>
      <c r="C9" s="46">
        <v>1682.5</v>
      </c>
      <c r="D9" s="45">
        <v>1682.5</v>
      </c>
      <c r="E9" s="44">
        <f t="shared" ref="E9:E29" si="0">AVERAGE(C9:D9)</f>
        <v>1682.5</v>
      </c>
      <c r="F9" s="46">
        <v>1700</v>
      </c>
      <c r="G9" s="45">
        <v>1700</v>
      </c>
      <c r="H9" s="44">
        <f t="shared" ref="H9:H29" si="1">AVERAGE(F9:G9)</f>
        <v>1700</v>
      </c>
      <c r="I9" s="46">
        <v>1700</v>
      </c>
      <c r="J9" s="45">
        <v>1700</v>
      </c>
      <c r="K9" s="44">
        <f t="shared" ref="K9:K29" si="2">AVERAGE(I9:J9)</f>
        <v>1700</v>
      </c>
      <c r="L9" s="52">
        <v>1682.5</v>
      </c>
      <c r="M9" s="51">
        <v>1.3331</v>
      </c>
      <c r="N9" s="53">
        <v>1.1967000000000001</v>
      </c>
      <c r="O9" s="50">
        <v>104.4</v>
      </c>
      <c r="P9" s="43">
        <v>1262.0999999999999</v>
      </c>
      <c r="Q9" s="43">
        <v>1274.08</v>
      </c>
      <c r="R9" s="49">
        <f t="shared" ref="R9:R29" si="3">L9/N9</f>
        <v>1405.9496949945683</v>
      </c>
      <c r="S9" s="48">
        <v>1.3343</v>
      </c>
    </row>
    <row r="10" spans="1:19" x14ac:dyDescent="0.2">
      <c r="B10" s="47">
        <v>44167</v>
      </c>
      <c r="C10" s="46">
        <v>1693</v>
      </c>
      <c r="D10" s="45">
        <v>1693</v>
      </c>
      <c r="E10" s="44">
        <f t="shared" si="0"/>
        <v>1693</v>
      </c>
      <c r="F10" s="46">
        <v>1710</v>
      </c>
      <c r="G10" s="45">
        <v>1710</v>
      </c>
      <c r="H10" s="44">
        <f t="shared" si="1"/>
        <v>1710</v>
      </c>
      <c r="I10" s="46">
        <v>1710</v>
      </c>
      <c r="J10" s="45">
        <v>1710</v>
      </c>
      <c r="K10" s="44">
        <f t="shared" si="2"/>
        <v>1710</v>
      </c>
      <c r="L10" s="52">
        <v>1693</v>
      </c>
      <c r="M10" s="51">
        <v>1.3328</v>
      </c>
      <c r="N10" s="51">
        <v>1.206</v>
      </c>
      <c r="O10" s="50">
        <v>104.66</v>
      </c>
      <c r="P10" s="43">
        <v>1270.26</v>
      </c>
      <c r="Q10" s="43">
        <v>1281.96</v>
      </c>
      <c r="R10" s="49">
        <f t="shared" si="3"/>
        <v>1403.8142620232172</v>
      </c>
      <c r="S10" s="48">
        <v>1.3339000000000001</v>
      </c>
    </row>
    <row r="11" spans="1:19" x14ac:dyDescent="0.2">
      <c r="B11" s="47">
        <v>44168</v>
      </c>
      <c r="C11" s="46">
        <v>1710</v>
      </c>
      <c r="D11" s="45">
        <v>1710</v>
      </c>
      <c r="E11" s="44">
        <f t="shared" si="0"/>
        <v>1710</v>
      </c>
      <c r="F11" s="46">
        <v>1710</v>
      </c>
      <c r="G11" s="45">
        <v>1710</v>
      </c>
      <c r="H11" s="44">
        <f t="shared" si="1"/>
        <v>1710</v>
      </c>
      <c r="I11" s="46">
        <v>1710</v>
      </c>
      <c r="J11" s="45">
        <v>1710</v>
      </c>
      <c r="K11" s="44">
        <f t="shared" si="2"/>
        <v>1710</v>
      </c>
      <c r="L11" s="52">
        <v>1710</v>
      </c>
      <c r="M11" s="51">
        <v>1.3452</v>
      </c>
      <c r="N11" s="51">
        <v>1.2156</v>
      </c>
      <c r="O11" s="50">
        <v>104.09</v>
      </c>
      <c r="P11" s="43">
        <v>1271.19</v>
      </c>
      <c r="Q11" s="43">
        <v>1270.1500000000001</v>
      </c>
      <c r="R11" s="49">
        <f t="shared" si="3"/>
        <v>1406.7127344521225</v>
      </c>
      <c r="S11" s="48">
        <v>1.3463000000000001</v>
      </c>
    </row>
    <row r="12" spans="1:19" x14ac:dyDescent="0.2">
      <c r="B12" s="47">
        <v>44169</v>
      </c>
      <c r="C12" s="46">
        <v>1840</v>
      </c>
      <c r="D12" s="45">
        <v>1840</v>
      </c>
      <c r="E12" s="44">
        <f t="shared" si="0"/>
        <v>1840</v>
      </c>
      <c r="F12" s="46">
        <v>1800</v>
      </c>
      <c r="G12" s="45">
        <v>1800</v>
      </c>
      <c r="H12" s="44">
        <f t="shared" si="1"/>
        <v>1800</v>
      </c>
      <c r="I12" s="46">
        <v>1800</v>
      </c>
      <c r="J12" s="45">
        <v>1800</v>
      </c>
      <c r="K12" s="44">
        <f t="shared" si="2"/>
        <v>1800</v>
      </c>
      <c r="L12" s="52">
        <v>1840</v>
      </c>
      <c r="M12" s="51">
        <v>1.3463000000000001</v>
      </c>
      <c r="N12" s="51">
        <v>1.216</v>
      </c>
      <c r="O12" s="50">
        <v>104</v>
      </c>
      <c r="P12" s="43">
        <v>1366.71</v>
      </c>
      <c r="Q12" s="43">
        <v>1335.91</v>
      </c>
      <c r="R12" s="49">
        <f t="shared" si="3"/>
        <v>1513.1578947368421</v>
      </c>
      <c r="S12" s="48">
        <v>1.3473999999999999</v>
      </c>
    </row>
    <row r="13" spans="1:19" x14ac:dyDescent="0.2">
      <c r="B13" s="47">
        <v>44172</v>
      </c>
      <c r="C13" s="46">
        <v>1800</v>
      </c>
      <c r="D13" s="45">
        <v>1800</v>
      </c>
      <c r="E13" s="44">
        <f t="shared" si="0"/>
        <v>1800</v>
      </c>
      <c r="F13" s="46">
        <v>1800</v>
      </c>
      <c r="G13" s="45">
        <v>1800</v>
      </c>
      <c r="H13" s="44">
        <f t="shared" si="1"/>
        <v>1800</v>
      </c>
      <c r="I13" s="46">
        <v>1800</v>
      </c>
      <c r="J13" s="45">
        <v>1800</v>
      </c>
      <c r="K13" s="44">
        <f t="shared" si="2"/>
        <v>1800</v>
      </c>
      <c r="L13" s="52">
        <v>1800</v>
      </c>
      <c r="M13" s="51">
        <v>1.3270999999999999</v>
      </c>
      <c r="N13" s="51">
        <v>1.2117</v>
      </c>
      <c r="O13" s="50">
        <v>104.17</v>
      </c>
      <c r="P13" s="43">
        <v>1356.34</v>
      </c>
      <c r="Q13" s="43">
        <v>1355.12</v>
      </c>
      <c r="R13" s="49">
        <f t="shared" si="3"/>
        <v>1485.5162168853676</v>
      </c>
      <c r="S13" s="48">
        <v>1.3283</v>
      </c>
    </row>
    <row r="14" spans="1:19" x14ac:dyDescent="0.2">
      <c r="B14" s="47">
        <v>44173</v>
      </c>
      <c r="C14" s="46">
        <v>1800</v>
      </c>
      <c r="D14" s="45">
        <v>1800</v>
      </c>
      <c r="E14" s="44">
        <f t="shared" si="0"/>
        <v>1800</v>
      </c>
      <c r="F14" s="46">
        <v>1800</v>
      </c>
      <c r="G14" s="45">
        <v>1800</v>
      </c>
      <c r="H14" s="44">
        <f t="shared" si="1"/>
        <v>1800</v>
      </c>
      <c r="I14" s="46">
        <v>1800</v>
      </c>
      <c r="J14" s="45">
        <v>1800</v>
      </c>
      <c r="K14" s="44">
        <f t="shared" si="2"/>
        <v>1800</v>
      </c>
      <c r="L14" s="52">
        <v>1800</v>
      </c>
      <c r="M14" s="51">
        <v>1.3301000000000001</v>
      </c>
      <c r="N14" s="51">
        <v>1.2115</v>
      </c>
      <c r="O14" s="50">
        <v>104.15</v>
      </c>
      <c r="P14" s="43">
        <v>1353.28</v>
      </c>
      <c r="Q14" s="43">
        <v>1351.86</v>
      </c>
      <c r="R14" s="49">
        <f t="shared" si="3"/>
        <v>1485.7614527445317</v>
      </c>
      <c r="S14" s="48">
        <v>1.3314999999999999</v>
      </c>
    </row>
    <row r="15" spans="1:19" x14ac:dyDescent="0.2">
      <c r="B15" s="47">
        <v>44174</v>
      </c>
      <c r="C15" s="46">
        <v>1910</v>
      </c>
      <c r="D15" s="45">
        <v>1910</v>
      </c>
      <c r="E15" s="44">
        <f t="shared" si="0"/>
        <v>1910</v>
      </c>
      <c r="F15" s="46">
        <v>1860</v>
      </c>
      <c r="G15" s="45">
        <v>1860</v>
      </c>
      <c r="H15" s="44">
        <f t="shared" si="1"/>
        <v>1860</v>
      </c>
      <c r="I15" s="46">
        <v>1860</v>
      </c>
      <c r="J15" s="45">
        <v>1860</v>
      </c>
      <c r="K15" s="44">
        <f t="shared" si="2"/>
        <v>1860</v>
      </c>
      <c r="L15" s="52">
        <v>1910</v>
      </c>
      <c r="M15" s="51">
        <v>1.3452</v>
      </c>
      <c r="N15" s="51">
        <v>1.2109000000000001</v>
      </c>
      <c r="O15" s="50">
        <v>104.12</v>
      </c>
      <c r="P15" s="43">
        <v>1419.86</v>
      </c>
      <c r="Q15" s="43">
        <v>1381.36</v>
      </c>
      <c r="R15" s="49">
        <f t="shared" si="3"/>
        <v>1577.3391692129819</v>
      </c>
      <c r="S15" s="48">
        <v>1.3465</v>
      </c>
    </row>
    <row r="16" spans="1:19" x14ac:dyDescent="0.2">
      <c r="B16" s="47">
        <v>44175</v>
      </c>
      <c r="C16" s="46">
        <v>1930</v>
      </c>
      <c r="D16" s="45">
        <v>1930</v>
      </c>
      <c r="E16" s="44">
        <f t="shared" si="0"/>
        <v>1930</v>
      </c>
      <c r="F16" s="46">
        <v>1868</v>
      </c>
      <c r="G16" s="45">
        <v>1868</v>
      </c>
      <c r="H16" s="44">
        <f t="shared" si="1"/>
        <v>1868</v>
      </c>
      <c r="I16" s="46">
        <v>1858</v>
      </c>
      <c r="J16" s="45">
        <v>1858</v>
      </c>
      <c r="K16" s="44">
        <f t="shared" si="2"/>
        <v>1858</v>
      </c>
      <c r="L16" s="52">
        <v>1930</v>
      </c>
      <c r="M16" s="51">
        <v>1.3295999999999999</v>
      </c>
      <c r="N16" s="51">
        <v>1.2111000000000001</v>
      </c>
      <c r="O16" s="50">
        <v>104.45</v>
      </c>
      <c r="P16" s="43">
        <v>1451.56</v>
      </c>
      <c r="Q16" s="43">
        <v>1403.67</v>
      </c>
      <c r="R16" s="49">
        <f t="shared" si="3"/>
        <v>1593.5926017669885</v>
      </c>
      <c r="S16" s="48">
        <v>1.3308</v>
      </c>
    </row>
    <row r="17" spans="2:19" x14ac:dyDescent="0.2">
      <c r="B17" s="47">
        <v>44176</v>
      </c>
      <c r="C17" s="46">
        <v>1923.5</v>
      </c>
      <c r="D17" s="45">
        <v>1923.5</v>
      </c>
      <c r="E17" s="44">
        <f t="shared" si="0"/>
        <v>1923.5</v>
      </c>
      <c r="F17" s="46">
        <v>1860</v>
      </c>
      <c r="G17" s="45">
        <v>1860</v>
      </c>
      <c r="H17" s="44">
        <f t="shared" si="1"/>
        <v>1860</v>
      </c>
      <c r="I17" s="46">
        <v>1850</v>
      </c>
      <c r="J17" s="45">
        <v>1850</v>
      </c>
      <c r="K17" s="44">
        <f t="shared" si="2"/>
        <v>1850</v>
      </c>
      <c r="L17" s="52">
        <v>1923.5</v>
      </c>
      <c r="M17" s="51">
        <v>1.3167</v>
      </c>
      <c r="N17" s="51">
        <v>1.2125999999999999</v>
      </c>
      <c r="O17" s="50">
        <v>104.12</v>
      </c>
      <c r="P17" s="43">
        <v>1460.85</v>
      </c>
      <c r="Q17" s="43">
        <v>1411.34</v>
      </c>
      <c r="R17" s="49">
        <f t="shared" si="3"/>
        <v>1586.2609269338614</v>
      </c>
      <c r="S17" s="48">
        <v>1.3179000000000001</v>
      </c>
    </row>
    <row r="18" spans="2:19" x14ac:dyDescent="0.2">
      <c r="B18" s="47">
        <v>44179</v>
      </c>
      <c r="C18" s="46">
        <v>1820</v>
      </c>
      <c r="D18" s="45">
        <v>1820</v>
      </c>
      <c r="E18" s="44">
        <f t="shared" si="0"/>
        <v>1820</v>
      </c>
      <c r="F18" s="46">
        <v>1840</v>
      </c>
      <c r="G18" s="45">
        <v>1840</v>
      </c>
      <c r="H18" s="44">
        <f t="shared" si="1"/>
        <v>1840</v>
      </c>
      <c r="I18" s="46">
        <v>1830</v>
      </c>
      <c r="J18" s="45">
        <v>1830</v>
      </c>
      <c r="K18" s="44">
        <f t="shared" si="2"/>
        <v>1830</v>
      </c>
      <c r="L18" s="52">
        <v>1820</v>
      </c>
      <c r="M18" s="51">
        <v>1.3405</v>
      </c>
      <c r="N18" s="51">
        <v>1.2158</v>
      </c>
      <c r="O18" s="50">
        <v>103.72</v>
      </c>
      <c r="P18" s="43">
        <v>1357.7</v>
      </c>
      <c r="Q18" s="43">
        <v>1371.39</v>
      </c>
      <c r="R18" s="49">
        <f t="shared" si="3"/>
        <v>1496.9567363053134</v>
      </c>
      <c r="S18" s="48">
        <v>1.3416999999999999</v>
      </c>
    </row>
    <row r="19" spans="2:19" x14ac:dyDescent="0.2">
      <c r="B19" s="47">
        <v>44180</v>
      </c>
      <c r="C19" s="46">
        <v>1899.5</v>
      </c>
      <c r="D19" s="45">
        <v>1899.5</v>
      </c>
      <c r="E19" s="44">
        <f t="shared" si="0"/>
        <v>1899.5</v>
      </c>
      <c r="F19" s="46">
        <v>1860</v>
      </c>
      <c r="G19" s="45">
        <v>1860</v>
      </c>
      <c r="H19" s="44">
        <f t="shared" si="1"/>
        <v>1860</v>
      </c>
      <c r="I19" s="46">
        <v>1850</v>
      </c>
      <c r="J19" s="45">
        <v>1850</v>
      </c>
      <c r="K19" s="44">
        <f t="shared" si="2"/>
        <v>1850</v>
      </c>
      <c r="L19" s="52">
        <v>1899.5</v>
      </c>
      <c r="M19" s="51">
        <v>1.3366</v>
      </c>
      <c r="N19" s="51">
        <v>1.2122999999999999</v>
      </c>
      <c r="O19" s="50">
        <v>103.93</v>
      </c>
      <c r="P19" s="43">
        <v>1421.14</v>
      </c>
      <c r="Q19" s="43">
        <v>1390.45</v>
      </c>
      <c r="R19" s="49">
        <f t="shared" si="3"/>
        <v>1566.8563886826694</v>
      </c>
      <c r="S19" s="48">
        <v>1.3376999999999999</v>
      </c>
    </row>
    <row r="20" spans="2:19" x14ac:dyDescent="0.2">
      <c r="B20" s="47">
        <v>44181</v>
      </c>
      <c r="C20" s="46">
        <v>1897</v>
      </c>
      <c r="D20" s="45">
        <v>1897</v>
      </c>
      <c r="E20" s="44">
        <f t="shared" si="0"/>
        <v>1897</v>
      </c>
      <c r="F20" s="46">
        <v>1865</v>
      </c>
      <c r="G20" s="45">
        <v>1865</v>
      </c>
      <c r="H20" s="44">
        <f t="shared" si="1"/>
        <v>1865</v>
      </c>
      <c r="I20" s="46">
        <v>1855</v>
      </c>
      <c r="J20" s="45">
        <v>1855</v>
      </c>
      <c r="K20" s="44">
        <f t="shared" si="2"/>
        <v>1855</v>
      </c>
      <c r="L20" s="52">
        <v>1897</v>
      </c>
      <c r="M20" s="51">
        <v>1.3547</v>
      </c>
      <c r="N20" s="51">
        <v>1.2195</v>
      </c>
      <c r="O20" s="50">
        <v>103.3</v>
      </c>
      <c r="P20" s="43">
        <v>1400.31</v>
      </c>
      <c r="Q20" s="43">
        <v>1375.47</v>
      </c>
      <c r="R20" s="49">
        <f t="shared" si="3"/>
        <v>1555.5555555555554</v>
      </c>
      <c r="S20" s="48">
        <v>1.3559000000000001</v>
      </c>
    </row>
    <row r="21" spans="2:19" x14ac:dyDescent="0.2">
      <c r="B21" s="47">
        <v>44182</v>
      </c>
      <c r="C21" s="46">
        <v>1924</v>
      </c>
      <c r="D21" s="45">
        <v>1924</v>
      </c>
      <c r="E21" s="44">
        <f t="shared" si="0"/>
        <v>1924</v>
      </c>
      <c r="F21" s="46">
        <v>1890</v>
      </c>
      <c r="G21" s="45">
        <v>1890</v>
      </c>
      <c r="H21" s="44">
        <f t="shared" si="1"/>
        <v>1890</v>
      </c>
      <c r="I21" s="46">
        <v>1880</v>
      </c>
      <c r="J21" s="45">
        <v>1880</v>
      </c>
      <c r="K21" s="44">
        <f t="shared" si="2"/>
        <v>1880</v>
      </c>
      <c r="L21" s="52">
        <v>1924</v>
      </c>
      <c r="M21" s="51">
        <v>1.359</v>
      </c>
      <c r="N21" s="51">
        <v>1.2249000000000001</v>
      </c>
      <c r="O21" s="50">
        <v>103.02</v>
      </c>
      <c r="P21" s="43">
        <v>1415.75</v>
      </c>
      <c r="Q21" s="43">
        <v>1389.2</v>
      </c>
      <c r="R21" s="49">
        <f t="shared" si="3"/>
        <v>1570.7404686096822</v>
      </c>
      <c r="S21" s="48">
        <v>1.3605</v>
      </c>
    </row>
    <row r="22" spans="2:19" x14ac:dyDescent="0.2">
      <c r="B22" s="47">
        <v>44183</v>
      </c>
      <c r="C22" s="46">
        <v>1924</v>
      </c>
      <c r="D22" s="45">
        <v>1924</v>
      </c>
      <c r="E22" s="44">
        <f t="shared" si="0"/>
        <v>1924</v>
      </c>
      <c r="F22" s="46">
        <v>1890</v>
      </c>
      <c r="G22" s="45">
        <v>1890</v>
      </c>
      <c r="H22" s="44">
        <f t="shared" si="1"/>
        <v>1890</v>
      </c>
      <c r="I22" s="46">
        <v>1880.5</v>
      </c>
      <c r="J22" s="45">
        <v>1880.5</v>
      </c>
      <c r="K22" s="44">
        <f t="shared" si="2"/>
        <v>1880.5</v>
      </c>
      <c r="L22" s="52">
        <v>1924</v>
      </c>
      <c r="M22" s="51">
        <v>1.3521000000000001</v>
      </c>
      <c r="N22" s="51">
        <v>1.2255</v>
      </c>
      <c r="O22" s="50">
        <v>103.28</v>
      </c>
      <c r="P22" s="43">
        <v>1422.97</v>
      </c>
      <c r="Q22" s="43">
        <v>1396.59</v>
      </c>
      <c r="R22" s="49">
        <f t="shared" si="3"/>
        <v>1569.9714402284781</v>
      </c>
      <c r="S22" s="48">
        <v>1.3532999999999999</v>
      </c>
    </row>
    <row r="23" spans="2:19" x14ac:dyDescent="0.2">
      <c r="B23" s="47">
        <v>44186</v>
      </c>
      <c r="C23" s="46">
        <v>1919</v>
      </c>
      <c r="D23" s="45">
        <v>1919</v>
      </c>
      <c r="E23" s="44">
        <f t="shared" si="0"/>
        <v>1919</v>
      </c>
      <c r="F23" s="46">
        <v>1890</v>
      </c>
      <c r="G23" s="45">
        <v>1890</v>
      </c>
      <c r="H23" s="44">
        <f t="shared" si="1"/>
        <v>1890</v>
      </c>
      <c r="I23" s="46">
        <v>1881</v>
      </c>
      <c r="J23" s="45">
        <v>1881</v>
      </c>
      <c r="K23" s="44">
        <f t="shared" si="2"/>
        <v>1881</v>
      </c>
      <c r="L23" s="52">
        <v>1919</v>
      </c>
      <c r="M23" s="51">
        <v>1.3282</v>
      </c>
      <c r="N23" s="51">
        <v>1.2163999999999999</v>
      </c>
      <c r="O23" s="50">
        <v>103.59</v>
      </c>
      <c r="P23" s="43">
        <v>1444.81</v>
      </c>
      <c r="Q23" s="43">
        <v>1421.37</v>
      </c>
      <c r="R23" s="49">
        <f t="shared" si="3"/>
        <v>1577.6060506412366</v>
      </c>
      <c r="S23" s="48">
        <v>1.3297000000000001</v>
      </c>
    </row>
    <row r="24" spans="2:19" x14ac:dyDescent="0.2">
      <c r="B24" s="47">
        <v>44187</v>
      </c>
      <c r="C24" s="46">
        <v>1915</v>
      </c>
      <c r="D24" s="45">
        <v>1915</v>
      </c>
      <c r="E24" s="44">
        <f t="shared" si="0"/>
        <v>1915</v>
      </c>
      <c r="F24" s="46">
        <v>1893</v>
      </c>
      <c r="G24" s="45">
        <v>1893</v>
      </c>
      <c r="H24" s="44">
        <f t="shared" si="1"/>
        <v>1893</v>
      </c>
      <c r="I24" s="46">
        <v>1884</v>
      </c>
      <c r="J24" s="45">
        <v>1884</v>
      </c>
      <c r="K24" s="44">
        <f t="shared" si="2"/>
        <v>1884</v>
      </c>
      <c r="L24" s="52">
        <v>1915</v>
      </c>
      <c r="M24" s="51">
        <v>1.3415999999999999</v>
      </c>
      <c r="N24" s="51">
        <v>1.224</v>
      </c>
      <c r="O24" s="50">
        <v>103.38</v>
      </c>
      <c r="P24" s="43">
        <v>1427.4</v>
      </c>
      <c r="Q24" s="43">
        <v>1409.32</v>
      </c>
      <c r="R24" s="49">
        <f t="shared" si="3"/>
        <v>1564.5424836601308</v>
      </c>
      <c r="S24" s="48">
        <v>1.3431999999999999</v>
      </c>
    </row>
    <row r="25" spans="2:19" x14ac:dyDescent="0.2">
      <c r="B25" s="47">
        <v>44188</v>
      </c>
      <c r="C25" s="46">
        <v>1915</v>
      </c>
      <c r="D25" s="45">
        <v>1915</v>
      </c>
      <c r="E25" s="44">
        <f t="shared" si="0"/>
        <v>1915</v>
      </c>
      <c r="F25" s="46">
        <v>1893</v>
      </c>
      <c r="G25" s="45">
        <v>1893</v>
      </c>
      <c r="H25" s="44">
        <f t="shared" si="1"/>
        <v>1893</v>
      </c>
      <c r="I25" s="46">
        <v>1884.5</v>
      </c>
      <c r="J25" s="45">
        <v>1884.5</v>
      </c>
      <c r="K25" s="44">
        <f t="shared" si="2"/>
        <v>1884.5</v>
      </c>
      <c r="L25" s="52">
        <v>1915</v>
      </c>
      <c r="M25" s="51">
        <v>1.3426</v>
      </c>
      <c r="N25" s="51">
        <v>1.2181999999999999</v>
      </c>
      <c r="O25" s="50">
        <v>103.48</v>
      </c>
      <c r="P25" s="43">
        <v>1426.34</v>
      </c>
      <c r="Q25" s="43">
        <v>1408.38</v>
      </c>
      <c r="R25" s="49">
        <f t="shared" si="3"/>
        <v>1571.9914628139879</v>
      </c>
      <c r="S25" s="48">
        <v>1.3441000000000001</v>
      </c>
    </row>
    <row r="26" spans="2:19" x14ac:dyDescent="0.2">
      <c r="B26" s="47">
        <v>44189</v>
      </c>
      <c r="C26" s="46">
        <v>1921</v>
      </c>
      <c r="D26" s="45">
        <v>1921</v>
      </c>
      <c r="E26" s="44">
        <f t="shared" si="0"/>
        <v>1921</v>
      </c>
      <c r="F26" s="46">
        <v>1893</v>
      </c>
      <c r="G26" s="45">
        <v>1893</v>
      </c>
      <c r="H26" s="44">
        <f t="shared" si="1"/>
        <v>1893</v>
      </c>
      <c r="I26" s="46">
        <v>1885</v>
      </c>
      <c r="J26" s="45">
        <v>1885</v>
      </c>
      <c r="K26" s="44">
        <f t="shared" si="2"/>
        <v>1885</v>
      </c>
      <c r="L26" s="52">
        <v>1921</v>
      </c>
      <c r="M26" s="51">
        <v>1.3582000000000001</v>
      </c>
      <c r="N26" s="51">
        <v>1.2188000000000001</v>
      </c>
      <c r="O26" s="50">
        <v>103.67</v>
      </c>
      <c r="P26" s="43">
        <v>1414.37</v>
      </c>
      <c r="Q26" s="43">
        <v>1392.32</v>
      </c>
      <c r="R26" s="49">
        <f t="shared" si="3"/>
        <v>1576.1404660321627</v>
      </c>
      <c r="S26" s="48">
        <v>1.3595999999999999</v>
      </c>
    </row>
    <row r="27" spans="2:19" x14ac:dyDescent="0.2">
      <c r="B27" s="47">
        <v>44194</v>
      </c>
      <c r="C27" s="46">
        <v>1922</v>
      </c>
      <c r="D27" s="45">
        <v>1922</v>
      </c>
      <c r="E27" s="44">
        <f t="shared" si="0"/>
        <v>1922</v>
      </c>
      <c r="F27" s="46">
        <v>1893</v>
      </c>
      <c r="G27" s="45">
        <v>1893</v>
      </c>
      <c r="H27" s="44">
        <f t="shared" si="1"/>
        <v>1893</v>
      </c>
      <c r="I27" s="46">
        <v>1886.5</v>
      </c>
      <c r="J27" s="45">
        <v>1886.5</v>
      </c>
      <c r="K27" s="44">
        <f t="shared" si="2"/>
        <v>1886.5</v>
      </c>
      <c r="L27" s="52">
        <v>1922</v>
      </c>
      <c r="M27" s="51">
        <v>1.3488</v>
      </c>
      <c r="N27" s="51">
        <v>1.2256</v>
      </c>
      <c r="O27" s="50">
        <v>103.68</v>
      </c>
      <c r="P27" s="43">
        <v>1424.97</v>
      </c>
      <c r="Q27" s="43">
        <v>1402.33</v>
      </c>
      <c r="R27" s="49">
        <f t="shared" si="3"/>
        <v>1568.2114882506528</v>
      </c>
      <c r="S27" s="48">
        <v>1.3499000000000001</v>
      </c>
    </row>
    <row r="28" spans="2:19" x14ac:dyDescent="0.2">
      <c r="B28" s="47">
        <v>44195</v>
      </c>
      <c r="C28" s="46">
        <v>1922</v>
      </c>
      <c r="D28" s="45">
        <v>1922</v>
      </c>
      <c r="E28" s="44">
        <f t="shared" si="0"/>
        <v>1922</v>
      </c>
      <c r="F28" s="46">
        <v>1893</v>
      </c>
      <c r="G28" s="45">
        <v>1893</v>
      </c>
      <c r="H28" s="44">
        <f t="shared" si="1"/>
        <v>1893</v>
      </c>
      <c r="I28" s="46">
        <v>1887</v>
      </c>
      <c r="J28" s="45">
        <v>1887</v>
      </c>
      <c r="K28" s="44">
        <f t="shared" si="2"/>
        <v>1887</v>
      </c>
      <c r="L28" s="52">
        <v>1922</v>
      </c>
      <c r="M28" s="51">
        <v>1.3594999999999999</v>
      </c>
      <c r="N28" s="51">
        <v>1.2290000000000001</v>
      </c>
      <c r="O28" s="50">
        <v>103.08</v>
      </c>
      <c r="P28" s="43">
        <v>1413.76</v>
      </c>
      <c r="Q28" s="43">
        <v>1391.6</v>
      </c>
      <c r="R28" s="49">
        <f t="shared" si="3"/>
        <v>1563.8730675345807</v>
      </c>
      <c r="S28" s="48">
        <v>1.3603000000000001</v>
      </c>
    </row>
    <row r="29" spans="2:19" x14ac:dyDescent="0.2">
      <c r="B29" s="47">
        <v>44196</v>
      </c>
      <c r="C29" s="46">
        <v>1921.5</v>
      </c>
      <c r="D29" s="45">
        <v>1921.5</v>
      </c>
      <c r="E29" s="44">
        <f t="shared" si="0"/>
        <v>1921.5</v>
      </c>
      <c r="F29" s="46">
        <v>1893</v>
      </c>
      <c r="G29" s="45">
        <v>1893</v>
      </c>
      <c r="H29" s="44">
        <f t="shared" si="1"/>
        <v>1893</v>
      </c>
      <c r="I29" s="46">
        <v>1887.5</v>
      </c>
      <c r="J29" s="45">
        <v>1887.5</v>
      </c>
      <c r="K29" s="44">
        <f t="shared" si="2"/>
        <v>1887.5</v>
      </c>
      <c r="L29" s="52">
        <v>1921.5</v>
      </c>
      <c r="M29" s="51">
        <v>1.3663000000000001</v>
      </c>
      <c r="N29" s="51">
        <v>1.2272000000000001</v>
      </c>
      <c r="O29" s="50">
        <v>103.07</v>
      </c>
      <c r="P29" s="43">
        <v>1406.35</v>
      </c>
      <c r="Q29" s="43">
        <v>1384.68</v>
      </c>
      <c r="R29" s="49">
        <f t="shared" si="3"/>
        <v>1565.7594524119947</v>
      </c>
      <c r="S29" s="48">
        <v>1.3671</v>
      </c>
    </row>
    <row r="30" spans="2:19" s="10" customFormat="1" x14ac:dyDescent="0.2">
      <c r="B30" s="42" t="s">
        <v>11</v>
      </c>
      <c r="C30" s="41">
        <f>ROUND(AVERAGE(C9:C29),2)</f>
        <v>1866.14</v>
      </c>
      <c r="D30" s="40">
        <f>ROUND(AVERAGE(D9:D29),2)</f>
        <v>1866.14</v>
      </c>
      <c r="E30" s="39">
        <f>ROUND(AVERAGE(C30:D30),2)</f>
        <v>1866.14</v>
      </c>
      <c r="F30" s="41">
        <f>ROUND(AVERAGE(F9:F29),2)</f>
        <v>1842.9</v>
      </c>
      <c r="G30" s="40">
        <f>ROUND(AVERAGE(G9:G29),2)</f>
        <v>1842.9</v>
      </c>
      <c r="H30" s="39">
        <f>ROUND(AVERAGE(F30:G30),2)</f>
        <v>1842.9</v>
      </c>
      <c r="I30" s="41">
        <f>ROUND(AVERAGE(I9:I29),2)</f>
        <v>1837.1</v>
      </c>
      <c r="J30" s="40">
        <f>ROUND(AVERAGE(J9:J29),2)</f>
        <v>1837.1</v>
      </c>
      <c r="K30" s="39">
        <f>ROUND(AVERAGE(I30:J30),2)</f>
        <v>1837.1</v>
      </c>
      <c r="L30" s="38">
        <f>ROUND(AVERAGE(L9:L29),2)</f>
        <v>1866.14</v>
      </c>
      <c r="M30" s="37">
        <f>ROUND(AVERAGE(M9:M29),4)</f>
        <v>1.3426</v>
      </c>
      <c r="N30" s="36">
        <f>ROUND(AVERAGE(N9:N29),4)</f>
        <v>1.2165999999999999</v>
      </c>
      <c r="O30" s="175">
        <f>ROUND(AVERAGE(O9:O29),2)</f>
        <v>103.78</v>
      </c>
      <c r="P30" s="35">
        <f>AVERAGE(P9:P29)</f>
        <v>1389.9057142857143</v>
      </c>
      <c r="Q30" s="35">
        <f>AVERAGE(Q9:Q29)</f>
        <v>1371.3595238095236</v>
      </c>
      <c r="R30" s="35">
        <f>AVERAGE(R9:R29)</f>
        <v>1533.633810213187</v>
      </c>
      <c r="S30" s="34">
        <f>AVERAGE(S9:S29)</f>
        <v>1.3438047619047619</v>
      </c>
    </row>
    <row r="31" spans="2:19" s="5" customFormat="1" x14ac:dyDescent="0.2">
      <c r="B31" s="33" t="s">
        <v>12</v>
      </c>
      <c r="C31" s="32">
        <f t="shared" ref="C31:S31" si="4">MAX(C9:C29)</f>
        <v>1930</v>
      </c>
      <c r="D31" s="31">
        <f t="shared" si="4"/>
        <v>1930</v>
      </c>
      <c r="E31" s="30">
        <f t="shared" si="4"/>
        <v>1930</v>
      </c>
      <c r="F31" s="32">
        <f t="shared" si="4"/>
        <v>1893</v>
      </c>
      <c r="G31" s="31">
        <f t="shared" si="4"/>
        <v>1893</v>
      </c>
      <c r="H31" s="30">
        <f t="shared" si="4"/>
        <v>1893</v>
      </c>
      <c r="I31" s="32">
        <f t="shared" si="4"/>
        <v>1887.5</v>
      </c>
      <c r="J31" s="31">
        <f t="shared" si="4"/>
        <v>1887.5</v>
      </c>
      <c r="K31" s="30">
        <f t="shared" si="4"/>
        <v>1887.5</v>
      </c>
      <c r="L31" s="29">
        <f t="shared" si="4"/>
        <v>1930</v>
      </c>
      <c r="M31" s="28">
        <f t="shared" si="4"/>
        <v>1.3663000000000001</v>
      </c>
      <c r="N31" s="27">
        <f t="shared" si="4"/>
        <v>1.2290000000000001</v>
      </c>
      <c r="O31" s="26">
        <f t="shared" si="4"/>
        <v>104.66</v>
      </c>
      <c r="P31" s="25">
        <f t="shared" si="4"/>
        <v>1460.85</v>
      </c>
      <c r="Q31" s="25">
        <f t="shared" si="4"/>
        <v>1421.37</v>
      </c>
      <c r="R31" s="25">
        <f t="shared" si="4"/>
        <v>1593.5926017669885</v>
      </c>
      <c r="S31" s="24">
        <f t="shared" si="4"/>
        <v>1.3671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1682.5</v>
      </c>
      <c r="D32" s="21">
        <f t="shared" si="5"/>
        <v>1682.5</v>
      </c>
      <c r="E32" s="20">
        <f t="shared" si="5"/>
        <v>1682.5</v>
      </c>
      <c r="F32" s="22">
        <f t="shared" si="5"/>
        <v>1700</v>
      </c>
      <c r="G32" s="21">
        <f t="shared" si="5"/>
        <v>1700</v>
      </c>
      <c r="H32" s="20">
        <f t="shared" si="5"/>
        <v>1700</v>
      </c>
      <c r="I32" s="22">
        <f t="shared" si="5"/>
        <v>1700</v>
      </c>
      <c r="J32" s="21">
        <f t="shared" si="5"/>
        <v>1700</v>
      </c>
      <c r="K32" s="20">
        <f t="shared" si="5"/>
        <v>1700</v>
      </c>
      <c r="L32" s="19">
        <f t="shared" si="5"/>
        <v>1682.5</v>
      </c>
      <c r="M32" s="18">
        <f t="shared" si="5"/>
        <v>1.3167</v>
      </c>
      <c r="N32" s="17">
        <f t="shared" si="5"/>
        <v>1.1967000000000001</v>
      </c>
      <c r="O32" s="16">
        <f t="shared" si="5"/>
        <v>103.02</v>
      </c>
      <c r="P32" s="15">
        <f t="shared" si="5"/>
        <v>1262.0999999999999</v>
      </c>
      <c r="Q32" s="15">
        <f t="shared" si="5"/>
        <v>1270.1500000000001</v>
      </c>
      <c r="R32" s="15">
        <f t="shared" si="5"/>
        <v>1403.8142620232172</v>
      </c>
      <c r="S32" s="14">
        <f t="shared" si="5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69" orientation="landscape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44166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44166</v>
      </c>
      <c r="C9" s="46">
        <v>1900</v>
      </c>
      <c r="D9" s="45">
        <v>1900</v>
      </c>
      <c r="E9" s="44">
        <f t="shared" ref="E9:E29" si="0">AVERAGE(C9:D9)</f>
        <v>1900</v>
      </c>
      <c r="F9" s="46">
        <v>1920</v>
      </c>
      <c r="G9" s="45">
        <v>1920</v>
      </c>
      <c r="H9" s="44">
        <f t="shared" ref="H9:H29" si="1">AVERAGE(F9:G9)</f>
        <v>1920</v>
      </c>
      <c r="I9" s="46">
        <v>1940.5</v>
      </c>
      <c r="J9" s="45">
        <v>1940.5</v>
      </c>
      <c r="K9" s="44">
        <f t="shared" ref="K9:K29" si="2">AVERAGE(I9:J9)</f>
        <v>1940.5</v>
      </c>
      <c r="L9" s="52">
        <v>1900</v>
      </c>
      <c r="M9" s="51">
        <v>1.3331</v>
      </c>
      <c r="N9" s="53">
        <v>1.1967000000000001</v>
      </c>
      <c r="O9" s="50">
        <v>104.4</v>
      </c>
      <c r="P9" s="43">
        <v>1425.25</v>
      </c>
      <c r="Q9" s="43">
        <v>1438.96</v>
      </c>
      <c r="R9" s="49">
        <f t="shared" ref="R9:R29" si="3">L9/N9</f>
        <v>1587.6995069775214</v>
      </c>
      <c r="S9" s="48">
        <v>1.3343</v>
      </c>
    </row>
    <row r="10" spans="1:19" x14ac:dyDescent="0.2">
      <c r="B10" s="47">
        <v>44167</v>
      </c>
      <c r="C10" s="46">
        <v>1830</v>
      </c>
      <c r="D10" s="45">
        <v>1830</v>
      </c>
      <c r="E10" s="44">
        <f t="shared" si="0"/>
        <v>1830</v>
      </c>
      <c r="F10" s="46">
        <v>1850</v>
      </c>
      <c r="G10" s="45">
        <v>1850</v>
      </c>
      <c r="H10" s="44">
        <f t="shared" si="1"/>
        <v>1850</v>
      </c>
      <c r="I10" s="46">
        <v>1870.5</v>
      </c>
      <c r="J10" s="45">
        <v>1870.5</v>
      </c>
      <c r="K10" s="44">
        <f t="shared" si="2"/>
        <v>1870.5</v>
      </c>
      <c r="L10" s="52">
        <v>1830</v>
      </c>
      <c r="M10" s="51">
        <v>1.3328</v>
      </c>
      <c r="N10" s="51">
        <v>1.206</v>
      </c>
      <c r="O10" s="50">
        <v>104.66</v>
      </c>
      <c r="P10" s="43">
        <v>1373.05</v>
      </c>
      <c r="Q10" s="43">
        <v>1386.91</v>
      </c>
      <c r="R10" s="49">
        <f t="shared" si="3"/>
        <v>1517.4129353233832</v>
      </c>
      <c r="S10" s="48">
        <v>1.3339000000000001</v>
      </c>
    </row>
    <row r="11" spans="1:19" x14ac:dyDescent="0.2">
      <c r="B11" s="47">
        <v>44168</v>
      </c>
      <c r="C11" s="46">
        <v>1900</v>
      </c>
      <c r="D11" s="45">
        <v>1900</v>
      </c>
      <c r="E11" s="44">
        <f t="shared" si="0"/>
        <v>1900</v>
      </c>
      <c r="F11" s="46">
        <v>1880</v>
      </c>
      <c r="G11" s="45">
        <v>1880</v>
      </c>
      <c r="H11" s="44">
        <f t="shared" si="1"/>
        <v>1880</v>
      </c>
      <c r="I11" s="46">
        <v>1900</v>
      </c>
      <c r="J11" s="45">
        <v>1900</v>
      </c>
      <c r="K11" s="44">
        <f t="shared" si="2"/>
        <v>1900</v>
      </c>
      <c r="L11" s="52">
        <v>1900</v>
      </c>
      <c r="M11" s="51">
        <v>1.3452</v>
      </c>
      <c r="N11" s="51">
        <v>1.2156</v>
      </c>
      <c r="O11" s="50">
        <v>104.09</v>
      </c>
      <c r="P11" s="43">
        <v>1412.43</v>
      </c>
      <c r="Q11" s="43">
        <v>1396.42</v>
      </c>
      <c r="R11" s="49">
        <f t="shared" si="3"/>
        <v>1563.0141493912472</v>
      </c>
      <c r="S11" s="48">
        <v>1.3463000000000001</v>
      </c>
    </row>
    <row r="12" spans="1:19" x14ac:dyDescent="0.2">
      <c r="B12" s="47">
        <v>44169</v>
      </c>
      <c r="C12" s="46">
        <v>1852.5</v>
      </c>
      <c r="D12" s="45">
        <v>1852.5</v>
      </c>
      <c r="E12" s="44">
        <f t="shared" si="0"/>
        <v>1852.5</v>
      </c>
      <c r="F12" s="46">
        <v>1870</v>
      </c>
      <c r="G12" s="45">
        <v>1870</v>
      </c>
      <c r="H12" s="44">
        <f t="shared" si="1"/>
        <v>1870</v>
      </c>
      <c r="I12" s="46">
        <v>1890</v>
      </c>
      <c r="J12" s="45">
        <v>1890</v>
      </c>
      <c r="K12" s="44">
        <f t="shared" si="2"/>
        <v>1890</v>
      </c>
      <c r="L12" s="52">
        <v>1852.5</v>
      </c>
      <c r="M12" s="51">
        <v>1.3463000000000001</v>
      </c>
      <c r="N12" s="51">
        <v>1.216</v>
      </c>
      <c r="O12" s="50">
        <v>104</v>
      </c>
      <c r="P12" s="43">
        <v>1375.99</v>
      </c>
      <c r="Q12" s="43">
        <v>1387.86</v>
      </c>
      <c r="R12" s="49">
        <f t="shared" si="3"/>
        <v>1523.4375</v>
      </c>
      <c r="S12" s="48">
        <v>1.3473999999999999</v>
      </c>
    </row>
    <row r="13" spans="1:19" x14ac:dyDescent="0.2">
      <c r="B13" s="47">
        <v>44172</v>
      </c>
      <c r="C13" s="46">
        <v>1870</v>
      </c>
      <c r="D13" s="45">
        <v>1870</v>
      </c>
      <c r="E13" s="44">
        <f t="shared" si="0"/>
        <v>1870</v>
      </c>
      <c r="F13" s="46">
        <v>1888.5</v>
      </c>
      <c r="G13" s="45">
        <v>1888.5</v>
      </c>
      <c r="H13" s="44">
        <f t="shared" si="1"/>
        <v>1888.5</v>
      </c>
      <c r="I13" s="46">
        <v>1907</v>
      </c>
      <c r="J13" s="45">
        <v>1907</v>
      </c>
      <c r="K13" s="44">
        <f t="shared" si="2"/>
        <v>1907</v>
      </c>
      <c r="L13" s="52">
        <v>1870</v>
      </c>
      <c r="M13" s="51">
        <v>1.3270999999999999</v>
      </c>
      <c r="N13" s="51">
        <v>1.2117</v>
      </c>
      <c r="O13" s="50">
        <v>104.17</v>
      </c>
      <c r="P13" s="43">
        <v>1409.09</v>
      </c>
      <c r="Q13" s="43">
        <v>1421.74</v>
      </c>
      <c r="R13" s="49">
        <f t="shared" si="3"/>
        <v>1543.2862919864654</v>
      </c>
      <c r="S13" s="48">
        <v>1.3283</v>
      </c>
    </row>
    <row r="14" spans="1:19" x14ac:dyDescent="0.2">
      <c r="B14" s="47">
        <v>44173</v>
      </c>
      <c r="C14" s="46">
        <v>1870</v>
      </c>
      <c r="D14" s="45">
        <v>1870</v>
      </c>
      <c r="E14" s="44">
        <f t="shared" si="0"/>
        <v>1870</v>
      </c>
      <c r="F14" s="46">
        <v>1895</v>
      </c>
      <c r="G14" s="45">
        <v>1895</v>
      </c>
      <c r="H14" s="44">
        <f t="shared" si="1"/>
        <v>1895</v>
      </c>
      <c r="I14" s="46">
        <v>1913.5</v>
      </c>
      <c r="J14" s="45">
        <v>1913.5</v>
      </c>
      <c r="K14" s="44">
        <f t="shared" si="2"/>
        <v>1913.5</v>
      </c>
      <c r="L14" s="52">
        <v>1870</v>
      </c>
      <c r="M14" s="51">
        <v>1.3301000000000001</v>
      </c>
      <c r="N14" s="51">
        <v>1.2115</v>
      </c>
      <c r="O14" s="50">
        <v>104.15</v>
      </c>
      <c r="P14" s="43">
        <v>1405.91</v>
      </c>
      <c r="Q14" s="43">
        <v>1423.21</v>
      </c>
      <c r="R14" s="49">
        <f t="shared" si="3"/>
        <v>1543.5410647957078</v>
      </c>
      <c r="S14" s="48">
        <v>1.3314999999999999</v>
      </c>
    </row>
    <row r="15" spans="1:19" x14ac:dyDescent="0.2">
      <c r="B15" s="47">
        <v>44174</v>
      </c>
      <c r="C15" s="46">
        <v>1864.5</v>
      </c>
      <c r="D15" s="45">
        <v>1864.5</v>
      </c>
      <c r="E15" s="44">
        <f t="shared" si="0"/>
        <v>1864.5</v>
      </c>
      <c r="F15" s="46">
        <v>1890</v>
      </c>
      <c r="G15" s="45">
        <v>1890</v>
      </c>
      <c r="H15" s="44">
        <f t="shared" si="1"/>
        <v>1890</v>
      </c>
      <c r="I15" s="46">
        <v>1908.5</v>
      </c>
      <c r="J15" s="45">
        <v>1908.5</v>
      </c>
      <c r="K15" s="44">
        <f t="shared" si="2"/>
        <v>1908.5</v>
      </c>
      <c r="L15" s="52">
        <v>1864.5</v>
      </c>
      <c r="M15" s="51">
        <v>1.3452</v>
      </c>
      <c r="N15" s="51">
        <v>1.2109000000000001</v>
      </c>
      <c r="O15" s="50">
        <v>104.12</v>
      </c>
      <c r="P15" s="43">
        <v>1386.04</v>
      </c>
      <c r="Q15" s="43">
        <v>1403.64</v>
      </c>
      <c r="R15" s="49">
        <f t="shared" si="3"/>
        <v>1539.7638120406309</v>
      </c>
      <c r="S15" s="48">
        <v>1.3465</v>
      </c>
    </row>
    <row r="16" spans="1:19" x14ac:dyDescent="0.2">
      <c r="B16" s="47">
        <v>44175</v>
      </c>
      <c r="C16" s="46">
        <v>1884.5</v>
      </c>
      <c r="D16" s="45">
        <v>1884.5</v>
      </c>
      <c r="E16" s="44">
        <f t="shared" si="0"/>
        <v>1884.5</v>
      </c>
      <c r="F16" s="46">
        <v>1910</v>
      </c>
      <c r="G16" s="45">
        <v>1910</v>
      </c>
      <c r="H16" s="44">
        <f t="shared" si="1"/>
        <v>1910</v>
      </c>
      <c r="I16" s="46">
        <v>1928</v>
      </c>
      <c r="J16" s="45">
        <v>1928</v>
      </c>
      <c r="K16" s="44">
        <f t="shared" si="2"/>
        <v>1928</v>
      </c>
      <c r="L16" s="52">
        <v>1884.5</v>
      </c>
      <c r="M16" s="51">
        <v>1.3295999999999999</v>
      </c>
      <c r="N16" s="51">
        <v>1.2111000000000001</v>
      </c>
      <c r="O16" s="50">
        <v>104.45</v>
      </c>
      <c r="P16" s="43">
        <v>1417.34</v>
      </c>
      <c r="Q16" s="43">
        <v>1435.23</v>
      </c>
      <c r="R16" s="49">
        <f t="shared" si="3"/>
        <v>1556.0234497564197</v>
      </c>
      <c r="S16" s="48">
        <v>1.3308</v>
      </c>
    </row>
    <row r="17" spans="2:19" x14ac:dyDescent="0.2">
      <c r="B17" s="47">
        <v>44176</v>
      </c>
      <c r="C17" s="46">
        <v>1902.5</v>
      </c>
      <c r="D17" s="45">
        <v>1902.5</v>
      </c>
      <c r="E17" s="44">
        <f t="shared" si="0"/>
        <v>1902.5</v>
      </c>
      <c r="F17" s="46">
        <v>1928.5</v>
      </c>
      <c r="G17" s="45">
        <v>1928.5</v>
      </c>
      <c r="H17" s="44">
        <f t="shared" si="1"/>
        <v>1928.5</v>
      </c>
      <c r="I17" s="46">
        <v>1946.5</v>
      </c>
      <c r="J17" s="45">
        <v>1946.5</v>
      </c>
      <c r="K17" s="44">
        <f t="shared" si="2"/>
        <v>1946.5</v>
      </c>
      <c r="L17" s="52">
        <v>1902.5</v>
      </c>
      <c r="M17" s="51">
        <v>1.3167</v>
      </c>
      <c r="N17" s="51">
        <v>1.2125999999999999</v>
      </c>
      <c r="O17" s="50">
        <v>104.12</v>
      </c>
      <c r="P17" s="43">
        <v>1444.9</v>
      </c>
      <c r="Q17" s="43">
        <v>1463.31</v>
      </c>
      <c r="R17" s="49">
        <f t="shared" si="3"/>
        <v>1568.9427676067955</v>
      </c>
      <c r="S17" s="48">
        <v>1.3179000000000001</v>
      </c>
    </row>
    <row r="18" spans="2:19" x14ac:dyDescent="0.2">
      <c r="B18" s="47">
        <v>44179</v>
      </c>
      <c r="C18" s="46">
        <v>1923.5</v>
      </c>
      <c r="D18" s="45">
        <v>1923.5</v>
      </c>
      <c r="E18" s="44">
        <f t="shared" si="0"/>
        <v>1923.5</v>
      </c>
      <c r="F18" s="46">
        <v>1940</v>
      </c>
      <c r="G18" s="45">
        <v>1940</v>
      </c>
      <c r="H18" s="44">
        <f t="shared" si="1"/>
        <v>1940</v>
      </c>
      <c r="I18" s="46">
        <v>1956.5</v>
      </c>
      <c r="J18" s="45">
        <v>1956.5</v>
      </c>
      <c r="K18" s="44">
        <f t="shared" si="2"/>
        <v>1956.5</v>
      </c>
      <c r="L18" s="52">
        <v>1923.5</v>
      </c>
      <c r="M18" s="51">
        <v>1.3405</v>
      </c>
      <c r="N18" s="51">
        <v>1.2158</v>
      </c>
      <c r="O18" s="50">
        <v>103.72</v>
      </c>
      <c r="P18" s="43">
        <v>1434.91</v>
      </c>
      <c r="Q18" s="43">
        <v>1445.93</v>
      </c>
      <c r="R18" s="49">
        <f t="shared" si="3"/>
        <v>1582.0858693864122</v>
      </c>
      <c r="S18" s="48">
        <v>1.3416999999999999</v>
      </c>
    </row>
    <row r="19" spans="2:19" x14ac:dyDescent="0.2">
      <c r="B19" s="47">
        <v>44180</v>
      </c>
      <c r="C19" s="46">
        <v>1932</v>
      </c>
      <c r="D19" s="45">
        <v>1932</v>
      </c>
      <c r="E19" s="44">
        <f t="shared" si="0"/>
        <v>1932</v>
      </c>
      <c r="F19" s="46">
        <v>1948.5</v>
      </c>
      <c r="G19" s="45">
        <v>1948.5</v>
      </c>
      <c r="H19" s="44">
        <f t="shared" si="1"/>
        <v>1948.5</v>
      </c>
      <c r="I19" s="46">
        <v>1965</v>
      </c>
      <c r="J19" s="45">
        <v>1965</v>
      </c>
      <c r="K19" s="44">
        <f t="shared" si="2"/>
        <v>1965</v>
      </c>
      <c r="L19" s="52">
        <v>1932</v>
      </c>
      <c r="M19" s="51">
        <v>1.3366</v>
      </c>
      <c r="N19" s="51">
        <v>1.2122999999999999</v>
      </c>
      <c r="O19" s="50">
        <v>103.93</v>
      </c>
      <c r="P19" s="43">
        <v>1445.46</v>
      </c>
      <c r="Q19" s="43">
        <v>1456.6</v>
      </c>
      <c r="R19" s="49">
        <f t="shared" si="3"/>
        <v>1593.6649344221728</v>
      </c>
      <c r="S19" s="48">
        <v>1.3376999999999999</v>
      </c>
    </row>
    <row r="20" spans="2:19" x14ac:dyDescent="0.2">
      <c r="B20" s="47">
        <v>44181</v>
      </c>
      <c r="C20" s="46">
        <v>1975</v>
      </c>
      <c r="D20" s="45">
        <v>1975</v>
      </c>
      <c r="E20" s="44">
        <f t="shared" si="0"/>
        <v>1975</v>
      </c>
      <c r="F20" s="46">
        <v>1990</v>
      </c>
      <c r="G20" s="45">
        <v>1990</v>
      </c>
      <c r="H20" s="44">
        <f t="shared" si="1"/>
        <v>1990</v>
      </c>
      <c r="I20" s="46">
        <v>2006.5</v>
      </c>
      <c r="J20" s="45">
        <v>2006.5</v>
      </c>
      <c r="K20" s="44">
        <f t="shared" si="2"/>
        <v>2006.5</v>
      </c>
      <c r="L20" s="52">
        <v>1975</v>
      </c>
      <c r="M20" s="51">
        <v>1.3547</v>
      </c>
      <c r="N20" s="51">
        <v>1.2195</v>
      </c>
      <c r="O20" s="50">
        <v>103.3</v>
      </c>
      <c r="P20" s="43">
        <v>1457.89</v>
      </c>
      <c r="Q20" s="43">
        <v>1467.66</v>
      </c>
      <c r="R20" s="49">
        <f t="shared" si="3"/>
        <v>1619.5161951619516</v>
      </c>
      <c r="S20" s="48">
        <v>1.3559000000000001</v>
      </c>
    </row>
    <row r="21" spans="2:19" x14ac:dyDescent="0.2">
      <c r="B21" s="47">
        <v>44182</v>
      </c>
      <c r="C21" s="46">
        <v>2000</v>
      </c>
      <c r="D21" s="45">
        <v>2000</v>
      </c>
      <c r="E21" s="44">
        <f t="shared" si="0"/>
        <v>2000</v>
      </c>
      <c r="F21" s="46">
        <v>2000</v>
      </c>
      <c r="G21" s="45">
        <v>2000</v>
      </c>
      <c r="H21" s="44">
        <f t="shared" si="1"/>
        <v>2000</v>
      </c>
      <c r="I21" s="46">
        <v>2016</v>
      </c>
      <c r="J21" s="45">
        <v>2016</v>
      </c>
      <c r="K21" s="44">
        <f t="shared" si="2"/>
        <v>2016</v>
      </c>
      <c r="L21" s="52">
        <v>2000</v>
      </c>
      <c r="M21" s="51">
        <v>1.359</v>
      </c>
      <c r="N21" s="51">
        <v>1.2249000000000001</v>
      </c>
      <c r="O21" s="50">
        <v>103.02</v>
      </c>
      <c r="P21" s="43">
        <v>1471.67</v>
      </c>
      <c r="Q21" s="43">
        <v>1470.05</v>
      </c>
      <c r="R21" s="49">
        <f t="shared" si="3"/>
        <v>1632.7863499061148</v>
      </c>
      <c r="S21" s="48">
        <v>1.3605</v>
      </c>
    </row>
    <row r="22" spans="2:19" x14ac:dyDescent="0.2">
      <c r="B22" s="47">
        <v>44183</v>
      </c>
      <c r="C22" s="46">
        <v>1999.5</v>
      </c>
      <c r="D22" s="45">
        <v>1999.5</v>
      </c>
      <c r="E22" s="44">
        <f t="shared" si="0"/>
        <v>1999.5</v>
      </c>
      <c r="F22" s="46">
        <v>2000</v>
      </c>
      <c r="G22" s="45">
        <v>2000</v>
      </c>
      <c r="H22" s="44">
        <f t="shared" si="1"/>
        <v>2000</v>
      </c>
      <c r="I22" s="46">
        <v>2018</v>
      </c>
      <c r="J22" s="45">
        <v>2018</v>
      </c>
      <c r="K22" s="44">
        <f t="shared" si="2"/>
        <v>2018</v>
      </c>
      <c r="L22" s="52">
        <v>1999.5</v>
      </c>
      <c r="M22" s="51">
        <v>1.3521000000000001</v>
      </c>
      <c r="N22" s="51">
        <v>1.2255</v>
      </c>
      <c r="O22" s="50">
        <v>103.28</v>
      </c>
      <c r="P22" s="43">
        <v>1478.81</v>
      </c>
      <c r="Q22" s="43">
        <v>1477.87</v>
      </c>
      <c r="R22" s="49">
        <f t="shared" si="3"/>
        <v>1631.578947368421</v>
      </c>
      <c r="S22" s="48">
        <v>1.3532999999999999</v>
      </c>
    </row>
    <row r="23" spans="2:19" x14ac:dyDescent="0.2">
      <c r="B23" s="47">
        <v>44186</v>
      </c>
      <c r="C23" s="46">
        <v>1999.5</v>
      </c>
      <c r="D23" s="45">
        <v>1999.5</v>
      </c>
      <c r="E23" s="44">
        <f t="shared" si="0"/>
        <v>1999.5</v>
      </c>
      <c r="F23" s="46">
        <v>2000</v>
      </c>
      <c r="G23" s="45">
        <v>2000</v>
      </c>
      <c r="H23" s="44">
        <f t="shared" si="1"/>
        <v>2000</v>
      </c>
      <c r="I23" s="46">
        <v>2030.5</v>
      </c>
      <c r="J23" s="45">
        <v>2030.5</v>
      </c>
      <c r="K23" s="44">
        <f t="shared" si="2"/>
        <v>2030.5</v>
      </c>
      <c r="L23" s="52">
        <v>1999.5</v>
      </c>
      <c r="M23" s="51">
        <v>1.3282</v>
      </c>
      <c r="N23" s="51">
        <v>1.2163999999999999</v>
      </c>
      <c r="O23" s="50">
        <v>103.59</v>
      </c>
      <c r="P23" s="43">
        <v>1505.42</v>
      </c>
      <c r="Q23" s="43">
        <v>1504.1</v>
      </c>
      <c r="R23" s="49">
        <f t="shared" si="3"/>
        <v>1643.7849391647485</v>
      </c>
      <c r="S23" s="48">
        <v>1.3297000000000001</v>
      </c>
    </row>
    <row r="24" spans="2:19" x14ac:dyDescent="0.2">
      <c r="B24" s="47">
        <v>44187</v>
      </c>
      <c r="C24" s="46">
        <v>1980</v>
      </c>
      <c r="D24" s="45">
        <v>1980</v>
      </c>
      <c r="E24" s="44">
        <f t="shared" si="0"/>
        <v>1980</v>
      </c>
      <c r="F24" s="46">
        <v>1980.5</v>
      </c>
      <c r="G24" s="45">
        <v>1980.5</v>
      </c>
      <c r="H24" s="44">
        <f t="shared" si="1"/>
        <v>1980.5</v>
      </c>
      <c r="I24" s="46">
        <v>2017</v>
      </c>
      <c r="J24" s="45">
        <v>2017</v>
      </c>
      <c r="K24" s="44">
        <f t="shared" si="2"/>
        <v>2017</v>
      </c>
      <c r="L24" s="52">
        <v>1980</v>
      </c>
      <c r="M24" s="51">
        <v>1.3415999999999999</v>
      </c>
      <c r="N24" s="51">
        <v>1.224</v>
      </c>
      <c r="O24" s="50">
        <v>103.38</v>
      </c>
      <c r="P24" s="43">
        <v>1475.85</v>
      </c>
      <c r="Q24" s="43">
        <v>1474.46</v>
      </c>
      <c r="R24" s="49">
        <f t="shared" si="3"/>
        <v>1617.6470588235295</v>
      </c>
      <c r="S24" s="48">
        <v>1.3431999999999999</v>
      </c>
    </row>
    <row r="25" spans="2:19" x14ac:dyDescent="0.2">
      <c r="B25" s="47">
        <v>44188</v>
      </c>
      <c r="C25" s="46">
        <v>1980.5</v>
      </c>
      <c r="D25" s="45">
        <v>1980.5</v>
      </c>
      <c r="E25" s="44">
        <f t="shared" si="0"/>
        <v>1980.5</v>
      </c>
      <c r="F25" s="46">
        <v>2000</v>
      </c>
      <c r="G25" s="45">
        <v>2000</v>
      </c>
      <c r="H25" s="44">
        <f t="shared" si="1"/>
        <v>2000</v>
      </c>
      <c r="I25" s="46">
        <v>2024.5</v>
      </c>
      <c r="J25" s="45">
        <v>2024.5</v>
      </c>
      <c r="K25" s="44">
        <f t="shared" si="2"/>
        <v>2024.5</v>
      </c>
      <c r="L25" s="52">
        <v>1980.5</v>
      </c>
      <c r="M25" s="51">
        <v>1.3426</v>
      </c>
      <c r="N25" s="51">
        <v>1.2181999999999999</v>
      </c>
      <c r="O25" s="50">
        <v>103.48</v>
      </c>
      <c r="P25" s="43">
        <v>1475.12</v>
      </c>
      <c r="Q25" s="43">
        <v>1487.98</v>
      </c>
      <c r="R25" s="49">
        <f t="shared" si="3"/>
        <v>1625.7593170251191</v>
      </c>
      <c r="S25" s="48">
        <v>1.3441000000000001</v>
      </c>
    </row>
    <row r="26" spans="2:19" x14ac:dyDescent="0.2">
      <c r="B26" s="47">
        <v>44189</v>
      </c>
      <c r="C26" s="46">
        <v>2000</v>
      </c>
      <c r="D26" s="45">
        <v>2000</v>
      </c>
      <c r="E26" s="44">
        <f t="shared" si="0"/>
        <v>2000</v>
      </c>
      <c r="F26" s="46">
        <v>2019.5</v>
      </c>
      <c r="G26" s="45">
        <v>2019.5</v>
      </c>
      <c r="H26" s="44">
        <f t="shared" si="1"/>
        <v>2019.5</v>
      </c>
      <c r="I26" s="46">
        <v>2044</v>
      </c>
      <c r="J26" s="45">
        <v>2044</v>
      </c>
      <c r="K26" s="44">
        <f t="shared" si="2"/>
        <v>2044</v>
      </c>
      <c r="L26" s="52">
        <v>2000</v>
      </c>
      <c r="M26" s="51">
        <v>1.3582000000000001</v>
      </c>
      <c r="N26" s="51">
        <v>1.2188000000000001</v>
      </c>
      <c r="O26" s="50">
        <v>103.67</v>
      </c>
      <c r="P26" s="43">
        <v>1472.54</v>
      </c>
      <c r="Q26" s="43">
        <v>1485.36</v>
      </c>
      <c r="R26" s="49">
        <f t="shared" si="3"/>
        <v>1640.9583196586805</v>
      </c>
      <c r="S26" s="48">
        <v>1.3595999999999999</v>
      </c>
    </row>
    <row r="27" spans="2:19" x14ac:dyDescent="0.2">
      <c r="B27" s="47">
        <v>44194</v>
      </c>
      <c r="C27" s="46">
        <v>1998.5</v>
      </c>
      <c r="D27" s="45">
        <v>1998.5</v>
      </c>
      <c r="E27" s="44">
        <f t="shared" si="0"/>
        <v>1998.5</v>
      </c>
      <c r="F27" s="46">
        <v>2019.5</v>
      </c>
      <c r="G27" s="45">
        <v>2019.5</v>
      </c>
      <c r="H27" s="44">
        <f t="shared" si="1"/>
        <v>2019.5</v>
      </c>
      <c r="I27" s="46">
        <v>2047.5</v>
      </c>
      <c r="J27" s="45">
        <v>2047.5</v>
      </c>
      <c r="K27" s="44">
        <f t="shared" si="2"/>
        <v>2047.5</v>
      </c>
      <c r="L27" s="52">
        <v>1998.5</v>
      </c>
      <c r="M27" s="51">
        <v>1.3488</v>
      </c>
      <c r="N27" s="51">
        <v>1.2256</v>
      </c>
      <c r="O27" s="50">
        <v>103.68</v>
      </c>
      <c r="P27" s="43">
        <v>1481.69</v>
      </c>
      <c r="Q27" s="43">
        <v>1496.04</v>
      </c>
      <c r="R27" s="49">
        <f t="shared" si="3"/>
        <v>1630.6298955613577</v>
      </c>
      <c r="S27" s="48">
        <v>1.3499000000000001</v>
      </c>
    </row>
    <row r="28" spans="2:19" x14ac:dyDescent="0.2">
      <c r="B28" s="47">
        <v>44195</v>
      </c>
      <c r="C28" s="46">
        <v>1984</v>
      </c>
      <c r="D28" s="45">
        <v>1984</v>
      </c>
      <c r="E28" s="44">
        <f t="shared" si="0"/>
        <v>1984</v>
      </c>
      <c r="F28" s="46">
        <v>2006</v>
      </c>
      <c r="G28" s="45">
        <v>2006</v>
      </c>
      <c r="H28" s="44">
        <f t="shared" si="1"/>
        <v>2006</v>
      </c>
      <c r="I28" s="46">
        <v>2041</v>
      </c>
      <c r="J28" s="45">
        <v>2041</v>
      </c>
      <c r="K28" s="44">
        <f t="shared" si="2"/>
        <v>2041</v>
      </c>
      <c r="L28" s="52">
        <v>1984</v>
      </c>
      <c r="M28" s="51">
        <v>1.3594999999999999</v>
      </c>
      <c r="N28" s="51">
        <v>1.2290000000000001</v>
      </c>
      <c r="O28" s="50">
        <v>103.08</v>
      </c>
      <c r="P28" s="43">
        <v>1459.36</v>
      </c>
      <c r="Q28" s="43">
        <v>1474.67</v>
      </c>
      <c r="R28" s="49">
        <f t="shared" si="3"/>
        <v>1614.3205858421479</v>
      </c>
      <c r="S28" s="48">
        <v>1.3603000000000001</v>
      </c>
    </row>
    <row r="29" spans="2:19" x14ac:dyDescent="0.2">
      <c r="B29" s="47">
        <v>44196</v>
      </c>
      <c r="C29" s="46">
        <v>1970</v>
      </c>
      <c r="D29" s="45">
        <v>1970</v>
      </c>
      <c r="E29" s="44">
        <f t="shared" si="0"/>
        <v>1970</v>
      </c>
      <c r="F29" s="46">
        <v>1995.5</v>
      </c>
      <c r="G29" s="45">
        <v>1995.5</v>
      </c>
      <c r="H29" s="44">
        <f t="shared" si="1"/>
        <v>1995.5</v>
      </c>
      <c r="I29" s="46">
        <v>2035</v>
      </c>
      <c r="J29" s="45">
        <v>2035</v>
      </c>
      <c r="K29" s="44">
        <f t="shared" si="2"/>
        <v>2035</v>
      </c>
      <c r="L29" s="52">
        <v>1970</v>
      </c>
      <c r="M29" s="51">
        <v>1.3663000000000001</v>
      </c>
      <c r="N29" s="51">
        <v>1.2272000000000001</v>
      </c>
      <c r="O29" s="50">
        <v>103.07</v>
      </c>
      <c r="P29" s="43">
        <v>1441.85</v>
      </c>
      <c r="Q29" s="43">
        <v>1459.66</v>
      </c>
      <c r="R29" s="49">
        <f t="shared" si="3"/>
        <v>1605.2803129074314</v>
      </c>
      <c r="S29" s="48">
        <v>1.3671</v>
      </c>
    </row>
    <row r="30" spans="2:19" s="10" customFormat="1" x14ac:dyDescent="0.2">
      <c r="B30" s="42" t="s">
        <v>11</v>
      </c>
      <c r="C30" s="41">
        <f>ROUND(AVERAGE(C9:C29),2)</f>
        <v>1934.12</v>
      </c>
      <c r="D30" s="40">
        <f>ROUND(AVERAGE(D9:D29),2)</f>
        <v>1934.12</v>
      </c>
      <c r="E30" s="39">
        <f>ROUND(AVERAGE(C30:D30),2)</f>
        <v>1934.12</v>
      </c>
      <c r="F30" s="41">
        <f>ROUND(AVERAGE(F9:F29),2)</f>
        <v>1949.12</v>
      </c>
      <c r="G30" s="40">
        <f>ROUND(AVERAGE(G9:G29),2)</f>
        <v>1949.12</v>
      </c>
      <c r="H30" s="39">
        <f>ROUND(AVERAGE(F30:G30),2)</f>
        <v>1949.12</v>
      </c>
      <c r="I30" s="41">
        <f>ROUND(AVERAGE(I9:I29),2)</f>
        <v>1971.71</v>
      </c>
      <c r="J30" s="40">
        <f>ROUND(AVERAGE(J9:J29),2)</f>
        <v>1971.71</v>
      </c>
      <c r="K30" s="39">
        <f>ROUND(AVERAGE(I30:J30),2)</f>
        <v>1971.71</v>
      </c>
      <c r="L30" s="38">
        <f>ROUND(AVERAGE(L9:L29),2)</f>
        <v>1934.12</v>
      </c>
      <c r="M30" s="37">
        <f>ROUND(AVERAGE(M9:M29),4)</f>
        <v>1.3426</v>
      </c>
      <c r="N30" s="36">
        <f>ROUND(AVERAGE(N9:N29),4)</f>
        <v>1.2165999999999999</v>
      </c>
      <c r="O30" s="175">
        <f>ROUND(AVERAGE(O9:O29),2)</f>
        <v>103.78</v>
      </c>
      <c r="P30" s="35">
        <f>AVERAGE(P9:P29)</f>
        <v>1440.5033333333333</v>
      </c>
      <c r="Q30" s="35">
        <f>AVERAGE(Q9:Q29)</f>
        <v>1450.3647619047615</v>
      </c>
      <c r="R30" s="35">
        <f>AVERAGE(R9:R29)</f>
        <v>1589.5778191955358</v>
      </c>
      <c r="S30" s="34">
        <f>AVERAGE(S9:S29)</f>
        <v>1.3438047619047619</v>
      </c>
    </row>
    <row r="31" spans="2:19" s="5" customFormat="1" x14ac:dyDescent="0.2">
      <c r="B31" s="33" t="s">
        <v>12</v>
      </c>
      <c r="C31" s="32">
        <f t="shared" ref="C31:S31" si="4">MAX(C9:C29)</f>
        <v>2000</v>
      </c>
      <c r="D31" s="31">
        <f t="shared" si="4"/>
        <v>2000</v>
      </c>
      <c r="E31" s="30">
        <f t="shared" si="4"/>
        <v>2000</v>
      </c>
      <c r="F31" s="32">
        <f t="shared" si="4"/>
        <v>2019.5</v>
      </c>
      <c r="G31" s="31">
        <f t="shared" si="4"/>
        <v>2019.5</v>
      </c>
      <c r="H31" s="30">
        <f t="shared" si="4"/>
        <v>2019.5</v>
      </c>
      <c r="I31" s="32">
        <f t="shared" si="4"/>
        <v>2047.5</v>
      </c>
      <c r="J31" s="31">
        <f t="shared" si="4"/>
        <v>2047.5</v>
      </c>
      <c r="K31" s="30">
        <f t="shared" si="4"/>
        <v>2047.5</v>
      </c>
      <c r="L31" s="29">
        <f t="shared" si="4"/>
        <v>2000</v>
      </c>
      <c r="M31" s="28">
        <f t="shared" si="4"/>
        <v>1.3663000000000001</v>
      </c>
      <c r="N31" s="27">
        <f t="shared" si="4"/>
        <v>1.2290000000000001</v>
      </c>
      <c r="O31" s="26">
        <f t="shared" si="4"/>
        <v>104.66</v>
      </c>
      <c r="P31" s="25">
        <f t="shared" si="4"/>
        <v>1505.42</v>
      </c>
      <c r="Q31" s="25">
        <f t="shared" si="4"/>
        <v>1504.1</v>
      </c>
      <c r="R31" s="25">
        <f t="shared" si="4"/>
        <v>1643.7849391647485</v>
      </c>
      <c r="S31" s="24">
        <f t="shared" si="4"/>
        <v>1.3671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1830</v>
      </c>
      <c r="D32" s="21">
        <f t="shared" si="5"/>
        <v>1830</v>
      </c>
      <c r="E32" s="20">
        <f t="shared" si="5"/>
        <v>1830</v>
      </c>
      <c r="F32" s="22">
        <f t="shared" si="5"/>
        <v>1850</v>
      </c>
      <c r="G32" s="21">
        <f t="shared" si="5"/>
        <v>1850</v>
      </c>
      <c r="H32" s="20">
        <f t="shared" si="5"/>
        <v>1850</v>
      </c>
      <c r="I32" s="22">
        <f t="shared" si="5"/>
        <v>1870.5</v>
      </c>
      <c r="J32" s="21">
        <f t="shared" si="5"/>
        <v>1870.5</v>
      </c>
      <c r="K32" s="20">
        <f t="shared" si="5"/>
        <v>1870.5</v>
      </c>
      <c r="L32" s="19">
        <f t="shared" si="5"/>
        <v>1830</v>
      </c>
      <c r="M32" s="18">
        <f t="shared" si="5"/>
        <v>1.3167</v>
      </c>
      <c r="N32" s="17">
        <f t="shared" si="5"/>
        <v>1.1967000000000001</v>
      </c>
      <c r="O32" s="16">
        <f t="shared" si="5"/>
        <v>103.02</v>
      </c>
      <c r="P32" s="15">
        <f t="shared" si="5"/>
        <v>1373.05</v>
      </c>
      <c r="Q32" s="15">
        <f t="shared" si="5"/>
        <v>1386.91</v>
      </c>
      <c r="R32" s="15">
        <f t="shared" si="5"/>
        <v>1517.4129353233832</v>
      </c>
      <c r="S32" s="14">
        <f t="shared" si="5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18" activePane="bottomLeft" state="frozen"/>
      <selection activeCell="C46" sqref="C46"/>
      <selection pane="bottomLeft" activeCell="J29" sqref="J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44166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44166</v>
      </c>
      <c r="C9" s="46">
        <v>2045.5</v>
      </c>
      <c r="D9" s="45">
        <v>2045.5</v>
      </c>
      <c r="E9" s="44">
        <f t="shared" ref="E9:E29" si="0">AVERAGE(C9:D9)</f>
        <v>2045.5</v>
      </c>
      <c r="F9" s="46">
        <v>2052.5</v>
      </c>
      <c r="G9" s="45">
        <v>2052.5</v>
      </c>
      <c r="H9" s="44">
        <f t="shared" ref="H9:H29" si="1">AVERAGE(F9:G9)</f>
        <v>2052.5</v>
      </c>
      <c r="I9" s="46">
        <v>2069.5</v>
      </c>
      <c r="J9" s="45">
        <v>2069.5</v>
      </c>
      <c r="K9" s="44">
        <f t="shared" ref="K9:K29" si="2">AVERAGE(I9:J9)</f>
        <v>2069.5</v>
      </c>
      <c r="L9" s="46">
        <v>2107</v>
      </c>
      <c r="M9" s="45">
        <v>2107</v>
      </c>
      <c r="N9" s="44">
        <f t="shared" ref="N9:N29" si="3">AVERAGE(L9:M9)</f>
        <v>2107</v>
      </c>
      <c r="O9" s="46">
        <v>2148.5</v>
      </c>
      <c r="P9" s="45">
        <v>2148.5</v>
      </c>
      <c r="Q9" s="44">
        <f t="shared" ref="Q9:Q29" si="4">AVERAGE(O9:P9)</f>
        <v>2148.5</v>
      </c>
      <c r="R9" s="52">
        <v>2045.5</v>
      </c>
      <c r="S9" s="51">
        <v>1.3331</v>
      </c>
      <c r="T9" s="53">
        <v>1.1967000000000001</v>
      </c>
      <c r="U9" s="50">
        <v>104.4</v>
      </c>
      <c r="V9" s="43">
        <v>1534.39</v>
      </c>
      <c r="W9" s="43">
        <v>1538.26</v>
      </c>
      <c r="X9" s="49">
        <f t="shared" ref="X9:X29" si="5">R9/T9</f>
        <v>1709.283863959221</v>
      </c>
      <c r="Y9" s="48">
        <v>1.3343</v>
      </c>
    </row>
    <row r="10" spans="1:25" x14ac:dyDescent="0.2">
      <c r="B10" s="47">
        <v>44167</v>
      </c>
      <c r="C10" s="46">
        <v>2051.5</v>
      </c>
      <c r="D10" s="45">
        <v>2051.5</v>
      </c>
      <c r="E10" s="44">
        <f t="shared" si="0"/>
        <v>2051.5</v>
      </c>
      <c r="F10" s="46">
        <v>2062</v>
      </c>
      <c r="G10" s="45">
        <v>2062</v>
      </c>
      <c r="H10" s="44">
        <f t="shared" si="1"/>
        <v>2062</v>
      </c>
      <c r="I10" s="46">
        <v>2076.5</v>
      </c>
      <c r="J10" s="45">
        <v>2076.5</v>
      </c>
      <c r="K10" s="44">
        <f t="shared" si="2"/>
        <v>2076.5</v>
      </c>
      <c r="L10" s="46">
        <v>2111.5</v>
      </c>
      <c r="M10" s="45">
        <v>2111.5</v>
      </c>
      <c r="N10" s="44">
        <f t="shared" si="3"/>
        <v>2111.5</v>
      </c>
      <c r="O10" s="46">
        <v>2145</v>
      </c>
      <c r="P10" s="45">
        <v>2145</v>
      </c>
      <c r="Q10" s="44">
        <f t="shared" si="4"/>
        <v>2145</v>
      </c>
      <c r="R10" s="52">
        <v>2051.5</v>
      </c>
      <c r="S10" s="51">
        <v>1.3328</v>
      </c>
      <c r="T10" s="51">
        <v>1.206</v>
      </c>
      <c r="U10" s="50">
        <v>104.66</v>
      </c>
      <c r="V10" s="43">
        <v>1539.24</v>
      </c>
      <c r="W10" s="43">
        <v>1545.84</v>
      </c>
      <c r="X10" s="49">
        <f t="shared" si="5"/>
        <v>1701.077943615257</v>
      </c>
      <c r="Y10" s="48">
        <v>1.3339000000000001</v>
      </c>
    </row>
    <row r="11" spans="1:25" x14ac:dyDescent="0.2">
      <c r="B11" s="47">
        <v>44168</v>
      </c>
      <c r="C11" s="46">
        <v>2028</v>
      </c>
      <c r="D11" s="45">
        <v>2028</v>
      </c>
      <c r="E11" s="44">
        <f t="shared" si="0"/>
        <v>2028</v>
      </c>
      <c r="F11" s="46">
        <v>2039.5</v>
      </c>
      <c r="G11" s="45">
        <v>2039.5</v>
      </c>
      <c r="H11" s="44">
        <f t="shared" si="1"/>
        <v>2039.5</v>
      </c>
      <c r="I11" s="46">
        <v>2059</v>
      </c>
      <c r="J11" s="45">
        <v>2059</v>
      </c>
      <c r="K11" s="44">
        <f t="shared" si="2"/>
        <v>2059</v>
      </c>
      <c r="L11" s="46">
        <v>2099</v>
      </c>
      <c r="M11" s="45">
        <v>2099</v>
      </c>
      <c r="N11" s="44">
        <f t="shared" si="3"/>
        <v>2099</v>
      </c>
      <c r="O11" s="46">
        <v>2136</v>
      </c>
      <c r="P11" s="45">
        <v>2136</v>
      </c>
      <c r="Q11" s="44">
        <f t="shared" si="4"/>
        <v>2136</v>
      </c>
      <c r="R11" s="52">
        <v>2028</v>
      </c>
      <c r="S11" s="51">
        <v>1.3452</v>
      </c>
      <c r="T11" s="51">
        <v>1.2156</v>
      </c>
      <c r="U11" s="50">
        <v>104.09</v>
      </c>
      <c r="V11" s="43">
        <v>1507.58</v>
      </c>
      <c r="W11" s="43">
        <v>1514.89</v>
      </c>
      <c r="X11" s="49">
        <f t="shared" si="5"/>
        <v>1668.3119447186575</v>
      </c>
      <c r="Y11" s="48">
        <v>1.3463000000000001</v>
      </c>
    </row>
    <row r="12" spans="1:25" x14ac:dyDescent="0.2">
      <c r="B12" s="47">
        <v>44169</v>
      </c>
      <c r="C12" s="46">
        <v>2027.5</v>
      </c>
      <c r="D12" s="45">
        <v>2027.5</v>
      </c>
      <c r="E12" s="44">
        <f t="shared" si="0"/>
        <v>2027.5</v>
      </c>
      <c r="F12" s="46">
        <v>2040</v>
      </c>
      <c r="G12" s="45">
        <v>2040</v>
      </c>
      <c r="H12" s="44">
        <f t="shared" si="1"/>
        <v>2040</v>
      </c>
      <c r="I12" s="46">
        <v>2064.5</v>
      </c>
      <c r="J12" s="45">
        <v>2064.5</v>
      </c>
      <c r="K12" s="44">
        <f t="shared" si="2"/>
        <v>2064.5</v>
      </c>
      <c r="L12" s="46">
        <v>2105.5</v>
      </c>
      <c r="M12" s="45">
        <v>2105.5</v>
      </c>
      <c r="N12" s="44">
        <f t="shared" si="3"/>
        <v>2105.5</v>
      </c>
      <c r="O12" s="46">
        <v>2143.5</v>
      </c>
      <c r="P12" s="45">
        <v>2143.5</v>
      </c>
      <c r="Q12" s="44">
        <f t="shared" si="4"/>
        <v>2143.5</v>
      </c>
      <c r="R12" s="52">
        <v>2027.5</v>
      </c>
      <c r="S12" s="51">
        <v>1.3463000000000001</v>
      </c>
      <c r="T12" s="51">
        <v>1.216</v>
      </c>
      <c r="U12" s="50">
        <v>104</v>
      </c>
      <c r="V12" s="43">
        <v>1505.98</v>
      </c>
      <c r="W12" s="43">
        <v>1514.03</v>
      </c>
      <c r="X12" s="49">
        <f t="shared" si="5"/>
        <v>1667.3519736842106</v>
      </c>
      <c r="Y12" s="48">
        <v>1.3473999999999999</v>
      </c>
    </row>
    <row r="13" spans="1:25" x14ac:dyDescent="0.2">
      <c r="B13" s="47">
        <v>44172</v>
      </c>
      <c r="C13" s="46">
        <v>2004</v>
      </c>
      <c r="D13" s="45">
        <v>2004</v>
      </c>
      <c r="E13" s="44">
        <f t="shared" si="0"/>
        <v>2004</v>
      </c>
      <c r="F13" s="46">
        <v>2018.5</v>
      </c>
      <c r="G13" s="45">
        <v>2018.5</v>
      </c>
      <c r="H13" s="44">
        <f t="shared" si="1"/>
        <v>2018.5</v>
      </c>
      <c r="I13" s="46">
        <v>2046.5</v>
      </c>
      <c r="J13" s="45">
        <v>2046.5</v>
      </c>
      <c r="K13" s="44">
        <f t="shared" si="2"/>
        <v>2046.5</v>
      </c>
      <c r="L13" s="46">
        <v>2088.5</v>
      </c>
      <c r="M13" s="45">
        <v>2088.5</v>
      </c>
      <c r="N13" s="44">
        <f t="shared" si="3"/>
        <v>2088.5</v>
      </c>
      <c r="O13" s="46">
        <v>2127</v>
      </c>
      <c r="P13" s="45">
        <v>2127</v>
      </c>
      <c r="Q13" s="44">
        <f t="shared" si="4"/>
        <v>2127</v>
      </c>
      <c r="R13" s="52">
        <v>2004</v>
      </c>
      <c r="S13" s="51">
        <v>1.3270999999999999</v>
      </c>
      <c r="T13" s="51">
        <v>1.2117</v>
      </c>
      <c r="U13" s="50">
        <v>104.17</v>
      </c>
      <c r="V13" s="43">
        <v>1510.06</v>
      </c>
      <c r="W13" s="43">
        <v>1519.61</v>
      </c>
      <c r="X13" s="49">
        <f t="shared" si="5"/>
        <v>1653.8747214657094</v>
      </c>
      <c r="Y13" s="48">
        <v>1.3283</v>
      </c>
    </row>
    <row r="14" spans="1:25" x14ac:dyDescent="0.2">
      <c r="B14" s="47">
        <v>44173</v>
      </c>
      <c r="C14" s="46">
        <v>1986</v>
      </c>
      <c r="D14" s="45">
        <v>1986</v>
      </c>
      <c r="E14" s="44">
        <f t="shared" si="0"/>
        <v>1986</v>
      </c>
      <c r="F14" s="46">
        <v>2007</v>
      </c>
      <c r="G14" s="45">
        <v>2007</v>
      </c>
      <c r="H14" s="44">
        <f t="shared" si="1"/>
        <v>2007</v>
      </c>
      <c r="I14" s="46">
        <v>2040.5</v>
      </c>
      <c r="J14" s="45">
        <v>2040.5</v>
      </c>
      <c r="K14" s="44">
        <f t="shared" si="2"/>
        <v>2040.5</v>
      </c>
      <c r="L14" s="46">
        <v>2087.5</v>
      </c>
      <c r="M14" s="45">
        <v>2087.5</v>
      </c>
      <c r="N14" s="44">
        <f t="shared" si="3"/>
        <v>2087.5</v>
      </c>
      <c r="O14" s="46">
        <v>2133.5</v>
      </c>
      <c r="P14" s="45">
        <v>2133.5</v>
      </c>
      <c r="Q14" s="44">
        <f t="shared" si="4"/>
        <v>2133.5</v>
      </c>
      <c r="R14" s="52">
        <v>1986</v>
      </c>
      <c r="S14" s="51">
        <v>1.3301000000000001</v>
      </c>
      <c r="T14" s="51">
        <v>1.2115</v>
      </c>
      <c r="U14" s="50">
        <v>104.15</v>
      </c>
      <c r="V14" s="43">
        <v>1493.12</v>
      </c>
      <c r="W14" s="43">
        <v>1507.32</v>
      </c>
      <c r="X14" s="49">
        <f t="shared" si="5"/>
        <v>1639.2901361947997</v>
      </c>
      <c r="Y14" s="48">
        <v>1.3314999999999999</v>
      </c>
    </row>
    <row r="15" spans="1:25" x14ac:dyDescent="0.2">
      <c r="B15" s="47">
        <v>44174</v>
      </c>
      <c r="C15" s="46">
        <v>2010</v>
      </c>
      <c r="D15" s="45">
        <v>2010</v>
      </c>
      <c r="E15" s="44">
        <f t="shared" si="0"/>
        <v>2010</v>
      </c>
      <c r="F15" s="46">
        <v>2027.5</v>
      </c>
      <c r="G15" s="45">
        <v>2027.5</v>
      </c>
      <c r="H15" s="44">
        <f t="shared" si="1"/>
        <v>2027.5</v>
      </c>
      <c r="I15" s="46">
        <v>2062.5</v>
      </c>
      <c r="J15" s="45">
        <v>2062.5</v>
      </c>
      <c r="K15" s="44">
        <f t="shared" si="2"/>
        <v>2062.5</v>
      </c>
      <c r="L15" s="46">
        <v>2108.5</v>
      </c>
      <c r="M15" s="45">
        <v>2108.5</v>
      </c>
      <c r="N15" s="44">
        <f t="shared" si="3"/>
        <v>2108.5</v>
      </c>
      <c r="O15" s="46">
        <v>2155.5</v>
      </c>
      <c r="P15" s="45">
        <v>2155.5</v>
      </c>
      <c r="Q15" s="44">
        <f t="shared" si="4"/>
        <v>2155.5</v>
      </c>
      <c r="R15" s="52">
        <v>2010</v>
      </c>
      <c r="S15" s="51">
        <v>1.3452</v>
      </c>
      <c r="T15" s="51">
        <v>1.2109000000000001</v>
      </c>
      <c r="U15" s="50">
        <v>104.12</v>
      </c>
      <c r="V15" s="43">
        <v>1494.2</v>
      </c>
      <c r="W15" s="43">
        <v>1505.76</v>
      </c>
      <c r="X15" s="49">
        <f t="shared" si="5"/>
        <v>1659.9223717895779</v>
      </c>
      <c r="Y15" s="48">
        <v>1.3465</v>
      </c>
    </row>
    <row r="16" spans="1:25" x14ac:dyDescent="0.2">
      <c r="B16" s="47">
        <v>44175</v>
      </c>
      <c r="C16" s="46">
        <v>2031</v>
      </c>
      <c r="D16" s="45">
        <v>2031</v>
      </c>
      <c r="E16" s="44">
        <f t="shared" si="0"/>
        <v>2031</v>
      </c>
      <c r="F16" s="46">
        <v>2042</v>
      </c>
      <c r="G16" s="45">
        <v>2042</v>
      </c>
      <c r="H16" s="44">
        <f t="shared" si="1"/>
        <v>2042</v>
      </c>
      <c r="I16" s="46">
        <v>2070.5</v>
      </c>
      <c r="J16" s="45">
        <v>2070.5</v>
      </c>
      <c r="K16" s="44">
        <f t="shared" si="2"/>
        <v>2070.5</v>
      </c>
      <c r="L16" s="46">
        <v>2112</v>
      </c>
      <c r="M16" s="45">
        <v>2112</v>
      </c>
      <c r="N16" s="44">
        <f t="shared" si="3"/>
        <v>2112</v>
      </c>
      <c r="O16" s="46">
        <v>2155</v>
      </c>
      <c r="P16" s="45">
        <v>2155</v>
      </c>
      <c r="Q16" s="44">
        <f t="shared" si="4"/>
        <v>2155</v>
      </c>
      <c r="R16" s="52">
        <v>2031</v>
      </c>
      <c r="S16" s="51">
        <v>1.3295999999999999</v>
      </c>
      <c r="T16" s="51">
        <v>1.2111000000000001</v>
      </c>
      <c r="U16" s="50">
        <v>104.45</v>
      </c>
      <c r="V16" s="43">
        <v>1527.53</v>
      </c>
      <c r="W16" s="43">
        <v>1534.42</v>
      </c>
      <c r="X16" s="49">
        <f t="shared" si="5"/>
        <v>1676.9878622739657</v>
      </c>
      <c r="Y16" s="48">
        <v>1.3308</v>
      </c>
    </row>
    <row r="17" spans="2:25" x14ac:dyDescent="0.2">
      <c r="B17" s="47">
        <v>44176</v>
      </c>
      <c r="C17" s="46">
        <v>2022</v>
      </c>
      <c r="D17" s="45">
        <v>2022</v>
      </c>
      <c r="E17" s="44">
        <f t="shared" si="0"/>
        <v>2022</v>
      </c>
      <c r="F17" s="46">
        <v>2034.5</v>
      </c>
      <c r="G17" s="45">
        <v>2034.5</v>
      </c>
      <c r="H17" s="44">
        <f t="shared" si="1"/>
        <v>2034.5</v>
      </c>
      <c r="I17" s="46">
        <v>2062.5</v>
      </c>
      <c r="J17" s="45">
        <v>2062.5</v>
      </c>
      <c r="K17" s="44">
        <f t="shared" si="2"/>
        <v>2062.5</v>
      </c>
      <c r="L17" s="46">
        <v>2102.5</v>
      </c>
      <c r="M17" s="45">
        <v>2102.5</v>
      </c>
      <c r="N17" s="44">
        <f t="shared" si="3"/>
        <v>2102.5</v>
      </c>
      <c r="O17" s="46">
        <v>2143</v>
      </c>
      <c r="P17" s="45">
        <v>2143</v>
      </c>
      <c r="Q17" s="44">
        <f t="shared" si="4"/>
        <v>2143</v>
      </c>
      <c r="R17" s="52">
        <v>2022</v>
      </c>
      <c r="S17" s="51">
        <v>1.3167</v>
      </c>
      <c r="T17" s="51">
        <v>1.2125999999999999</v>
      </c>
      <c r="U17" s="50">
        <v>104.12</v>
      </c>
      <c r="V17" s="43">
        <v>1535.66</v>
      </c>
      <c r="W17" s="43">
        <v>1543.74</v>
      </c>
      <c r="X17" s="49">
        <f t="shared" si="5"/>
        <v>1667.4913409203366</v>
      </c>
      <c r="Y17" s="48">
        <v>1.3179000000000001</v>
      </c>
    </row>
    <row r="18" spans="2:25" x14ac:dyDescent="0.2">
      <c r="B18" s="47">
        <v>44179</v>
      </c>
      <c r="C18" s="46">
        <v>2042.5</v>
      </c>
      <c r="D18" s="45">
        <v>2042.5</v>
      </c>
      <c r="E18" s="44">
        <f t="shared" si="0"/>
        <v>2042.5</v>
      </c>
      <c r="F18" s="46">
        <v>2054</v>
      </c>
      <c r="G18" s="45">
        <v>2054</v>
      </c>
      <c r="H18" s="44">
        <f t="shared" si="1"/>
        <v>2054</v>
      </c>
      <c r="I18" s="46">
        <v>2082.5</v>
      </c>
      <c r="J18" s="45">
        <v>2082.5</v>
      </c>
      <c r="K18" s="44">
        <f t="shared" si="2"/>
        <v>2082.5</v>
      </c>
      <c r="L18" s="46">
        <v>2122</v>
      </c>
      <c r="M18" s="45">
        <v>2122</v>
      </c>
      <c r="N18" s="44">
        <f t="shared" si="3"/>
        <v>2122</v>
      </c>
      <c r="O18" s="46">
        <v>2165</v>
      </c>
      <c r="P18" s="45">
        <v>2165</v>
      </c>
      <c r="Q18" s="44">
        <f t="shared" si="4"/>
        <v>2165</v>
      </c>
      <c r="R18" s="52">
        <v>2042.5</v>
      </c>
      <c r="S18" s="51">
        <v>1.3405</v>
      </c>
      <c r="T18" s="51">
        <v>1.2158</v>
      </c>
      <c r="U18" s="50">
        <v>103.72</v>
      </c>
      <c r="V18" s="43">
        <v>1523.69</v>
      </c>
      <c r="W18" s="43">
        <v>1530.89</v>
      </c>
      <c r="X18" s="49">
        <f t="shared" si="5"/>
        <v>1679.9638098371443</v>
      </c>
      <c r="Y18" s="48">
        <v>1.3416999999999999</v>
      </c>
    </row>
    <row r="19" spans="2:25" x14ac:dyDescent="0.2">
      <c r="B19" s="47">
        <v>44180</v>
      </c>
      <c r="C19" s="46">
        <v>2022</v>
      </c>
      <c r="D19" s="45">
        <v>2022</v>
      </c>
      <c r="E19" s="44">
        <f t="shared" si="0"/>
        <v>2022</v>
      </c>
      <c r="F19" s="46">
        <v>2038</v>
      </c>
      <c r="G19" s="45">
        <v>2038</v>
      </c>
      <c r="H19" s="44">
        <f t="shared" si="1"/>
        <v>2038</v>
      </c>
      <c r="I19" s="46">
        <v>2067</v>
      </c>
      <c r="J19" s="45">
        <v>2067</v>
      </c>
      <c r="K19" s="44">
        <f t="shared" si="2"/>
        <v>2067</v>
      </c>
      <c r="L19" s="46">
        <v>2106</v>
      </c>
      <c r="M19" s="45">
        <v>2106</v>
      </c>
      <c r="N19" s="44">
        <f t="shared" si="3"/>
        <v>2106</v>
      </c>
      <c r="O19" s="46">
        <v>2149</v>
      </c>
      <c r="P19" s="45">
        <v>2149</v>
      </c>
      <c r="Q19" s="44">
        <f t="shared" si="4"/>
        <v>2149</v>
      </c>
      <c r="R19" s="52">
        <v>2022</v>
      </c>
      <c r="S19" s="51">
        <v>1.3366</v>
      </c>
      <c r="T19" s="51">
        <v>1.2122999999999999</v>
      </c>
      <c r="U19" s="50">
        <v>103.93</v>
      </c>
      <c r="V19" s="43">
        <v>1512.79</v>
      </c>
      <c r="W19" s="43">
        <v>1523.51</v>
      </c>
      <c r="X19" s="49">
        <f t="shared" si="5"/>
        <v>1667.9039841623362</v>
      </c>
      <c r="Y19" s="48">
        <v>1.3376999999999999</v>
      </c>
    </row>
    <row r="20" spans="2:25" x14ac:dyDescent="0.2">
      <c r="B20" s="47">
        <v>44181</v>
      </c>
      <c r="C20" s="46">
        <v>2029</v>
      </c>
      <c r="D20" s="45">
        <v>2029</v>
      </c>
      <c r="E20" s="44">
        <f t="shared" si="0"/>
        <v>2029</v>
      </c>
      <c r="F20" s="46">
        <v>2045.5</v>
      </c>
      <c r="G20" s="45">
        <v>2045.5</v>
      </c>
      <c r="H20" s="44">
        <f t="shared" si="1"/>
        <v>2045.5</v>
      </c>
      <c r="I20" s="46">
        <v>2071.5</v>
      </c>
      <c r="J20" s="45">
        <v>2071.5</v>
      </c>
      <c r="K20" s="44">
        <f t="shared" si="2"/>
        <v>2071.5</v>
      </c>
      <c r="L20" s="46">
        <v>2111</v>
      </c>
      <c r="M20" s="45">
        <v>2111</v>
      </c>
      <c r="N20" s="44">
        <f t="shared" si="3"/>
        <v>2111</v>
      </c>
      <c r="O20" s="46">
        <v>2154</v>
      </c>
      <c r="P20" s="45">
        <v>2154</v>
      </c>
      <c r="Q20" s="44">
        <f t="shared" si="4"/>
        <v>2154</v>
      </c>
      <c r="R20" s="52">
        <v>2029</v>
      </c>
      <c r="S20" s="51">
        <v>1.3547</v>
      </c>
      <c r="T20" s="51">
        <v>1.2195</v>
      </c>
      <c r="U20" s="50">
        <v>103.3</v>
      </c>
      <c r="V20" s="43">
        <v>1497.75</v>
      </c>
      <c r="W20" s="43">
        <v>1508.59</v>
      </c>
      <c r="X20" s="49">
        <f t="shared" si="5"/>
        <v>1663.7966379663796</v>
      </c>
      <c r="Y20" s="48">
        <v>1.3559000000000001</v>
      </c>
    </row>
    <row r="21" spans="2:25" x14ac:dyDescent="0.2">
      <c r="B21" s="47">
        <v>44182</v>
      </c>
      <c r="C21" s="46">
        <v>2028</v>
      </c>
      <c r="D21" s="45">
        <v>2028</v>
      </c>
      <c r="E21" s="44">
        <f t="shared" si="0"/>
        <v>2028</v>
      </c>
      <c r="F21" s="46">
        <v>2041</v>
      </c>
      <c r="G21" s="45">
        <v>2041</v>
      </c>
      <c r="H21" s="44">
        <f t="shared" si="1"/>
        <v>2041</v>
      </c>
      <c r="I21" s="46">
        <v>2064</v>
      </c>
      <c r="J21" s="45">
        <v>2064</v>
      </c>
      <c r="K21" s="44">
        <f t="shared" si="2"/>
        <v>2064</v>
      </c>
      <c r="L21" s="46">
        <v>2102</v>
      </c>
      <c r="M21" s="45">
        <v>2102</v>
      </c>
      <c r="N21" s="44">
        <f t="shared" si="3"/>
        <v>2102</v>
      </c>
      <c r="O21" s="46">
        <v>2147</v>
      </c>
      <c r="P21" s="45">
        <v>2147</v>
      </c>
      <c r="Q21" s="44">
        <f t="shared" si="4"/>
        <v>2147</v>
      </c>
      <c r="R21" s="52">
        <v>2028</v>
      </c>
      <c r="S21" s="51">
        <v>1.359</v>
      </c>
      <c r="T21" s="51">
        <v>1.2249000000000001</v>
      </c>
      <c r="U21" s="50">
        <v>103.02</v>
      </c>
      <c r="V21" s="43">
        <v>1492.27</v>
      </c>
      <c r="W21" s="43">
        <v>1500.18</v>
      </c>
      <c r="X21" s="49">
        <f t="shared" si="5"/>
        <v>1655.6453588048003</v>
      </c>
      <c r="Y21" s="48">
        <v>1.3605</v>
      </c>
    </row>
    <row r="22" spans="2:25" x14ac:dyDescent="0.2">
      <c r="B22" s="47">
        <v>44183</v>
      </c>
      <c r="C22" s="46">
        <v>2049</v>
      </c>
      <c r="D22" s="45">
        <v>2049</v>
      </c>
      <c r="E22" s="44">
        <f t="shared" si="0"/>
        <v>2049</v>
      </c>
      <c r="F22" s="46">
        <v>2059.5</v>
      </c>
      <c r="G22" s="45">
        <v>2059.5</v>
      </c>
      <c r="H22" s="44">
        <f t="shared" si="1"/>
        <v>2059.5</v>
      </c>
      <c r="I22" s="46">
        <v>2074</v>
      </c>
      <c r="J22" s="45">
        <v>2074</v>
      </c>
      <c r="K22" s="44">
        <f t="shared" si="2"/>
        <v>2074</v>
      </c>
      <c r="L22" s="46">
        <v>2108.5</v>
      </c>
      <c r="M22" s="45">
        <v>2108.5</v>
      </c>
      <c r="N22" s="44">
        <f t="shared" si="3"/>
        <v>2108.5</v>
      </c>
      <c r="O22" s="46">
        <v>2154.5</v>
      </c>
      <c r="P22" s="45">
        <v>2154.5</v>
      </c>
      <c r="Q22" s="44">
        <f t="shared" si="4"/>
        <v>2154.5</v>
      </c>
      <c r="R22" s="52">
        <v>2049</v>
      </c>
      <c r="S22" s="51">
        <v>1.3521000000000001</v>
      </c>
      <c r="T22" s="51">
        <v>1.2255</v>
      </c>
      <c r="U22" s="50">
        <v>103.28</v>
      </c>
      <c r="V22" s="43">
        <v>1515.42</v>
      </c>
      <c r="W22" s="43">
        <v>1521.84</v>
      </c>
      <c r="X22" s="49">
        <f t="shared" si="5"/>
        <v>1671.970624235006</v>
      </c>
      <c r="Y22" s="48">
        <v>1.3532999999999999</v>
      </c>
    </row>
    <row r="23" spans="2:25" x14ac:dyDescent="0.2">
      <c r="B23" s="47">
        <v>44186</v>
      </c>
      <c r="C23" s="46">
        <v>2012.5</v>
      </c>
      <c r="D23" s="45">
        <v>2012.5</v>
      </c>
      <c r="E23" s="44">
        <f t="shared" si="0"/>
        <v>2012.5</v>
      </c>
      <c r="F23" s="46">
        <v>2023.5</v>
      </c>
      <c r="G23" s="45">
        <v>2023.5</v>
      </c>
      <c r="H23" s="44">
        <f t="shared" si="1"/>
        <v>2023.5</v>
      </c>
      <c r="I23" s="46">
        <v>2038.5</v>
      </c>
      <c r="J23" s="45">
        <v>2038.5</v>
      </c>
      <c r="K23" s="44">
        <f t="shared" si="2"/>
        <v>2038.5</v>
      </c>
      <c r="L23" s="46">
        <v>2073.5</v>
      </c>
      <c r="M23" s="45">
        <v>2073.5</v>
      </c>
      <c r="N23" s="44">
        <f t="shared" si="3"/>
        <v>2073.5</v>
      </c>
      <c r="O23" s="46">
        <v>2116.5</v>
      </c>
      <c r="P23" s="45">
        <v>2116.5</v>
      </c>
      <c r="Q23" s="44">
        <f t="shared" si="4"/>
        <v>2116.5</v>
      </c>
      <c r="R23" s="52">
        <v>2012.5</v>
      </c>
      <c r="S23" s="51">
        <v>1.3282</v>
      </c>
      <c r="T23" s="51">
        <v>1.2163999999999999</v>
      </c>
      <c r="U23" s="50">
        <v>103.59</v>
      </c>
      <c r="V23" s="43">
        <v>1515.21</v>
      </c>
      <c r="W23" s="43">
        <v>1521.77</v>
      </c>
      <c r="X23" s="49">
        <f t="shared" si="5"/>
        <v>1654.4722130878001</v>
      </c>
      <c r="Y23" s="48">
        <v>1.3297000000000001</v>
      </c>
    </row>
    <row r="24" spans="2:25" x14ac:dyDescent="0.2">
      <c r="B24" s="47">
        <v>44187</v>
      </c>
      <c r="C24" s="46">
        <v>1993</v>
      </c>
      <c r="D24" s="45">
        <v>1993</v>
      </c>
      <c r="E24" s="44">
        <f t="shared" si="0"/>
        <v>1993</v>
      </c>
      <c r="F24" s="46">
        <v>2006.5</v>
      </c>
      <c r="G24" s="45">
        <v>2006.5</v>
      </c>
      <c r="H24" s="44">
        <f t="shared" si="1"/>
        <v>2006.5</v>
      </c>
      <c r="I24" s="46">
        <v>2027.5</v>
      </c>
      <c r="J24" s="45">
        <v>2027.5</v>
      </c>
      <c r="K24" s="44">
        <f t="shared" si="2"/>
        <v>2027.5</v>
      </c>
      <c r="L24" s="46">
        <v>2069.5</v>
      </c>
      <c r="M24" s="45">
        <v>2069.5</v>
      </c>
      <c r="N24" s="44">
        <f t="shared" si="3"/>
        <v>2069.5</v>
      </c>
      <c r="O24" s="46">
        <v>2116.5</v>
      </c>
      <c r="P24" s="45">
        <v>2116.5</v>
      </c>
      <c r="Q24" s="44">
        <f t="shared" si="4"/>
        <v>2116.5</v>
      </c>
      <c r="R24" s="52">
        <v>1993</v>
      </c>
      <c r="S24" s="51">
        <v>1.3415999999999999</v>
      </c>
      <c r="T24" s="51">
        <v>1.224</v>
      </c>
      <c r="U24" s="50">
        <v>103.38</v>
      </c>
      <c r="V24" s="43">
        <v>1485.54</v>
      </c>
      <c r="W24" s="43">
        <v>1493.82</v>
      </c>
      <c r="X24" s="49">
        <f t="shared" si="5"/>
        <v>1628.2679738562092</v>
      </c>
      <c r="Y24" s="48">
        <v>1.3431999999999999</v>
      </c>
    </row>
    <row r="25" spans="2:25" x14ac:dyDescent="0.2">
      <c r="B25" s="47">
        <v>44188</v>
      </c>
      <c r="C25" s="46">
        <v>1999</v>
      </c>
      <c r="D25" s="45">
        <v>1999</v>
      </c>
      <c r="E25" s="44">
        <f t="shared" si="0"/>
        <v>1999</v>
      </c>
      <c r="F25" s="46">
        <v>2008.5</v>
      </c>
      <c r="G25" s="45">
        <v>2008.5</v>
      </c>
      <c r="H25" s="44">
        <f t="shared" si="1"/>
        <v>2008.5</v>
      </c>
      <c r="I25" s="46">
        <v>2033</v>
      </c>
      <c r="J25" s="45">
        <v>2033</v>
      </c>
      <c r="K25" s="44">
        <f t="shared" si="2"/>
        <v>2033</v>
      </c>
      <c r="L25" s="46">
        <v>2074</v>
      </c>
      <c r="M25" s="45">
        <v>2074</v>
      </c>
      <c r="N25" s="44">
        <f t="shared" si="3"/>
        <v>2074</v>
      </c>
      <c r="O25" s="46">
        <v>2124.5</v>
      </c>
      <c r="P25" s="45">
        <v>2124.5</v>
      </c>
      <c r="Q25" s="44">
        <f t="shared" si="4"/>
        <v>2124.5</v>
      </c>
      <c r="R25" s="52">
        <v>1999</v>
      </c>
      <c r="S25" s="51">
        <v>1.3426</v>
      </c>
      <c r="T25" s="51">
        <v>1.2181999999999999</v>
      </c>
      <c r="U25" s="50">
        <v>103.48</v>
      </c>
      <c r="V25" s="43">
        <v>1488.9</v>
      </c>
      <c r="W25" s="43">
        <v>1494.31</v>
      </c>
      <c r="X25" s="49">
        <f t="shared" si="5"/>
        <v>1640.9456575274996</v>
      </c>
      <c r="Y25" s="48">
        <v>1.3441000000000001</v>
      </c>
    </row>
    <row r="26" spans="2:25" x14ac:dyDescent="0.2">
      <c r="B26" s="47">
        <v>44189</v>
      </c>
      <c r="C26" s="46">
        <v>2022</v>
      </c>
      <c r="D26" s="45">
        <v>2022</v>
      </c>
      <c r="E26" s="44">
        <f t="shared" si="0"/>
        <v>2022</v>
      </c>
      <c r="F26" s="46">
        <v>2025.5</v>
      </c>
      <c r="G26" s="45">
        <v>2025.5</v>
      </c>
      <c r="H26" s="44">
        <f t="shared" si="1"/>
        <v>2025.5</v>
      </c>
      <c r="I26" s="46">
        <v>2050.5</v>
      </c>
      <c r="J26" s="45">
        <v>2050.5</v>
      </c>
      <c r="K26" s="44">
        <f t="shared" si="2"/>
        <v>2050.5</v>
      </c>
      <c r="L26" s="46">
        <v>2090</v>
      </c>
      <c r="M26" s="45">
        <v>2090</v>
      </c>
      <c r="N26" s="44">
        <f t="shared" si="3"/>
        <v>2090</v>
      </c>
      <c r="O26" s="46">
        <v>2136</v>
      </c>
      <c r="P26" s="45">
        <v>2136</v>
      </c>
      <c r="Q26" s="44">
        <f t="shared" si="4"/>
        <v>2136</v>
      </c>
      <c r="R26" s="52">
        <v>2022</v>
      </c>
      <c r="S26" s="51">
        <v>1.3582000000000001</v>
      </c>
      <c r="T26" s="51">
        <v>1.2188000000000001</v>
      </c>
      <c r="U26" s="50">
        <v>103.67</v>
      </c>
      <c r="V26" s="43">
        <v>1488.74</v>
      </c>
      <c r="W26" s="43">
        <v>1489.78</v>
      </c>
      <c r="X26" s="49">
        <f t="shared" si="5"/>
        <v>1659.0088611749261</v>
      </c>
      <c r="Y26" s="48">
        <v>1.3595999999999999</v>
      </c>
    </row>
    <row r="27" spans="2:25" x14ac:dyDescent="0.2">
      <c r="B27" s="47">
        <v>44194</v>
      </c>
      <c r="C27" s="46">
        <v>2000</v>
      </c>
      <c r="D27" s="45">
        <v>2000</v>
      </c>
      <c r="E27" s="44">
        <f t="shared" si="0"/>
        <v>2000</v>
      </c>
      <c r="F27" s="46">
        <v>2004</v>
      </c>
      <c r="G27" s="45">
        <v>2004</v>
      </c>
      <c r="H27" s="44">
        <f t="shared" si="1"/>
        <v>2004</v>
      </c>
      <c r="I27" s="46">
        <v>2030</v>
      </c>
      <c r="J27" s="45">
        <v>2030</v>
      </c>
      <c r="K27" s="44">
        <f t="shared" si="2"/>
        <v>2030</v>
      </c>
      <c r="L27" s="46">
        <v>2070</v>
      </c>
      <c r="M27" s="45">
        <v>2070</v>
      </c>
      <c r="N27" s="44">
        <f t="shared" si="3"/>
        <v>2070</v>
      </c>
      <c r="O27" s="46">
        <v>2116</v>
      </c>
      <c r="P27" s="45">
        <v>2116</v>
      </c>
      <c r="Q27" s="44">
        <f t="shared" si="4"/>
        <v>2116</v>
      </c>
      <c r="R27" s="52">
        <v>2000</v>
      </c>
      <c r="S27" s="51">
        <v>1.3488</v>
      </c>
      <c r="T27" s="51">
        <v>1.2256</v>
      </c>
      <c r="U27" s="50">
        <v>103.68</v>
      </c>
      <c r="V27" s="43">
        <v>1482.8</v>
      </c>
      <c r="W27" s="43">
        <v>1484.55</v>
      </c>
      <c r="X27" s="49">
        <f t="shared" si="5"/>
        <v>1631.8537859007834</v>
      </c>
      <c r="Y27" s="48">
        <v>1.3499000000000001</v>
      </c>
    </row>
    <row r="28" spans="2:25" x14ac:dyDescent="0.2">
      <c r="B28" s="47">
        <v>44195</v>
      </c>
      <c r="C28" s="46">
        <v>1995.5</v>
      </c>
      <c r="D28" s="45">
        <v>1995.5</v>
      </c>
      <c r="E28" s="44">
        <f t="shared" si="0"/>
        <v>1995.5</v>
      </c>
      <c r="F28" s="46">
        <v>1997</v>
      </c>
      <c r="G28" s="45">
        <v>1997</v>
      </c>
      <c r="H28" s="44">
        <f t="shared" si="1"/>
        <v>1997</v>
      </c>
      <c r="I28" s="46">
        <v>2025.5</v>
      </c>
      <c r="J28" s="45">
        <v>2025.5</v>
      </c>
      <c r="K28" s="44">
        <f t="shared" si="2"/>
        <v>2025.5</v>
      </c>
      <c r="L28" s="46">
        <v>2065.5</v>
      </c>
      <c r="M28" s="45">
        <v>2065.5</v>
      </c>
      <c r="N28" s="44">
        <f t="shared" si="3"/>
        <v>2065.5</v>
      </c>
      <c r="O28" s="46">
        <v>2115.5</v>
      </c>
      <c r="P28" s="45">
        <v>2115.5</v>
      </c>
      <c r="Q28" s="44">
        <f t="shared" si="4"/>
        <v>2115.5</v>
      </c>
      <c r="R28" s="52">
        <v>1995.5</v>
      </c>
      <c r="S28" s="51">
        <v>1.3594999999999999</v>
      </c>
      <c r="T28" s="51">
        <v>1.2290000000000001</v>
      </c>
      <c r="U28" s="50">
        <v>103.08</v>
      </c>
      <c r="V28" s="43">
        <v>1467.82</v>
      </c>
      <c r="W28" s="43">
        <v>1468.06</v>
      </c>
      <c r="X28" s="49">
        <f t="shared" si="5"/>
        <v>1623.6777868185516</v>
      </c>
      <c r="Y28" s="48">
        <v>1.3603000000000001</v>
      </c>
    </row>
    <row r="29" spans="2:25" x14ac:dyDescent="0.2">
      <c r="B29" s="47">
        <v>44196</v>
      </c>
      <c r="C29" s="46">
        <v>1978</v>
      </c>
      <c r="D29" s="45">
        <v>1978</v>
      </c>
      <c r="E29" s="44">
        <f t="shared" si="0"/>
        <v>1978</v>
      </c>
      <c r="F29" s="46">
        <v>1980.5</v>
      </c>
      <c r="G29" s="45">
        <v>1980.5</v>
      </c>
      <c r="H29" s="44">
        <f t="shared" si="1"/>
        <v>1980.5</v>
      </c>
      <c r="I29" s="46">
        <v>2008</v>
      </c>
      <c r="J29" s="45">
        <v>2008</v>
      </c>
      <c r="K29" s="44">
        <f t="shared" si="2"/>
        <v>2008</v>
      </c>
      <c r="L29" s="46">
        <v>2048</v>
      </c>
      <c r="M29" s="45">
        <v>2048</v>
      </c>
      <c r="N29" s="44">
        <f t="shared" si="3"/>
        <v>2048</v>
      </c>
      <c r="O29" s="46">
        <v>2098</v>
      </c>
      <c r="P29" s="45">
        <v>2098</v>
      </c>
      <c r="Q29" s="44">
        <f t="shared" si="4"/>
        <v>2098</v>
      </c>
      <c r="R29" s="52">
        <v>1978</v>
      </c>
      <c r="S29" s="51">
        <v>1.3663000000000001</v>
      </c>
      <c r="T29" s="51">
        <v>1.2272000000000001</v>
      </c>
      <c r="U29" s="50">
        <v>103.07</v>
      </c>
      <c r="V29" s="43">
        <v>1447.71</v>
      </c>
      <c r="W29" s="43">
        <v>1448.69</v>
      </c>
      <c r="X29" s="49">
        <f t="shared" si="5"/>
        <v>1611.7992177314211</v>
      </c>
      <c r="Y29" s="48">
        <v>1.3671</v>
      </c>
    </row>
    <row r="30" spans="2:25" s="10" customFormat="1" x14ac:dyDescent="0.2">
      <c r="B30" s="42" t="s">
        <v>11</v>
      </c>
      <c r="C30" s="41">
        <f>ROUND(AVERAGE(C9:C29),2)</f>
        <v>2017.9</v>
      </c>
      <c r="D30" s="40">
        <f>ROUND(AVERAGE(D9:D29),2)</f>
        <v>2017.9</v>
      </c>
      <c r="E30" s="39">
        <f>ROUND(AVERAGE(C30:D30),2)</f>
        <v>2017.9</v>
      </c>
      <c r="F30" s="41">
        <f>ROUND(AVERAGE(F9:F29),2)</f>
        <v>2028.9</v>
      </c>
      <c r="G30" s="40">
        <f>ROUND(AVERAGE(G9:G29),2)</f>
        <v>2028.9</v>
      </c>
      <c r="H30" s="39">
        <f>ROUND(AVERAGE(F30:G30),2)</f>
        <v>2028.9</v>
      </c>
      <c r="I30" s="41">
        <f>ROUND(AVERAGE(I9:I29),2)</f>
        <v>2053.52</v>
      </c>
      <c r="J30" s="40">
        <f>ROUND(AVERAGE(J9:J29),2)</f>
        <v>2053.52</v>
      </c>
      <c r="K30" s="39">
        <f>ROUND(AVERAGE(I30:J30),2)</f>
        <v>2053.52</v>
      </c>
      <c r="L30" s="41">
        <f>ROUND(AVERAGE(L9:L29),2)</f>
        <v>2093.4299999999998</v>
      </c>
      <c r="M30" s="40">
        <f>ROUND(AVERAGE(M9:M29),2)</f>
        <v>2093.4299999999998</v>
      </c>
      <c r="N30" s="39">
        <f>ROUND(AVERAGE(L30:M30),2)</f>
        <v>2093.4299999999998</v>
      </c>
      <c r="O30" s="41">
        <f>ROUND(AVERAGE(O9:O29),2)</f>
        <v>2137.12</v>
      </c>
      <c r="P30" s="40">
        <f>ROUND(AVERAGE(P9:P29),2)</f>
        <v>2137.12</v>
      </c>
      <c r="Q30" s="39">
        <f>ROUND(AVERAGE(O30:P30),2)</f>
        <v>2137.12</v>
      </c>
      <c r="R30" s="38">
        <f>ROUND(AVERAGE(R9:R29),2)</f>
        <v>2017.9</v>
      </c>
      <c r="S30" s="37">
        <f>ROUND(AVERAGE(S9:S29),4)</f>
        <v>1.3426</v>
      </c>
      <c r="T30" s="36">
        <f>ROUND(AVERAGE(T9:T29),4)</f>
        <v>1.2165999999999999</v>
      </c>
      <c r="U30" s="175">
        <f>ROUND(AVERAGE(U9:U29),2)</f>
        <v>103.78</v>
      </c>
      <c r="V30" s="35">
        <f>AVERAGE(V9:V29)</f>
        <v>1503.1619047619049</v>
      </c>
      <c r="W30" s="35">
        <f>AVERAGE(W9:W29)</f>
        <v>1509.9933333333331</v>
      </c>
      <c r="X30" s="35">
        <f>AVERAGE(X9:X29)</f>
        <v>1658.7094318916472</v>
      </c>
      <c r="Y30" s="34">
        <f>AVERAGE(Y9:Y29)</f>
        <v>1.3438047619047619</v>
      </c>
    </row>
    <row r="31" spans="2:25" s="5" customFormat="1" x14ac:dyDescent="0.2">
      <c r="B31" s="33" t="s">
        <v>12</v>
      </c>
      <c r="C31" s="32">
        <f t="shared" ref="C31:Y31" si="6">MAX(C9:C29)</f>
        <v>2051.5</v>
      </c>
      <c r="D31" s="31">
        <f t="shared" si="6"/>
        <v>2051.5</v>
      </c>
      <c r="E31" s="30">
        <f t="shared" si="6"/>
        <v>2051.5</v>
      </c>
      <c r="F31" s="32">
        <f t="shared" si="6"/>
        <v>2062</v>
      </c>
      <c r="G31" s="31">
        <f t="shared" si="6"/>
        <v>2062</v>
      </c>
      <c r="H31" s="30">
        <f t="shared" si="6"/>
        <v>2062</v>
      </c>
      <c r="I31" s="32">
        <f t="shared" si="6"/>
        <v>2082.5</v>
      </c>
      <c r="J31" s="31">
        <f t="shared" si="6"/>
        <v>2082.5</v>
      </c>
      <c r="K31" s="30">
        <f t="shared" si="6"/>
        <v>2082.5</v>
      </c>
      <c r="L31" s="32">
        <f t="shared" si="6"/>
        <v>2122</v>
      </c>
      <c r="M31" s="31">
        <f t="shared" si="6"/>
        <v>2122</v>
      </c>
      <c r="N31" s="30">
        <f t="shared" si="6"/>
        <v>2122</v>
      </c>
      <c r="O31" s="32">
        <f t="shared" si="6"/>
        <v>2165</v>
      </c>
      <c r="P31" s="31">
        <f t="shared" si="6"/>
        <v>2165</v>
      </c>
      <c r="Q31" s="30">
        <f t="shared" si="6"/>
        <v>2165</v>
      </c>
      <c r="R31" s="29">
        <f t="shared" si="6"/>
        <v>2051.5</v>
      </c>
      <c r="S31" s="28">
        <f t="shared" si="6"/>
        <v>1.3663000000000001</v>
      </c>
      <c r="T31" s="27">
        <f t="shared" si="6"/>
        <v>1.2290000000000001</v>
      </c>
      <c r="U31" s="26">
        <f t="shared" si="6"/>
        <v>104.66</v>
      </c>
      <c r="V31" s="25">
        <f t="shared" si="6"/>
        <v>1539.24</v>
      </c>
      <c r="W31" s="25">
        <f t="shared" si="6"/>
        <v>1545.84</v>
      </c>
      <c r="X31" s="25">
        <f t="shared" si="6"/>
        <v>1709.283863959221</v>
      </c>
      <c r="Y31" s="24">
        <f t="shared" si="6"/>
        <v>1.3671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1978</v>
      </c>
      <c r="D32" s="21">
        <f t="shared" si="7"/>
        <v>1978</v>
      </c>
      <c r="E32" s="20">
        <f t="shared" si="7"/>
        <v>1978</v>
      </c>
      <c r="F32" s="22">
        <f t="shared" si="7"/>
        <v>1980.5</v>
      </c>
      <c r="G32" s="21">
        <f t="shared" si="7"/>
        <v>1980.5</v>
      </c>
      <c r="H32" s="20">
        <f t="shared" si="7"/>
        <v>1980.5</v>
      </c>
      <c r="I32" s="22">
        <f t="shared" si="7"/>
        <v>2008</v>
      </c>
      <c r="J32" s="21">
        <f t="shared" si="7"/>
        <v>2008</v>
      </c>
      <c r="K32" s="20">
        <f t="shared" si="7"/>
        <v>2008</v>
      </c>
      <c r="L32" s="22">
        <f t="shared" si="7"/>
        <v>2048</v>
      </c>
      <c r="M32" s="21">
        <f t="shared" si="7"/>
        <v>2048</v>
      </c>
      <c r="N32" s="20">
        <f t="shared" si="7"/>
        <v>2048</v>
      </c>
      <c r="O32" s="22">
        <f t="shared" si="7"/>
        <v>2098</v>
      </c>
      <c r="P32" s="21">
        <f t="shared" si="7"/>
        <v>2098</v>
      </c>
      <c r="Q32" s="20">
        <f t="shared" si="7"/>
        <v>2098</v>
      </c>
      <c r="R32" s="19">
        <f t="shared" si="7"/>
        <v>1978</v>
      </c>
      <c r="S32" s="18">
        <f t="shared" si="7"/>
        <v>1.3167</v>
      </c>
      <c r="T32" s="17">
        <f t="shared" si="7"/>
        <v>1.1967000000000001</v>
      </c>
      <c r="U32" s="16">
        <f t="shared" si="7"/>
        <v>103.02</v>
      </c>
      <c r="V32" s="15">
        <f t="shared" si="7"/>
        <v>1447.71</v>
      </c>
      <c r="W32" s="15">
        <f t="shared" si="7"/>
        <v>1448.69</v>
      </c>
      <c r="X32" s="15">
        <f t="shared" si="7"/>
        <v>1611.7992177314211</v>
      </c>
      <c r="Y32" s="14">
        <f t="shared" si="7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53" orientation="landscape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44166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44166</v>
      </c>
      <c r="C9" s="46">
        <v>2768.5</v>
      </c>
      <c r="D9" s="45">
        <v>2768.5</v>
      </c>
      <c r="E9" s="44">
        <f t="shared" ref="E9:E29" si="0">AVERAGE(C9:D9)</f>
        <v>2768.5</v>
      </c>
      <c r="F9" s="46">
        <v>2787.5</v>
      </c>
      <c r="G9" s="45">
        <v>2787.5</v>
      </c>
      <c r="H9" s="44">
        <f t="shared" ref="H9:H29" si="1">AVERAGE(F9:G9)</f>
        <v>2787.5</v>
      </c>
      <c r="I9" s="46">
        <v>2807</v>
      </c>
      <c r="J9" s="45">
        <v>2807</v>
      </c>
      <c r="K9" s="44">
        <f t="shared" ref="K9:K29" si="2">AVERAGE(I9:J9)</f>
        <v>2807</v>
      </c>
      <c r="L9" s="46">
        <v>2789</v>
      </c>
      <c r="M9" s="45">
        <v>2789</v>
      </c>
      <c r="N9" s="44">
        <f t="shared" ref="N9:N29" si="3">AVERAGE(L9:M9)</f>
        <v>2789</v>
      </c>
      <c r="O9" s="46">
        <v>2774</v>
      </c>
      <c r="P9" s="45">
        <v>2774</v>
      </c>
      <c r="Q9" s="44">
        <f t="shared" ref="Q9:Q29" si="4">AVERAGE(O9:P9)</f>
        <v>2774</v>
      </c>
      <c r="R9" s="52">
        <v>2768.5</v>
      </c>
      <c r="S9" s="51">
        <v>1.3331</v>
      </c>
      <c r="T9" s="53">
        <v>1.1967000000000001</v>
      </c>
      <c r="U9" s="50">
        <v>104.4</v>
      </c>
      <c r="V9" s="43">
        <v>2076.7399999999998</v>
      </c>
      <c r="W9" s="43">
        <v>2089.11</v>
      </c>
      <c r="X9" s="49">
        <f t="shared" ref="X9:X29" si="5">R9/T9</f>
        <v>2313.4453079301411</v>
      </c>
      <c r="Y9" s="48">
        <v>1.3343</v>
      </c>
    </row>
    <row r="10" spans="1:25" x14ac:dyDescent="0.2">
      <c r="B10" s="47">
        <v>44167</v>
      </c>
      <c r="C10" s="46">
        <v>2725</v>
      </c>
      <c r="D10" s="45">
        <v>2725</v>
      </c>
      <c r="E10" s="44">
        <f t="shared" si="0"/>
        <v>2725</v>
      </c>
      <c r="F10" s="46">
        <v>2745.5</v>
      </c>
      <c r="G10" s="45">
        <v>2745.5</v>
      </c>
      <c r="H10" s="44">
        <f t="shared" si="1"/>
        <v>2745.5</v>
      </c>
      <c r="I10" s="46">
        <v>2772</v>
      </c>
      <c r="J10" s="45">
        <v>2772</v>
      </c>
      <c r="K10" s="44">
        <f t="shared" si="2"/>
        <v>2772</v>
      </c>
      <c r="L10" s="46">
        <v>2757</v>
      </c>
      <c r="M10" s="45">
        <v>2757</v>
      </c>
      <c r="N10" s="44">
        <f t="shared" si="3"/>
        <v>2757</v>
      </c>
      <c r="O10" s="46">
        <v>2741.5</v>
      </c>
      <c r="P10" s="45">
        <v>2741.5</v>
      </c>
      <c r="Q10" s="44">
        <f t="shared" si="4"/>
        <v>2741.5</v>
      </c>
      <c r="R10" s="52">
        <v>2725</v>
      </c>
      <c r="S10" s="51">
        <v>1.3328</v>
      </c>
      <c r="T10" s="51">
        <v>1.206</v>
      </c>
      <c r="U10" s="50">
        <v>104.66</v>
      </c>
      <c r="V10" s="43">
        <v>2044.57</v>
      </c>
      <c r="W10" s="43">
        <v>2058.25</v>
      </c>
      <c r="X10" s="49">
        <f t="shared" si="5"/>
        <v>2259.5356550580432</v>
      </c>
      <c r="Y10" s="48">
        <v>1.3339000000000001</v>
      </c>
    </row>
    <row r="11" spans="1:25" x14ac:dyDescent="0.2">
      <c r="B11" s="47">
        <v>44168</v>
      </c>
      <c r="C11" s="46">
        <v>2747</v>
      </c>
      <c r="D11" s="45">
        <v>2747</v>
      </c>
      <c r="E11" s="44">
        <f t="shared" si="0"/>
        <v>2747</v>
      </c>
      <c r="F11" s="46">
        <v>2768</v>
      </c>
      <c r="G11" s="45">
        <v>2768</v>
      </c>
      <c r="H11" s="44">
        <f t="shared" si="1"/>
        <v>2768</v>
      </c>
      <c r="I11" s="46">
        <v>2795</v>
      </c>
      <c r="J11" s="45">
        <v>2795</v>
      </c>
      <c r="K11" s="44">
        <f t="shared" si="2"/>
        <v>2795</v>
      </c>
      <c r="L11" s="46">
        <v>2783.5</v>
      </c>
      <c r="M11" s="45">
        <v>2783.5</v>
      </c>
      <c r="N11" s="44">
        <f t="shared" si="3"/>
        <v>2783.5</v>
      </c>
      <c r="O11" s="46">
        <v>2768.5</v>
      </c>
      <c r="P11" s="45">
        <v>2768.5</v>
      </c>
      <c r="Q11" s="44">
        <f t="shared" si="4"/>
        <v>2768.5</v>
      </c>
      <c r="R11" s="52">
        <v>2747</v>
      </c>
      <c r="S11" s="51">
        <v>1.3452</v>
      </c>
      <c r="T11" s="51">
        <v>1.2156</v>
      </c>
      <c r="U11" s="50">
        <v>104.09</v>
      </c>
      <c r="V11" s="43">
        <v>2042.08</v>
      </c>
      <c r="W11" s="43">
        <v>2056.0100000000002</v>
      </c>
      <c r="X11" s="49">
        <f t="shared" si="5"/>
        <v>2259.789404409345</v>
      </c>
      <c r="Y11" s="48">
        <v>1.3463000000000001</v>
      </c>
    </row>
    <row r="12" spans="1:25" x14ac:dyDescent="0.2">
      <c r="B12" s="47">
        <v>44169</v>
      </c>
      <c r="C12" s="46">
        <v>2748.5</v>
      </c>
      <c r="D12" s="45">
        <v>2748.5</v>
      </c>
      <c r="E12" s="44">
        <f t="shared" si="0"/>
        <v>2748.5</v>
      </c>
      <c r="F12" s="46">
        <v>2770</v>
      </c>
      <c r="G12" s="45">
        <v>2770</v>
      </c>
      <c r="H12" s="44">
        <f t="shared" si="1"/>
        <v>2770</v>
      </c>
      <c r="I12" s="46">
        <v>2794</v>
      </c>
      <c r="J12" s="45">
        <v>2794</v>
      </c>
      <c r="K12" s="44">
        <f t="shared" si="2"/>
        <v>2794</v>
      </c>
      <c r="L12" s="46">
        <v>2787.5</v>
      </c>
      <c r="M12" s="45">
        <v>2787.5</v>
      </c>
      <c r="N12" s="44">
        <f t="shared" si="3"/>
        <v>2787.5</v>
      </c>
      <c r="O12" s="46">
        <v>2772.5</v>
      </c>
      <c r="P12" s="45">
        <v>2772.5</v>
      </c>
      <c r="Q12" s="44">
        <f t="shared" si="4"/>
        <v>2772.5</v>
      </c>
      <c r="R12" s="52">
        <v>2748.5</v>
      </c>
      <c r="S12" s="51">
        <v>1.3463000000000001</v>
      </c>
      <c r="T12" s="51">
        <v>1.216</v>
      </c>
      <c r="U12" s="50">
        <v>104</v>
      </c>
      <c r="V12" s="43">
        <v>2041.52</v>
      </c>
      <c r="W12" s="43">
        <v>2055.81</v>
      </c>
      <c r="X12" s="49">
        <f t="shared" si="5"/>
        <v>2260.2796052631579</v>
      </c>
      <c r="Y12" s="48">
        <v>1.3473999999999999</v>
      </c>
    </row>
    <row r="13" spans="1:25" x14ac:dyDescent="0.2">
      <c r="B13" s="47">
        <v>44172</v>
      </c>
      <c r="C13" s="46">
        <v>2729</v>
      </c>
      <c r="D13" s="45">
        <v>2729</v>
      </c>
      <c r="E13" s="44">
        <f t="shared" si="0"/>
        <v>2729</v>
      </c>
      <c r="F13" s="46">
        <v>2757</v>
      </c>
      <c r="G13" s="45">
        <v>2757</v>
      </c>
      <c r="H13" s="44">
        <f t="shared" si="1"/>
        <v>2757</v>
      </c>
      <c r="I13" s="46">
        <v>2783.5</v>
      </c>
      <c r="J13" s="45">
        <v>2783.5</v>
      </c>
      <c r="K13" s="44">
        <f t="shared" si="2"/>
        <v>2783.5</v>
      </c>
      <c r="L13" s="46">
        <v>2776</v>
      </c>
      <c r="M13" s="45">
        <v>2776</v>
      </c>
      <c r="N13" s="44">
        <f t="shared" si="3"/>
        <v>2776</v>
      </c>
      <c r="O13" s="46">
        <v>2761</v>
      </c>
      <c r="P13" s="45">
        <v>2761</v>
      </c>
      <c r="Q13" s="44">
        <f t="shared" si="4"/>
        <v>2761</v>
      </c>
      <c r="R13" s="52">
        <v>2729</v>
      </c>
      <c r="S13" s="51">
        <v>1.3270999999999999</v>
      </c>
      <c r="T13" s="51">
        <v>1.2117</v>
      </c>
      <c r="U13" s="50">
        <v>104.17</v>
      </c>
      <c r="V13" s="43">
        <v>2056.36</v>
      </c>
      <c r="W13" s="43">
        <v>2075.59</v>
      </c>
      <c r="X13" s="49">
        <f t="shared" si="5"/>
        <v>2252.207642155649</v>
      </c>
      <c r="Y13" s="48">
        <v>1.3283</v>
      </c>
    </row>
    <row r="14" spans="1:25" x14ac:dyDescent="0.2">
      <c r="B14" s="47">
        <v>44173</v>
      </c>
      <c r="C14" s="46">
        <v>2762.5</v>
      </c>
      <c r="D14" s="45">
        <v>2762.5</v>
      </c>
      <c r="E14" s="44">
        <f t="shared" si="0"/>
        <v>2762.5</v>
      </c>
      <c r="F14" s="46">
        <v>2791</v>
      </c>
      <c r="G14" s="45">
        <v>2791</v>
      </c>
      <c r="H14" s="44">
        <f t="shared" si="1"/>
        <v>2791</v>
      </c>
      <c r="I14" s="46">
        <v>2819</v>
      </c>
      <c r="J14" s="45">
        <v>2819</v>
      </c>
      <c r="K14" s="44">
        <f t="shared" si="2"/>
        <v>2819</v>
      </c>
      <c r="L14" s="46">
        <v>2819</v>
      </c>
      <c r="M14" s="45">
        <v>2819</v>
      </c>
      <c r="N14" s="44">
        <f t="shared" si="3"/>
        <v>2819</v>
      </c>
      <c r="O14" s="46">
        <v>2804</v>
      </c>
      <c r="P14" s="45">
        <v>2804</v>
      </c>
      <c r="Q14" s="44">
        <f t="shared" si="4"/>
        <v>2804</v>
      </c>
      <c r="R14" s="52">
        <v>2762.5</v>
      </c>
      <c r="S14" s="51">
        <v>1.3301000000000001</v>
      </c>
      <c r="T14" s="51">
        <v>1.2115</v>
      </c>
      <c r="U14" s="50">
        <v>104.15</v>
      </c>
      <c r="V14" s="43">
        <v>2076.91</v>
      </c>
      <c r="W14" s="43">
        <v>2096.13</v>
      </c>
      <c r="X14" s="49">
        <f t="shared" si="5"/>
        <v>2280.2311184482046</v>
      </c>
      <c r="Y14" s="48">
        <v>1.3314999999999999</v>
      </c>
    </row>
    <row r="15" spans="1:25" x14ac:dyDescent="0.2">
      <c r="B15" s="47">
        <v>44174</v>
      </c>
      <c r="C15" s="46">
        <v>2816</v>
      </c>
      <c r="D15" s="45">
        <v>2816</v>
      </c>
      <c r="E15" s="44">
        <f t="shared" si="0"/>
        <v>2816</v>
      </c>
      <c r="F15" s="46">
        <v>2845</v>
      </c>
      <c r="G15" s="45">
        <v>2845</v>
      </c>
      <c r="H15" s="44">
        <f t="shared" si="1"/>
        <v>2845</v>
      </c>
      <c r="I15" s="46">
        <v>2873</v>
      </c>
      <c r="J15" s="45">
        <v>2873</v>
      </c>
      <c r="K15" s="44">
        <f t="shared" si="2"/>
        <v>2873</v>
      </c>
      <c r="L15" s="46">
        <v>2873</v>
      </c>
      <c r="M15" s="45">
        <v>2873</v>
      </c>
      <c r="N15" s="44">
        <f t="shared" si="3"/>
        <v>2873</v>
      </c>
      <c r="O15" s="46">
        <v>2858</v>
      </c>
      <c r="P15" s="45">
        <v>2858</v>
      </c>
      <c r="Q15" s="44">
        <f t="shared" si="4"/>
        <v>2858</v>
      </c>
      <c r="R15" s="52">
        <v>2816</v>
      </c>
      <c r="S15" s="51">
        <v>1.3452</v>
      </c>
      <c r="T15" s="51">
        <v>1.2109000000000001</v>
      </c>
      <c r="U15" s="50">
        <v>104.12</v>
      </c>
      <c r="V15" s="43">
        <v>2093.37</v>
      </c>
      <c r="W15" s="43">
        <v>2112.89</v>
      </c>
      <c r="X15" s="49">
        <f t="shared" si="5"/>
        <v>2325.5429845569411</v>
      </c>
      <c r="Y15" s="48">
        <v>1.3465</v>
      </c>
    </row>
    <row r="16" spans="1:25" x14ac:dyDescent="0.2">
      <c r="B16" s="47">
        <v>44175</v>
      </c>
      <c r="C16" s="46">
        <v>2810</v>
      </c>
      <c r="D16" s="45">
        <v>2810</v>
      </c>
      <c r="E16" s="44">
        <f t="shared" si="0"/>
        <v>2810</v>
      </c>
      <c r="F16" s="46">
        <v>2839.5</v>
      </c>
      <c r="G16" s="45">
        <v>2839.5</v>
      </c>
      <c r="H16" s="44">
        <f t="shared" si="1"/>
        <v>2839.5</v>
      </c>
      <c r="I16" s="46">
        <v>2865</v>
      </c>
      <c r="J16" s="45">
        <v>2865</v>
      </c>
      <c r="K16" s="44">
        <f t="shared" si="2"/>
        <v>2865</v>
      </c>
      <c r="L16" s="46">
        <v>2850</v>
      </c>
      <c r="M16" s="45">
        <v>2850</v>
      </c>
      <c r="N16" s="44">
        <f t="shared" si="3"/>
        <v>2850</v>
      </c>
      <c r="O16" s="46">
        <v>2835</v>
      </c>
      <c r="P16" s="45">
        <v>2835</v>
      </c>
      <c r="Q16" s="44">
        <f t="shared" si="4"/>
        <v>2835</v>
      </c>
      <c r="R16" s="52">
        <v>2810</v>
      </c>
      <c r="S16" s="51">
        <v>1.3295999999999999</v>
      </c>
      <c r="T16" s="51">
        <v>1.2111000000000001</v>
      </c>
      <c r="U16" s="50">
        <v>104.45</v>
      </c>
      <c r="V16" s="43">
        <v>2113.42</v>
      </c>
      <c r="W16" s="43">
        <v>2133.6799999999998</v>
      </c>
      <c r="X16" s="49">
        <f t="shared" si="5"/>
        <v>2320.2047725208486</v>
      </c>
      <c r="Y16" s="48">
        <v>1.3308</v>
      </c>
    </row>
    <row r="17" spans="2:25" x14ac:dyDescent="0.2">
      <c r="B17" s="47">
        <v>44176</v>
      </c>
      <c r="C17" s="46">
        <v>2805.5</v>
      </c>
      <c r="D17" s="45">
        <v>2805.5</v>
      </c>
      <c r="E17" s="44">
        <f t="shared" si="0"/>
        <v>2805.5</v>
      </c>
      <c r="F17" s="46">
        <v>2838</v>
      </c>
      <c r="G17" s="45">
        <v>2838</v>
      </c>
      <c r="H17" s="44">
        <f t="shared" si="1"/>
        <v>2838</v>
      </c>
      <c r="I17" s="46">
        <v>2864.5</v>
      </c>
      <c r="J17" s="45">
        <v>2864.5</v>
      </c>
      <c r="K17" s="44">
        <f t="shared" si="2"/>
        <v>2864.5</v>
      </c>
      <c r="L17" s="46">
        <v>2849.5</v>
      </c>
      <c r="M17" s="45">
        <v>2849.5</v>
      </c>
      <c r="N17" s="44">
        <f t="shared" si="3"/>
        <v>2849.5</v>
      </c>
      <c r="O17" s="46">
        <v>2832.5</v>
      </c>
      <c r="P17" s="45">
        <v>2832.5</v>
      </c>
      <c r="Q17" s="44">
        <f t="shared" si="4"/>
        <v>2832.5</v>
      </c>
      <c r="R17" s="52">
        <v>2805.5</v>
      </c>
      <c r="S17" s="51">
        <v>1.3167</v>
      </c>
      <c r="T17" s="51">
        <v>1.2125999999999999</v>
      </c>
      <c r="U17" s="50">
        <v>104.12</v>
      </c>
      <c r="V17" s="43">
        <v>2130.71</v>
      </c>
      <c r="W17" s="43">
        <v>2153.4299999999998</v>
      </c>
      <c r="X17" s="49">
        <f t="shared" si="5"/>
        <v>2313.6236186706251</v>
      </c>
      <c r="Y17" s="48">
        <v>1.3179000000000001</v>
      </c>
    </row>
    <row r="18" spans="2:25" x14ac:dyDescent="0.2">
      <c r="B18" s="47">
        <v>44179</v>
      </c>
      <c r="C18" s="46">
        <v>2795</v>
      </c>
      <c r="D18" s="45">
        <v>2795</v>
      </c>
      <c r="E18" s="44">
        <f t="shared" si="0"/>
        <v>2795</v>
      </c>
      <c r="F18" s="46">
        <v>2827</v>
      </c>
      <c r="G18" s="45">
        <v>2827</v>
      </c>
      <c r="H18" s="44">
        <f t="shared" si="1"/>
        <v>2827</v>
      </c>
      <c r="I18" s="46">
        <v>2856.5</v>
      </c>
      <c r="J18" s="45">
        <v>2856.5</v>
      </c>
      <c r="K18" s="44">
        <f t="shared" si="2"/>
        <v>2856.5</v>
      </c>
      <c r="L18" s="46">
        <v>2846.5</v>
      </c>
      <c r="M18" s="45">
        <v>2846.5</v>
      </c>
      <c r="N18" s="44">
        <f t="shared" si="3"/>
        <v>2846.5</v>
      </c>
      <c r="O18" s="46">
        <v>2829.5</v>
      </c>
      <c r="P18" s="45">
        <v>2829.5</v>
      </c>
      <c r="Q18" s="44">
        <f t="shared" si="4"/>
        <v>2829.5</v>
      </c>
      <c r="R18" s="52">
        <v>2795</v>
      </c>
      <c r="S18" s="51">
        <v>1.3405</v>
      </c>
      <c r="T18" s="51">
        <v>1.2158</v>
      </c>
      <c r="U18" s="50">
        <v>103.72</v>
      </c>
      <c r="V18" s="43">
        <v>2085.04</v>
      </c>
      <c r="W18" s="43">
        <v>2107.0300000000002</v>
      </c>
      <c r="X18" s="49">
        <f t="shared" si="5"/>
        <v>2298.8978450403029</v>
      </c>
      <c r="Y18" s="48">
        <v>1.3416999999999999</v>
      </c>
    </row>
    <row r="19" spans="2:25" x14ac:dyDescent="0.2">
      <c r="B19" s="47">
        <v>44180</v>
      </c>
      <c r="C19" s="46">
        <v>2817</v>
      </c>
      <c r="D19" s="45">
        <v>2817</v>
      </c>
      <c r="E19" s="44">
        <f t="shared" si="0"/>
        <v>2817</v>
      </c>
      <c r="F19" s="46">
        <v>2848.5</v>
      </c>
      <c r="G19" s="45">
        <v>2848.5</v>
      </c>
      <c r="H19" s="44">
        <f t="shared" si="1"/>
        <v>2848.5</v>
      </c>
      <c r="I19" s="46">
        <v>2877</v>
      </c>
      <c r="J19" s="45">
        <v>2877</v>
      </c>
      <c r="K19" s="44">
        <f t="shared" si="2"/>
        <v>2877</v>
      </c>
      <c r="L19" s="46">
        <v>2867</v>
      </c>
      <c r="M19" s="45">
        <v>2867</v>
      </c>
      <c r="N19" s="44">
        <f t="shared" si="3"/>
        <v>2867</v>
      </c>
      <c r="O19" s="46">
        <v>2850</v>
      </c>
      <c r="P19" s="45">
        <v>2850</v>
      </c>
      <c r="Q19" s="44">
        <f t="shared" si="4"/>
        <v>2850</v>
      </c>
      <c r="R19" s="52">
        <v>2817</v>
      </c>
      <c r="S19" s="51">
        <v>1.3366</v>
      </c>
      <c r="T19" s="51">
        <v>1.2122999999999999</v>
      </c>
      <c r="U19" s="50">
        <v>103.93</v>
      </c>
      <c r="V19" s="43">
        <v>2107.59</v>
      </c>
      <c r="W19" s="43">
        <v>2129.4</v>
      </c>
      <c r="X19" s="49">
        <f t="shared" si="5"/>
        <v>2323.6822568671123</v>
      </c>
      <c r="Y19" s="48">
        <v>1.3376999999999999</v>
      </c>
    </row>
    <row r="20" spans="2:25" x14ac:dyDescent="0.2">
      <c r="B20" s="47">
        <v>44181</v>
      </c>
      <c r="C20" s="46">
        <v>2818</v>
      </c>
      <c r="D20" s="45">
        <v>2818</v>
      </c>
      <c r="E20" s="44">
        <f t="shared" si="0"/>
        <v>2818</v>
      </c>
      <c r="F20" s="46">
        <v>2848.5</v>
      </c>
      <c r="G20" s="45">
        <v>2848.5</v>
      </c>
      <c r="H20" s="44">
        <f t="shared" si="1"/>
        <v>2848.5</v>
      </c>
      <c r="I20" s="46">
        <v>2878</v>
      </c>
      <c r="J20" s="45">
        <v>2878</v>
      </c>
      <c r="K20" s="44">
        <f t="shared" si="2"/>
        <v>2878</v>
      </c>
      <c r="L20" s="46">
        <v>2868</v>
      </c>
      <c r="M20" s="45">
        <v>2868</v>
      </c>
      <c r="N20" s="44">
        <f t="shared" si="3"/>
        <v>2868</v>
      </c>
      <c r="O20" s="46">
        <v>2851</v>
      </c>
      <c r="P20" s="45">
        <v>2851</v>
      </c>
      <c r="Q20" s="44">
        <f t="shared" si="4"/>
        <v>2851</v>
      </c>
      <c r="R20" s="52">
        <v>2818</v>
      </c>
      <c r="S20" s="51">
        <v>1.3547</v>
      </c>
      <c r="T20" s="51">
        <v>1.2195</v>
      </c>
      <c r="U20" s="50">
        <v>103.3</v>
      </c>
      <c r="V20" s="43">
        <v>2080.17</v>
      </c>
      <c r="W20" s="43">
        <v>2100.8200000000002</v>
      </c>
      <c r="X20" s="49">
        <f t="shared" si="5"/>
        <v>2310.7831078310783</v>
      </c>
      <c r="Y20" s="48">
        <v>1.3559000000000001</v>
      </c>
    </row>
    <row r="21" spans="2:25" x14ac:dyDescent="0.2">
      <c r="B21" s="47">
        <v>44182</v>
      </c>
      <c r="C21" s="46">
        <v>2841.5</v>
      </c>
      <c r="D21" s="45">
        <v>2841.5</v>
      </c>
      <c r="E21" s="44">
        <f t="shared" si="0"/>
        <v>2841.5</v>
      </c>
      <c r="F21" s="46">
        <v>2870</v>
      </c>
      <c r="G21" s="45">
        <v>2870</v>
      </c>
      <c r="H21" s="44">
        <f t="shared" si="1"/>
        <v>2870</v>
      </c>
      <c r="I21" s="46">
        <v>2897.5</v>
      </c>
      <c r="J21" s="45">
        <v>2897.5</v>
      </c>
      <c r="K21" s="44">
        <f t="shared" si="2"/>
        <v>2897.5</v>
      </c>
      <c r="L21" s="46">
        <v>2887.5</v>
      </c>
      <c r="M21" s="45">
        <v>2887.5</v>
      </c>
      <c r="N21" s="44">
        <f t="shared" si="3"/>
        <v>2887.5</v>
      </c>
      <c r="O21" s="46">
        <v>2870.5</v>
      </c>
      <c r="P21" s="45">
        <v>2870.5</v>
      </c>
      <c r="Q21" s="44">
        <f t="shared" si="4"/>
        <v>2870.5</v>
      </c>
      <c r="R21" s="52">
        <v>2841.5</v>
      </c>
      <c r="S21" s="51">
        <v>1.359</v>
      </c>
      <c r="T21" s="51">
        <v>1.2249000000000001</v>
      </c>
      <c r="U21" s="50">
        <v>103.02</v>
      </c>
      <c r="V21" s="43">
        <v>2090.88</v>
      </c>
      <c r="W21" s="43">
        <v>2109.52</v>
      </c>
      <c r="X21" s="49">
        <f t="shared" si="5"/>
        <v>2319.7812066291126</v>
      </c>
      <c r="Y21" s="48">
        <v>1.3605</v>
      </c>
    </row>
    <row r="22" spans="2:25" x14ac:dyDescent="0.2">
      <c r="B22" s="47">
        <v>44183</v>
      </c>
      <c r="C22" s="46">
        <v>2835</v>
      </c>
      <c r="D22" s="45">
        <v>2835</v>
      </c>
      <c r="E22" s="44">
        <f t="shared" si="0"/>
        <v>2835</v>
      </c>
      <c r="F22" s="46">
        <v>2861.5</v>
      </c>
      <c r="G22" s="45">
        <v>2861.5</v>
      </c>
      <c r="H22" s="44">
        <f t="shared" si="1"/>
        <v>2861.5</v>
      </c>
      <c r="I22" s="46">
        <v>2889.5</v>
      </c>
      <c r="J22" s="45">
        <v>2889.5</v>
      </c>
      <c r="K22" s="44">
        <f t="shared" si="2"/>
        <v>2889.5</v>
      </c>
      <c r="L22" s="46">
        <v>2878.5</v>
      </c>
      <c r="M22" s="45">
        <v>2878.5</v>
      </c>
      <c r="N22" s="44">
        <f t="shared" si="3"/>
        <v>2878.5</v>
      </c>
      <c r="O22" s="46">
        <v>2861.5</v>
      </c>
      <c r="P22" s="45">
        <v>2861.5</v>
      </c>
      <c r="Q22" s="44">
        <f t="shared" si="4"/>
        <v>2861.5</v>
      </c>
      <c r="R22" s="52">
        <v>2835</v>
      </c>
      <c r="S22" s="51">
        <v>1.3521000000000001</v>
      </c>
      <c r="T22" s="51">
        <v>1.2255</v>
      </c>
      <c r="U22" s="50">
        <v>103.28</v>
      </c>
      <c r="V22" s="43">
        <v>2096.7399999999998</v>
      </c>
      <c r="W22" s="43">
        <v>2114.46</v>
      </c>
      <c r="X22" s="49">
        <f t="shared" si="5"/>
        <v>2313.3414932680539</v>
      </c>
      <c r="Y22" s="48">
        <v>1.3532999999999999</v>
      </c>
    </row>
    <row r="23" spans="2:25" x14ac:dyDescent="0.2">
      <c r="B23" s="47">
        <v>44186</v>
      </c>
      <c r="C23" s="46">
        <v>2808</v>
      </c>
      <c r="D23" s="45">
        <v>2808</v>
      </c>
      <c r="E23" s="44">
        <f t="shared" si="0"/>
        <v>2808</v>
      </c>
      <c r="F23" s="46">
        <v>2835</v>
      </c>
      <c r="G23" s="45">
        <v>2835</v>
      </c>
      <c r="H23" s="44">
        <f t="shared" si="1"/>
        <v>2835</v>
      </c>
      <c r="I23" s="46">
        <v>2860.5</v>
      </c>
      <c r="J23" s="45">
        <v>2860.5</v>
      </c>
      <c r="K23" s="44">
        <f t="shared" si="2"/>
        <v>2860.5</v>
      </c>
      <c r="L23" s="46">
        <v>2847.5</v>
      </c>
      <c r="M23" s="45">
        <v>2847.5</v>
      </c>
      <c r="N23" s="44">
        <f t="shared" si="3"/>
        <v>2847.5</v>
      </c>
      <c r="O23" s="46">
        <v>2830.5</v>
      </c>
      <c r="P23" s="45">
        <v>2830.5</v>
      </c>
      <c r="Q23" s="44">
        <f t="shared" si="4"/>
        <v>2830.5</v>
      </c>
      <c r="R23" s="52">
        <v>2808</v>
      </c>
      <c r="S23" s="51">
        <v>1.3282</v>
      </c>
      <c r="T23" s="51">
        <v>1.2163999999999999</v>
      </c>
      <c r="U23" s="50">
        <v>103.59</v>
      </c>
      <c r="V23" s="43">
        <v>2114.14</v>
      </c>
      <c r="W23" s="43">
        <v>2132.06</v>
      </c>
      <c r="X23" s="49">
        <f t="shared" si="5"/>
        <v>2308.4511673791517</v>
      </c>
      <c r="Y23" s="48">
        <v>1.3297000000000001</v>
      </c>
    </row>
    <row r="24" spans="2:25" x14ac:dyDescent="0.2">
      <c r="B24" s="47">
        <v>44187</v>
      </c>
      <c r="C24" s="46">
        <v>2789</v>
      </c>
      <c r="D24" s="45">
        <v>2789</v>
      </c>
      <c r="E24" s="44">
        <f t="shared" si="0"/>
        <v>2789</v>
      </c>
      <c r="F24" s="46">
        <v>2822</v>
      </c>
      <c r="G24" s="45">
        <v>2822</v>
      </c>
      <c r="H24" s="44">
        <f t="shared" si="1"/>
        <v>2822</v>
      </c>
      <c r="I24" s="46">
        <v>2849</v>
      </c>
      <c r="J24" s="45">
        <v>2849</v>
      </c>
      <c r="K24" s="44">
        <f t="shared" si="2"/>
        <v>2849</v>
      </c>
      <c r="L24" s="46">
        <v>2840</v>
      </c>
      <c r="M24" s="45">
        <v>2840</v>
      </c>
      <c r="N24" s="44">
        <f t="shared" si="3"/>
        <v>2840</v>
      </c>
      <c r="O24" s="46">
        <v>2823</v>
      </c>
      <c r="P24" s="45">
        <v>2823</v>
      </c>
      <c r="Q24" s="44">
        <f t="shared" si="4"/>
        <v>2823</v>
      </c>
      <c r="R24" s="52">
        <v>2789</v>
      </c>
      <c r="S24" s="51">
        <v>1.3415999999999999</v>
      </c>
      <c r="T24" s="51">
        <v>1.224</v>
      </c>
      <c r="U24" s="50">
        <v>103.38</v>
      </c>
      <c r="V24" s="43">
        <v>2078.86</v>
      </c>
      <c r="W24" s="43">
        <v>2100.9499999999998</v>
      </c>
      <c r="X24" s="49">
        <f t="shared" si="5"/>
        <v>2278.5947712418301</v>
      </c>
      <c r="Y24" s="48">
        <v>1.3431999999999999</v>
      </c>
    </row>
    <row r="25" spans="2:25" x14ac:dyDescent="0.2">
      <c r="B25" s="47">
        <v>44188</v>
      </c>
      <c r="C25" s="46">
        <v>2775</v>
      </c>
      <c r="D25" s="45">
        <v>2775</v>
      </c>
      <c r="E25" s="44">
        <f t="shared" si="0"/>
        <v>2775</v>
      </c>
      <c r="F25" s="46">
        <v>2803.5</v>
      </c>
      <c r="G25" s="45">
        <v>2803.5</v>
      </c>
      <c r="H25" s="44">
        <f t="shared" si="1"/>
        <v>2803.5</v>
      </c>
      <c r="I25" s="46">
        <v>2833.5</v>
      </c>
      <c r="J25" s="45">
        <v>2833.5</v>
      </c>
      <c r="K25" s="44">
        <f t="shared" si="2"/>
        <v>2833.5</v>
      </c>
      <c r="L25" s="46">
        <v>2833.5</v>
      </c>
      <c r="M25" s="45">
        <v>2833.5</v>
      </c>
      <c r="N25" s="44">
        <f t="shared" si="3"/>
        <v>2833.5</v>
      </c>
      <c r="O25" s="46">
        <v>2816.5</v>
      </c>
      <c r="P25" s="45">
        <v>2816.5</v>
      </c>
      <c r="Q25" s="44">
        <f t="shared" si="4"/>
        <v>2816.5</v>
      </c>
      <c r="R25" s="52">
        <v>2775</v>
      </c>
      <c r="S25" s="51">
        <v>1.3426</v>
      </c>
      <c r="T25" s="51">
        <v>1.2181999999999999</v>
      </c>
      <c r="U25" s="50">
        <v>103.48</v>
      </c>
      <c r="V25" s="43">
        <v>2066.89</v>
      </c>
      <c r="W25" s="43">
        <v>2085.7800000000002</v>
      </c>
      <c r="X25" s="49">
        <f t="shared" si="5"/>
        <v>2277.9510753570844</v>
      </c>
      <c r="Y25" s="48">
        <v>1.3441000000000001</v>
      </c>
    </row>
    <row r="26" spans="2:25" x14ac:dyDescent="0.2">
      <c r="B26" s="47">
        <v>44189</v>
      </c>
      <c r="C26" s="46">
        <v>2817</v>
      </c>
      <c r="D26" s="45">
        <v>2817</v>
      </c>
      <c r="E26" s="44">
        <f t="shared" si="0"/>
        <v>2817</v>
      </c>
      <c r="F26" s="46">
        <v>2845</v>
      </c>
      <c r="G26" s="45">
        <v>2845</v>
      </c>
      <c r="H26" s="44">
        <f t="shared" si="1"/>
        <v>2845</v>
      </c>
      <c r="I26" s="46">
        <v>2874</v>
      </c>
      <c r="J26" s="45">
        <v>2874</v>
      </c>
      <c r="K26" s="44">
        <f t="shared" si="2"/>
        <v>2874</v>
      </c>
      <c r="L26" s="46">
        <v>2869</v>
      </c>
      <c r="M26" s="45">
        <v>2869</v>
      </c>
      <c r="N26" s="44">
        <f t="shared" si="3"/>
        <v>2869</v>
      </c>
      <c r="O26" s="46">
        <v>2852</v>
      </c>
      <c r="P26" s="45">
        <v>2852</v>
      </c>
      <c r="Q26" s="44">
        <f t="shared" si="4"/>
        <v>2852</v>
      </c>
      <c r="R26" s="52">
        <v>2817</v>
      </c>
      <c r="S26" s="51">
        <v>1.3582000000000001</v>
      </c>
      <c r="T26" s="51">
        <v>1.2188000000000001</v>
      </c>
      <c r="U26" s="50">
        <v>103.67</v>
      </c>
      <c r="V26" s="43">
        <v>2074.0700000000002</v>
      </c>
      <c r="W26" s="43">
        <v>2092.5300000000002</v>
      </c>
      <c r="X26" s="49">
        <f t="shared" si="5"/>
        <v>2311.2897932392516</v>
      </c>
      <c r="Y26" s="48">
        <v>1.3595999999999999</v>
      </c>
    </row>
    <row r="27" spans="2:25" x14ac:dyDescent="0.2">
      <c r="B27" s="47">
        <v>44194</v>
      </c>
      <c r="C27" s="46">
        <v>2749.5</v>
      </c>
      <c r="D27" s="45">
        <v>2749.5</v>
      </c>
      <c r="E27" s="44">
        <f t="shared" si="0"/>
        <v>2749.5</v>
      </c>
      <c r="F27" s="46">
        <v>2772</v>
      </c>
      <c r="G27" s="45">
        <v>2772</v>
      </c>
      <c r="H27" s="44">
        <f t="shared" si="1"/>
        <v>2772</v>
      </c>
      <c r="I27" s="46">
        <v>2799</v>
      </c>
      <c r="J27" s="45">
        <v>2799</v>
      </c>
      <c r="K27" s="44">
        <f t="shared" si="2"/>
        <v>2799</v>
      </c>
      <c r="L27" s="46">
        <v>2792</v>
      </c>
      <c r="M27" s="45">
        <v>2792</v>
      </c>
      <c r="N27" s="44">
        <f t="shared" si="3"/>
        <v>2792</v>
      </c>
      <c r="O27" s="46">
        <v>2775</v>
      </c>
      <c r="P27" s="45">
        <v>2775</v>
      </c>
      <c r="Q27" s="44">
        <f t="shared" si="4"/>
        <v>2775</v>
      </c>
      <c r="R27" s="52">
        <v>2749.5</v>
      </c>
      <c r="S27" s="51">
        <v>1.3488</v>
      </c>
      <c r="T27" s="51">
        <v>1.2256</v>
      </c>
      <c r="U27" s="50">
        <v>103.68</v>
      </c>
      <c r="V27" s="43">
        <v>2038.48</v>
      </c>
      <c r="W27" s="43">
        <v>2053.4899999999998</v>
      </c>
      <c r="X27" s="49">
        <f t="shared" si="5"/>
        <v>2243.390992167102</v>
      </c>
      <c r="Y27" s="48">
        <v>1.3499000000000001</v>
      </c>
    </row>
    <row r="28" spans="2:25" x14ac:dyDescent="0.2">
      <c r="B28" s="47">
        <v>44195</v>
      </c>
      <c r="C28" s="46">
        <v>2749</v>
      </c>
      <c r="D28" s="45">
        <v>2749</v>
      </c>
      <c r="E28" s="44">
        <f t="shared" si="0"/>
        <v>2749</v>
      </c>
      <c r="F28" s="46">
        <v>2772.5</v>
      </c>
      <c r="G28" s="45">
        <v>2772.5</v>
      </c>
      <c r="H28" s="44">
        <f t="shared" si="1"/>
        <v>2772.5</v>
      </c>
      <c r="I28" s="46">
        <v>2798</v>
      </c>
      <c r="J28" s="45">
        <v>2798</v>
      </c>
      <c r="K28" s="44">
        <f t="shared" si="2"/>
        <v>2798</v>
      </c>
      <c r="L28" s="46">
        <v>2791.5</v>
      </c>
      <c r="M28" s="45">
        <v>2791.5</v>
      </c>
      <c r="N28" s="44">
        <f t="shared" si="3"/>
        <v>2791.5</v>
      </c>
      <c r="O28" s="46">
        <v>2774.5</v>
      </c>
      <c r="P28" s="45">
        <v>2774.5</v>
      </c>
      <c r="Q28" s="44">
        <f t="shared" si="4"/>
        <v>2774.5</v>
      </c>
      <c r="R28" s="52">
        <v>2749</v>
      </c>
      <c r="S28" s="51">
        <v>1.3594999999999999</v>
      </c>
      <c r="T28" s="51">
        <v>1.2290000000000001</v>
      </c>
      <c r="U28" s="50">
        <v>103.08</v>
      </c>
      <c r="V28" s="43">
        <v>2022.07</v>
      </c>
      <c r="W28" s="43">
        <v>2038.15</v>
      </c>
      <c r="X28" s="49">
        <f t="shared" si="5"/>
        <v>2236.7778681855166</v>
      </c>
      <c r="Y28" s="48">
        <v>1.3603000000000001</v>
      </c>
    </row>
    <row r="29" spans="2:25" x14ac:dyDescent="0.2">
      <c r="B29" s="47">
        <v>44196</v>
      </c>
      <c r="C29" s="46">
        <v>2723.5</v>
      </c>
      <c r="D29" s="45">
        <v>2723.5</v>
      </c>
      <c r="E29" s="44">
        <f t="shared" si="0"/>
        <v>2723.5</v>
      </c>
      <c r="F29" s="46">
        <v>2745</v>
      </c>
      <c r="G29" s="45">
        <v>2745</v>
      </c>
      <c r="H29" s="44">
        <f t="shared" si="1"/>
        <v>2745</v>
      </c>
      <c r="I29" s="46">
        <v>2773</v>
      </c>
      <c r="J29" s="45">
        <v>2773</v>
      </c>
      <c r="K29" s="44">
        <f t="shared" si="2"/>
        <v>2773</v>
      </c>
      <c r="L29" s="46">
        <v>2773</v>
      </c>
      <c r="M29" s="45">
        <v>2773</v>
      </c>
      <c r="N29" s="44">
        <f t="shared" si="3"/>
        <v>2773</v>
      </c>
      <c r="O29" s="46">
        <v>2756</v>
      </c>
      <c r="P29" s="45">
        <v>2756</v>
      </c>
      <c r="Q29" s="44">
        <f t="shared" si="4"/>
        <v>2756</v>
      </c>
      <c r="R29" s="52">
        <v>2723.5</v>
      </c>
      <c r="S29" s="51">
        <v>1.3663000000000001</v>
      </c>
      <c r="T29" s="51">
        <v>1.2272000000000001</v>
      </c>
      <c r="U29" s="50">
        <v>103.07</v>
      </c>
      <c r="V29" s="43">
        <v>1993.34</v>
      </c>
      <c r="W29" s="43">
        <v>2007.9</v>
      </c>
      <c r="X29" s="49">
        <f t="shared" si="5"/>
        <v>2219.2796610169489</v>
      </c>
      <c r="Y29" s="48">
        <v>1.3671</v>
      </c>
    </row>
    <row r="30" spans="2:25" s="10" customFormat="1" x14ac:dyDescent="0.2">
      <c r="B30" s="42" t="s">
        <v>11</v>
      </c>
      <c r="C30" s="41">
        <f>ROUND(AVERAGE(C9:C29),2)</f>
        <v>2782.36</v>
      </c>
      <c r="D30" s="40">
        <f>ROUND(AVERAGE(D9:D29),2)</f>
        <v>2782.36</v>
      </c>
      <c r="E30" s="39">
        <f>ROUND(AVERAGE(C30:D30),2)</f>
        <v>2782.36</v>
      </c>
      <c r="F30" s="41">
        <f>ROUND(AVERAGE(F9:F29),2)</f>
        <v>2809.14</v>
      </c>
      <c r="G30" s="40">
        <f>ROUND(AVERAGE(G9:G29),2)</f>
        <v>2809.14</v>
      </c>
      <c r="H30" s="39">
        <f>ROUND(AVERAGE(F30:G30),2)</f>
        <v>2809.14</v>
      </c>
      <c r="I30" s="41">
        <f>ROUND(AVERAGE(I9:I29),2)</f>
        <v>2836.12</v>
      </c>
      <c r="J30" s="40">
        <f>ROUND(AVERAGE(J9:J29),2)</f>
        <v>2836.12</v>
      </c>
      <c r="K30" s="39">
        <f>ROUND(AVERAGE(I30:J30),2)</f>
        <v>2836.12</v>
      </c>
      <c r="L30" s="41">
        <f>ROUND(AVERAGE(L9:L29),2)</f>
        <v>2827.55</v>
      </c>
      <c r="M30" s="40">
        <f>ROUND(AVERAGE(M9:M29),2)</f>
        <v>2827.55</v>
      </c>
      <c r="N30" s="39">
        <f>ROUND(AVERAGE(L30:M30),2)</f>
        <v>2827.55</v>
      </c>
      <c r="O30" s="41">
        <f>ROUND(AVERAGE(O9:O29),2)</f>
        <v>2811.29</v>
      </c>
      <c r="P30" s="40">
        <f>ROUND(AVERAGE(P9:P29),2)</f>
        <v>2811.29</v>
      </c>
      <c r="Q30" s="39">
        <f>ROUND(AVERAGE(O30:P30),2)</f>
        <v>2811.29</v>
      </c>
      <c r="R30" s="38">
        <f>ROUND(AVERAGE(R9:R29),2)</f>
        <v>2782.36</v>
      </c>
      <c r="S30" s="37">
        <f>ROUND(AVERAGE(S9:S29),4)</f>
        <v>1.3426</v>
      </c>
      <c r="T30" s="36">
        <f>ROUND(AVERAGE(T9:T29),4)</f>
        <v>1.2165999999999999</v>
      </c>
      <c r="U30" s="175">
        <f>ROUND(AVERAGE(U9:U29),2)</f>
        <v>103.78</v>
      </c>
      <c r="V30" s="35">
        <f>AVERAGE(V9:V29)</f>
        <v>2072.569047619048</v>
      </c>
      <c r="W30" s="35">
        <f>AVERAGE(W9:W29)</f>
        <v>2090.6185714285712</v>
      </c>
      <c r="X30" s="35">
        <f>AVERAGE(X9:X29)</f>
        <v>2287.0038736778811</v>
      </c>
      <c r="Y30" s="34">
        <f>AVERAGE(Y9:Y29)</f>
        <v>1.3438047619047619</v>
      </c>
    </row>
    <row r="31" spans="2:25" s="5" customFormat="1" x14ac:dyDescent="0.2">
      <c r="B31" s="33" t="s">
        <v>12</v>
      </c>
      <c r="C31" s="32">
        <f t="shared" ref="C31:Y31" si="6">MAX(C9:C29)</f>
        <v>2841.5</v>
      </c>
      <c r="D31" s="31">
        <f t="shared" si="6"/>
        <v>2841.5</v>
      </c>
      <c r="E31" s="30">
        <f t="shared" si="6"/>
        <v>2841.5</v>
      </c>
      <c r="F31" s="32">
        <f t="shared" si="6"/>
        <v>2870</v>
      </c>
      <c r="G31" s="31">
        <f t="shared" si="6"/>
        <v>2870</v>
      </c>
      <c r="H31" s="30">
        <f t="shared" si="6"/>
        <v>2870</v>
      </c>
      <c r="I31" s="32">
        <f t="shared" si="6"/>
        <v>2897.5</v>
      </c>
      <c r="J31" s="31">
        <f t="shared" si="6"/>
        <v>2897.5</v>
      </c>
      <c r="K31" s="30">
        <f t="shared" si="6"/>
        <v>2897.5</v>
      </c>
      <c r="L31" s="32">
        <f t="shared" si="6"/>
        <v>2887.5</v>
      </c>
      <c r="M31" s="31">
        <f t="shared" si="6"/>
        <v>2887.5</v>
      </c>
      <c r="N31" s="30">
        <f t="shared" si="6"/>
        <v>2887.5</v>
      </c>
      <c r="O31" s="32">
        <f t="shared" si="6"/>
        <v>2870.5</v>
      </c>
      <c r="P31" s="31">
        <f t="shared" si="6"/>
        <v>2870.5</v>
      </c>
      <c r="Q31" s="30">
        <f t="shared" si="6"/>
        <v>2870.5</v>
      </c>
      <c r="R31" s="29">
        <f t="shared" si="6"/>
        <v>2841.5</v>
      </c>
      <c r="S31" s="28">
        <f t="shared" si="6"/>
        <v>1.3663000000000001</v>
      </c>
      <c r="T31" s="27">
        <f t="shared" si="6"/>
        <v>1.2290000000000001</v>
      </c>
      <c r="U31" s="26">
        <f t="shared" si="6"/>
        <v>104.66</v>
      </c>
      <c r="V31" s="25">
        <f t="shared" si="6"/>
        <v>2130.71</v>
      </c>
      <c r="W31" s="25">
        <f t="shared" si="6"/>
        <v>2153.4299999999998</v>
      </c>
      <c r="X31" s="25">
        <f t="shared" si="6"/>
        <v>2325.5429845569411</v>
      </c>
      <c r="Y31" s="24">
        <f t="shared" si="6"/>
        <v>1.3671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2723.5</v>
      </c>
      <c r="D32" s="21">
        <f t="shared" si="7"/>
        <v>2723.5</v>
      </c>
      <c r="E32" s="20">
        <f t="shared" si="7"/>
        <v>2723.5</v>
      </c>
      <c r="F32" s="22">
        <f t="shared" si="7"/>
        <v>2745</v>
      </c>
      <c r="G32" s="21">
        <f t="shared" si="7"/>
        <v>2745</v>
      </c>
      <c r="H32" s="20">
        <f t="shared" si="7"/>
        <v>2745</v>
      </c>
      <c r="I32" s="22">
        <f t="shared" si="7"/>
        <v>2772</v>
      </c>
      <c r="J32" s="21">
        <f t="shared" si="7"/>
        <v>2772</v>
      </c>
      <c r="K32" s="20">
        <f t="shared" si="7"/>
        <v>2772</v>
      </c>
      <c r="L32" s="22">
        <f t="shared" si="7"/>
        <v>2757</v>
      </c>
      <c r="M32" s="21">
        <f t="shared" si="7"/>
        <v>2757</v>
      </c>
      <c r="N32" s="20">
        <f t="shared" si="7"/>
        <v>2757</v>
      </c>
      <c r="O32" s="22">
        <f t="shared" si="7"/>
        <v>2741.5</v>
      </c>
      <c r="P32" s="21">
        <f t="shared" si="7"/>
        <v>2741.5</v>
      </c>
      <c r="Q32" s="20">
        <f t="shared" si="7"/>
        <v>2741.5</v>
      </c>
      <c r="R32" s="19">
        <f t="shared" si="7"/>
        <v>2723.5</v>
      </c>
      <c r="S32" s="18">
        <f t="shared" si="7"/>
        <v>1.3167</v>
      </c>
      <c r="T32" s="17">
        <f t="shared" si="7"/>
        <v>1.1967000000000001</v>
      </c>
      <c r="U32" s="16">
        <f t="shared" si="7"/>
        <v>103.02</v>
      </c>
      <c r="V32" s="15">
        <f t="shared" si="7"/>
        <v>1993.34</v>
      </c>
      <c r="W32" s="15">
        <f t="shared" si="7"/>
        <v>2007.9</v>
      </c>
      <c r="X32" s="15">
        <f t="shared" si="7"/>
        <v>2219.2796610169489</v>
      </c>
      <c r="Y32" s="14">
        <f t="shared" si="7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44166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44166</v>
      </c>
      <c r="C9" s="46">
        <v>2065</v>
      </c>
      <c r="D9" s="45">
        <v>2065</v>
      </c>
      <c r="E9" s="44">
        <f t="shared" ref="E9:E29" si="0">AVERAGE(C9:D9)</f>
        <v>2065</v>
      </c>
      <c r="F9" s="46">
        <v>2073.5</v>
      </c>
      <c r="G9" s="45">
        <v>2073.5</v>
      </c>
      <c r="H9" s="44">
        <f t="shared" ref="H9:H29" si="1">AVERAGE(F9:G9)</f>
        <v>2073.5</v>
      </c>
      <c r="I9" s="46">
        <v>2106</v>
      </c>
      <c r="J9" s="45">
        <v>2106</v>
      </c>
      <c r="K9" s="44">
        <f t="shared" ref="K9:K29" si="2">AVERAGE(I9:J9)</f>
        <v>2106</v>
      </c>
      <c r="L9" s="46">
        <v>2139</v>
      </c>
      <c r="M9" s="45">
        <v>2139</v>
      </c>
      <c r="N9" s="44">
        <f t="shared" ref="N9:N29" si="3">AVERAGE(L9:M9)</f>
        <v>2139</v>
      </c>
      <c r="O9" s="46">
        <v>2169</v>
      </c>
      <c r="P9" s="45">
        <v>2169</v>
      </c>
      <c r="Q9" s="44">
        <f t="shared" ref="Q9:Q29" si="4">AVERAGE(O9:P9)</f>
        <v>2169</v>
      </c>
      <c r="R9" s="52">
        <v>2065</v>
      </c>
      <c r="S9" s="51">
        <v>1.3331</v>
      </c>
      <c r="T9" s="53">
        <v>1.1967000000000001</v>
      </c>
      <c r="U9" s="50">
        <v>104.4</v>
      </c>
      <c r="V9" s="43">
        <v>1549.02</v>
      </c>
      <c r="W9" s="43">
        <v>1554</v>
      </c>
      <c r="X9" s="49">
        <f t="shared" ref="X9:X29" si="5">R9/T9</f>
        <v>1725.5786746887272</v>
      </c>
      <c r="Y9" s="48">
        <v>1.3343</v>
      </c>
    </row>
    <row r="10" spans="1:25" x14ac:dyDescent="0.2">
      <c r="B10" s="47">
        <v>44167</v>
      </c>
      <c r="C10" s="46">
        <v>2031.5</v>
      </c>
      <c r="D10" s="45">
        <v>2031.5</v>
      </c>
      <c r="E10" s="44">
        <f t="shared" si="0"/>
        <v>2031.5</v>
      </c>
      <c r="F10" s="46">
        <v>2046</v>
      </c>
      <c r="G10" s="45">
        <v>2046</v>
      </c>
      <c r="H10" s="44">
        <f t="shared" si="1"/>
        <v>2046</v>
      </c>
      <c r="I10" s="46">
        <v>2080</v>
      </c>
      <c r="J10" s="45">
        <v>2080</v>
      </c>
      <c r="K10" s="44">
        <f t="shared" si="2"/>
        <v>2080</v>
      </c>
      <c r="L10" s="46">
        <v>2113</v>
      </c>
      <c r="M10" s="45">
        <v>2113</v>
      </c>
      <c r="N10" s="44">
        <f t="shared" si="3"/>
        <v>2113</v>
      </c>
      <c r="O10" s="46">
        <v>2143</v>
      </c>
      <c r="P10" s="45">
        <v>2143</v>
      </c>
      <c r="Q10" s="44">
        <f t="shared" si="4"/>
        <v>2143</v>
      </c>
      <c r="R10" s="52">
        <v>2031.5</v>
      </c>
      <c r="S10" s="51">
        <v>1.3328</v>
      </c>
      <c r="T10" s="51">
        <v>1.206</v>
      </c>
      <c r="U10" s="50">
        <v>104.66</v>
      </c>
      <c r="V10" s="43">
        <v>1524.23</v>
      </c>
      <c r="W10" s="43">
        <v>1533.85</v>
      </c>
      <c r="X10" s="49">
        <f t="shared" si="5"/>
        <v>1684.4941956882255</v>
      </c>
      <c r="Y10" s="48">
        <v>1.3339000000000001</v>
      </c>
    </row>
    <row r="11" spans="1:25" x14ac:dyDescent="0.2">
      <c r="B11" s="47">
        <v>44168</v>
      </c>
      <c r="C11" s="46">
        <v>2046.5</v>
      </c>
      <c r="D11" s="45">
        <v>2046.5</v>
      </c>
      <c r="E11" s="44">
        <f t="shared" si="0"/>
        <v>2046.5</v>
      </c>
      <c r="F11" s="46">
        <v>2058</v>
      </c>
      <c r="G11" s="45">
        <v>2058</v>
      </c>
      <c r="H11" s="44">
        <f t="shared" si="1"/>
        <v>2058</v>
      </c>
      <c r="I11" s="46">
        <v>2091</v>
      </c>
      <c r="J11" s="45">
        <v>2091</v>
      </c>
      <c r="K11" s="44">
        <f t="shared" si="2"/>
        <v>2091</v>
      </c>
      <c r="L11" s="46">
        <v>2124</v>
      </c>
      <c r="M11" s="45">
        <v>2124</v>
      </c>
      <c r="N11" s="44">
        <f t="shared" si="3"/>
        <v>2124</v>
      </c>
      <c r="O11" s="46">
        <v>2154</v>
      </c>
      <c r="P11" s="45">
        <v>2154</v>
      </c>
      <c r="Q11" s="44">
        <f t="shared" si="4"/>
        <v>2154</v>
      </c>
      <c r="R11" s="52">
        <v>2046.5</v>
      </c>
      <c r="S11" s="51">
        <v>1.3452</v>
      </c>
      <c r="T11" s="51">
        <v>1.2156</v>
      </c>
      <c r="U11" s="50">
        <v>104.09</v>
      </c>
      <c r="V11" s="43">
        <v>1521.34</v>
      </c>
      <c r="W11" s="43">
        <v>1528.63</v>
      </c>
      <c r="X11" s="49">
        <f t="shared" si="5"/>
        <v>1683.5307666995723</v>
      </c>
      <c r="Y11" s="48">
        <v>1.3463000000000001</v>
      </c>
    </row>
    <row r="12" spans="1:25" x14ac:dyDescent="0.2">
      <c r="B12" s="47">
        <v>44169</v>
      </c>
      <c r="C12" s="46">
        <v>2026.5</v>
      </c>
      <c r="D12" s="45">
        <v>2026.5</v>
      </c>
      <c r="E12" s="44">
        <f t="shared" si="0"/>
        <v>2026.5</v>
      </c>
      <c r="F12" s="46">
        <v>2041.5</v>
      </c>
      <c r="G12" s="45">
        <v>2041.5</v>
      </c>
      <c r="H12" s="44">
        <f t="shared" si="1"/>
        <v>2041.5</v>
      </c>
      <c r="I12" s="46">
        <v>2075.5</v>
      </c>
      <c r="J12" s="45">
        <v>2075.5</v>
      </c>
      <c r="K12" s="44">
        <f t="shared" si="2"/>
        <v>2075.5</v>
      </c>
      <c r="L12" s="46">
        <v>2108.5</v>
      </c>
      <c r="M12" s="45">
        <v>2108.5</v>
      </c>
      <c r="N12" s="44">
        <f t="shared" si="3"/>
        <v>2108.5</v>
      </c>
      <c r="O12" s="46">
        <v>2138.5</v>
      </c>
      <c r="P12" s="45">
        <v>2138.5</v>
      </c>
      <c r="Q12" s="44">
        <f t="shared" si="4"/>
        <v>2138.5</v>
      </c>
      <c r="R12" s="52">
        <v>2026.5</v>
      </c>
      <c r="S12" s="51">
        <v>1.3463000000000001</v>
      </c>
      <c r="T12" s="51">
        <v>1.216</v>
      </c>
      <c r="U12" s="50">
        <v>104</v>
      </c>
      <c r="V12" s="43">
        <v>1505.24</v>
      </c>
      <c r="W12" s="43">
        <v>1515.14</v>
      </c>
      <c r="X12" s="49">
        <f t="shared" si="5"/>
        <v>1666.5296052631579</v>
      </c>
      <c r="Y12" s="48">
        <v>1.3473999999999999</v>
      </c>
    </row>
    <row r="13" spans="1:25" x14ac:dyDescent="0.2">
      <c r="B13" s="47">
        <v>44172</v>
      </c>
      <c r="C13" s="46">
        <v>2012.5</v>
      </c>
      <c r="D13" s="45">
        <v>2012.5</v>
      </c>
      <c r="E13" s="44">
        <f t="shared" si="0"/>
        <v>2012.5</v>
      </c>
      <c r="F13" s="46">
        <v>2026.5</v>
      </c>
      <c r="G13" s="45">
        <v>2026.5</v>
      </c>
      <c r="H13" s="44">
        <f t="shared" si="1"/>
        <v>2026.5</v>
      </c>
      <c r="I13" s="46">
        <v>2055.5</v>
      </c>
      <c r="J13" s="45">
        <v>2055.5</v>
      </c>
      <c r="K13" s="44">
        <f t="shared" si="2"/>
        <v>2055.5</v>
      </c>
      <c r="L13" s="46">
        <v>2088.5</v>
      </c>
      <c r="M13" s="45">
        <v>2088.5</v>
      </c>
      <c r="N13" s="44">
        <f t="shared" si="3"/>
        <v>2088.5</v>
      </c>
      <c r="O13" s="46">
        <v>2118.5</v>
      </c>
      <c r="P13" s="45">
        <v>2118.5</v>
      </c>
      <c r="Q13" s="44">
        <f t="shared" si="4"/>
        <v>2118.5</v>
      </c>
      <c r="R13" s="52">
        <v>2012.5</v>
      </c>
      <c r="S13" s="51">
        <v>1.3270999999999999</v>
      </c>
      <c r="T13" s="51">
        <v>1.2117</v>
      </c>
      <c r="U13" s="50">
        <v>104.17</v>
      </c>
      <c r="V13" s="43">
        <v>1516.46</v>
      </c>
      <c r="W13" s="43">
        <v>1525.63</v>
      </c>
      <c r="X13" s="49">
        <f t="shared" si="5"/>
        <v>1660.8896591565569</v>
      </c>
      <c r="Y13" s="48">
        <v>1.3283</v>
      </c>
    </row>
    <row r="14" spans="1:25" x14ac:dyDescent="0.2">
      <c r="B14" s="47">
        <v>44173</v>
      </c>
      <c r="C14" s="46">
        <v>2063</v>
      </c>
      <c r="D14" s="45">
        <v>2063</v>
      </c>
      <c r="E14" s="44">
        <f t="shared" si="0"/>
        <v>2063</v>
      </c>
      <c r="F14" s="46">
        <v>2073.5</v>
      </c>
      <c r="G14" s="45">
        <v>2073.5</v>
      </c>
      <c r="H14" s="44">
        <f t="shared" si="1"/>
        <v>2073.5</v>
      </c>
      <c r="I14" s="46">
        <v>2100.5</v>
      </c>
      <c r="J14" s="45">
        <v>2100.5</v>
      </c>
      <c r="K14" s="44">
        <f t="shared" si="2"/>
        <v>2100.5</v>
      </c>
      <c r="L14" s="46">
        <v>2133.5</v>
      </c>
      <c r="M14" s="45">
        <v>2133.5</v>
      </c>
      <c r="N14" s="44">
        <f t="shared" si="3"/>
        <v>2133.5</v>
      </c>
      <c r="O14" s="46">
        <v>2163.5</v>
      </c>
      <c r="P14" s="45">
        <v>2163.5</v>
      </c>
      <c r="Q14" s="44">
        <f t="shared" si="4"/>
        <v>2163.5</v>
      </c>
      <c r="R14" s="52">
        <v>2063</v>
      </c>
      <c r="S14" s="51">
        <v>1.3301000000000001</v>
      </c>
      <c r="T14" s="51">
        <v>1.2115</v>
      </c>
      <c r="U14" s="50">
        <v>104.15</v>
      </c>
      <c r="V14" s="43">
        <v>1551.01</v>
      </c>
      <c r="W14" s="43">
        <v>1557.27</v>
      </c>
      <c r="X14" s="49">
        <f t="shared" si="5"/>
        <v>1702.8477094510936</v>
      </c>
      <c r="Y14" s="48">
        <v>1.3314999999999999</v>
      </c>
    </row>
    <row r="15" spans="1:25" x14ac:dyDescent="0.2">
      <c r="B15" s="47">
        <v>44174</v>
      </c>
      <c r="C15" s="46">
        <v>2100</v>
      </c>
      <c r="D15" s="45">
        <v>2100</v>
      </c>
      <c r="E15" s="44">
        <f t="shared" si="0"/>
        <v>2100</v>
      </c>
      <c r="F15" s="46">
        <v>2103.5</v>
      </c>
      <c r="G15" s="45">
        <v>2103.5</v>
      </c>
      <c r="H15" s="44">
        <f t="shared" si="1"/>
        <v>2103.5</v>
      </c>
      <c r="I15" s="46">
        <v>2127</v>
      </c>
      <c r="J15" s="45">
        <v>2127</v>
      </c>
      <c r="K15" s="44">
        <f t="shared" si="2"/>
        <v>2127</v>
      </c>
      <c r="L15" s="46">
        <v>2158</v>
      </c>
      <c r="M15" s="45">
        <v>2158</v>
      </c>
      <c r="N15" s="44">
        <f t="shared" si="3"/>
        <v>2158</v>
      </c>
      <c r="O15" s="46">
        <v>2188</v>
      </c>
      <c r="P15" s="45">
        <v>2188</v>
      </c>
      <c r="Q15" s="44">
        <f t="shared" si="4"/>
        <v>2188</v>
      </c>
      <c r="R15" s="52">
        <v>2100</v>
      </c>
      <c r="S15" s="51">
        <v>1.3452</v>
      </c>
      <c r="T15" s="51">
        <v>1.2109000000000001</v>
      </c>
      <c r="U15" s="50">
        <v>104.12</v>
      </c>
      <c r="V15" s="43">
        <v>1561.11</v>
      </c>
      <c r="W15" s="43">
        <v>1562.2</v>
      </c>
      <c r="X15" s="49">
        <f t="shared" si="5"/>
        <v>1734.2472541085142</v>
      </c>
      <c r="Y15" s="48">
        <v>1.3465</v>
      </c>
    </row>
    <row r="16" spans="1:25" x14ac:dyDescent="0.2">
      <c r="B16" s="47">
        <v>44175</v>
      </c>
      <c r="C16" s="46">
        <v>2083</v>
      </c>
      <c r="D16" s="45">
        <v>2083</v>
      </c>
      <c r="E16" s="44">
        <f t="shared" si="0"/>
        <v>2083</v>
      </c>
      <c r="F16" s="46">
        <v>2088.5</v>
      </c>
      <c r="G16" s="45">
        <v>2088.5</v>
      </c>
      <c r="H16" s="44">
        <f t="shared" si="1"/>
        <v>2088.5</v>
      </c>
      <c r="I16" s="46">
        <v>2115.5</v>
      </c>
      <c r="J16" s="45">
        <v>2115.5</v>
      </c>
      <c r="K16" s="44">
        <f t="shared" si="2"/>
        <v>2115.5</v>
      </c>
      <c r="L16" s="46">
        <v>2146.5</v>
      </c>
      <c r="M16" s="45">
        <v>2146.5</v>
      </c>
      <c r="N16" s="44">
        <f t="shared" si="3"/>
        <v>2146.5</v>
      </c>
      <c r="O16" s="46">
        <v>2176.5</v>
      </c>
      <c r="P16" s="45">
        <v>2176.5</v>
      </c>
      <c r="Q16" s="44">
        <f t="shared" si="4"/>
        <v>2176.5</v>
      </c>
      <c r="R16" s="52">
        <v>2083</v>
      </c>
      <c r="S16" s="51">
        <v>1.3295999999999999</v>
      </c>
      <c r="T16" s="51">
        <v>1.2111000000000001</v>
      </c>
      <c r="U16" s="50">
        <v>104.45</v>
      </c>
      <c r="V16" s="43">
        <v>1566.64</v>
      </c>
      <c r="W16" s="43">
        <v>1569.36</v>
      </c>
      <c r="X16" s="49">
        <f t="shared" si="5"/>
        <v>1719.9240360003303</v>
      </c>
      <c r="Y16" s="48">
        <v>1.3308</v>
      </c>
    </row>
    <row r="17" spans="2:25" x14ac:dyDescent="0.2">
      <c r="B17" s="47">
        <v>44176</v>
      </c>
      <c r="C17" s="46">
        <v>2058.5</v>
      </c>
      <c r="D17" s="45">
        <v>2058.5</v>
      </c>
      <c r="E17" s="44">
        <f t="shared" si="0"/>
        <v>2058.5</v>
      </c>
      <c r="F17" s="46">
        <v>2060</v>
      </c>
      <c r="G17" s="45">
        <v>2060</v>
      </c>
      <c r="H17" s="44">
        <f t="shared" si="1"/>
        <v>2060</v>
      </c>
      <c r="I17" s="46">
        <v>2086.5</v>
      </c>
      <c r="J17" s="45">
        <v>2086.5</v>
      </c>
      <c r="K17" s="44">
        <f t="shared" si="2"/>
        <v>2086.5</v>
      </c>
      <c r="L17" s="46">
        <v>2117.5</v>
      </c>
      <c r="M17" s="45">
        <v>2117.5</v>
      </c>
      <c r="N17" s="44">
        <f t="shared" si="3"/>
        <v>2117.5</v>
      </c>
      <c r="O17" s="46">
        <v>2147.5</v>
      </c>
      <c r="P17" s="45">
        <v>2147.5</v>
      </c>
      <c r="Q17" s="44">
        <f t="shared" si="4"/>
        <v>2147.5</v>
      </c>
      <c r="R17" s="52">
        <v>2058.5</v>
      </c>
      <c r="S17" s="51">
        <v>1.3167</v>
      </c>
      <c r="T17" s="51">
        <v>1.2125999999999999</v>
      </c>
      <c r="U17" s="50">
        <v>104.12</v>
      </c>
      <c r="V17" s="43">
        <v>1563.38</v>
      </c>
      <c r="W17" s="43">
        <v>1563.09</v>
      </c>
      <c r="X17" s="49">
        <f t="shared" si="5"/>
        <v>1697.5919511792843</v>
      </c>
      <c r="Y17" s="48">
        <v>1.3179000000000001</v>
      </c>
    </row>
    <row r="18" spans="2:25" x14ac:dyDescent="0.2">
      <c r="B18" s="47">
        <v>44179</v>
      </c>
      <c r="C18" s="46">
        <v>2045</v>
      </c>
      <c r="D18" s="45">
        <v>2045</v>
      </c>
      <c r="E18" s="44">
        <f t="shared" si="0"/>
        <v>2045</v>
      </c>
      <c r="F18" s="46">
        <v>2053</v>
      </c>
      <c r="G18" s="45">
        <v>2053</v>
      </c>
      <c r="H18" s="44">
        <f t="shared" si="1"/>
        <v>2053</v>
      </c>
      <c r="I18" s="46">
        <v>2079</v>
      </c>
      <c r="J18" s="45">
        <v>2079</v>
      </c>
      <c r="K18" s="44">
        <f t="shared" si="2"/>
        <v>2079</v>
      </c>
      <c r="L18" s="46">
        <v>2110</v>
      </c>
      <c r="M18" s="45">
        <v>2110</v>
      </c>
      <c r="N18" s="44">
        <f t="shared" si="3"/>
        <v>2110</v>
      </c>
      <c r="O18" s="46">
        <v>2140</v>
      </c>
      <c r="P18" s="45">
        <v>2140</v>
      </c>
      <c r="Q18" s="44">
        <f t="shared" si="4"/>
        <v>2140</v>
      </c>
      <c r="R18" s="52">
        <v>2045</v>
      </c>
      <c r="S18" s="51">
        <v>1.3405</v>
      </c>
      <c r="T18" s="51">
        <v>1.2158</v>
      </c>
      <c r="U18" s="50">
        <v>103.72</v>
      </c>
      <c r="V18" s="43">
        <v>1525.55</v>
      </c>
      <c r="W18" s="43">
        <v>1530.15</v>
      </c>
      <c r="X18" s="49">
        <f t="shared" si="5"/>
        <v>1682.0200690903109</v>
      </c>
      <c r="Y18" s="48">
        <v>1.3416999999999999</v>
      </c>
    </row>
    <row r="19" spans="2:25" x14ac:dyDescent="0.2">
      <c r="B19" s="47">
        <v>44180</v>
      </c>
      <c r="C19" s="46">
        <v>2034</v>
      </c>
      <c r="D19" s="45">
        <v>2034</v>
      </c>
      <c r="E19" s="44">
        <f t="shared" si="0"/>
        <v>2034</v>
      </c>
      <c r="F19" s="46">
        <v>2040</v>
      </c>
      <c r="G19" s="45">
        <v>2040</v>
      </c>
      <c r="H19" s="44">
        <f t="shared" si="1"/>
        <v>2040</v>
      </c>
      <c r="I19" s="46">
        <v>2065.5</v>
      </c>
      <c r="J19" s="45">
        <v>2065.5</v>
      </c>
      <c r="K19" s="44">
        <f t="shared" si="2"/>
        <v>2065.5</v>
      </c>
      <c r="L19" s="46">
        <v>2096.5</v>
      </c>
      <c r="M19" s="45">
        <v>2096.5</v>
      </c>
      <c r="N19" s="44">
        <f t="shared" si="3"/>
        <v>2096.5</v>
      </c>
      <c r="O19" s="46">
        <v>2126.5</v>
      </c>
      <c r="P19" s="45">
        <v>2126.5</v>
      </c>
      <c r="Q19" s="44">
        <f t="shared" si="4"/>
        <v>2126.5</v>
      </c>
      <c r="R19" s="52">
        <v>2034</v>
      </c>
      <c r="S19" s="51">
        <v>1.3366</v>
      </c>
      <c r="T19" s="51">
        <v>1.2122999999999999</v>
      </c>
      <c r="U19" s="50">
        <v>103.93</v>
      </c>
      <c r="V19" s="43">
        <v>1521.77</v>
      </c>
      <c r="W19" s="43">
        <v>1525.01</v>
      </c>
      <c r="X19" s="49">
        <f t="shared" si="5"/>
        <v>1677.8025241276912</v>
      </c>
      <c r="Y19" s="48">
        <v>1.3376999999999999</v>
      </c>
    </row>
    <row r="20" spans="2:25" x14ac:dyDescent="0.2">
      <c r="B20" s="47">
        <v>44181</v>
      </c>
      <c r="C20" s="46">
        <v>2062</v>
      </c>
      <c r="D20" s="45">
        <v>2062</v>
      </c>
      <c r="E20" s="44">
        <f t="shared" si="0"/>
        <v>2062</v>
      </c>
      <c r="F20" s="46">
        <v>2049.5</v>
      </c>
      <c r="G20" s="45">
        <v>2049.5</v>
      </c>
      <c r="H20" s="44">
        <f t="shared" si="1"/>
        <v>2049.5</v>
      </c>
      <c r="I20" s="46">
        <v>2074.5</v>
      </c>
      <c r="J20" s="45">
        <v>2074.5</v>
      </c>
      <c r="K20" s="44">
        <f t="shared" si="2"/>
        <v>2074.5</v>
      </c>
      <c r="L20" s="46">
        <v>2105.5</v>
      </c>
      <c r="M20" s="45">
        <v>2105.5</v>
      </c>
      <c r="N20" s="44">
        <f t="shared" si="3"/>
        <v>2105.5</v>
      </c>
      <c r="O20" s="46">
        <v>2135.5</v>
      </c>
      <c r="P20" s="45">
        <v>2135.5</v>
      </c>
      <c r="Q20" s="44">
        <f t="shared" si="4"/>
        <v>2135.5</v>
      </c>
      <c r="R20" s="52">
        <v>2062</v>
      </c>
      <c r="S20" s="51">
        <v>1.3547</v>
      </c>
      <c r="T20" s="51">
        <v>1.2195</v>
      </c>
      <c r="U20" s="50">
        <v>103.3</v>
      </c>
      <c r="V20" s="43">
        <v>1522.11</v>
      </c>
      <c r="W20" s="43">
        <v>1511.54</v>
      </c>
      <c r="X20" s="49">
        <f t="shared" si="5"/>
        <v>1690.8569085690856</v>
      </c>
      <c r="Y20" s="48">
        <v>1.3559000000000001</v>
      </c>
    </row>
    <row r="21" spans="2:25" x14ac:dyDescent="0.2">
      <c r="B21" s="47">
        <v>44182</v>
      </c>
      <c r="C21" s="46">
        <v>2046.5</v>
      </c>
      <c r="D21" s="45">
        <v>2046.5</v>
      </c>
      <c r="E21" s="44">
        <f t="shared" si="0"/>
        <v>2046.5</v>
      </c>
      <c r="F21" s="46">
        <v>2048</v>
      </c>
      <c r="G21" s="45">
        <v>2048</v>
      </c>
      <c r="H21" s="44">
        <f t="shared" si="1"/>
        <v>2048</v>
      </c>
      <c r="I21" s="46">
        <v>2073</v>
      </c>
      <c r="J21" s="45">
        <v>2073</v>
      </c>
      <c r="K21" s="44">
        <f t="shared" si="2"/>
        <v>2073</v>
      </c>
      <c r="L21" s="46">
        <v>2104</v>
      </c>
      <c r="M21" s="45">
        <v>2104</v>
      </c>
      <c r="N21" s="44">
        <f t="shared" si="3"/>
        <v>2104</v>
      </c>
      <c r="O21" s="46">
        <v>2134</v>
      </c>
      <c r="P21" s="45">
        <v>2134</v>
      </c>
      <c r="Q21" s="44">
        <f t="shared" si="4"/>
        <v>2134</v>
      </c>
      <c r="R21" s="52">
        <v>2046.5</v>
      </c>
      <c r="S21" s="51">
        <v>1.359</v>
      </c>
      <c r="T21" s="51">
        <v>1.2249000000000001</v>
      </c>
      <c r="U21" s="50">
        <v>103.02</v>
      </c>
      <c r="V21" s="43">
        <v>1505.89</v>
      </c>
      <c r="W21" s="43">
        <v>1505.33</v>
      </c>
      <c r="X21" s="49">
        <f t="shared" si="5"/>
        <v>1670.7486325414318</v>
      </c>
      <c r="Y21" s="48">
        <v>1.3605</v>
      </c>
    </row>
    <row r="22" spans="2:25" x14ac:dyDescent="0.2">
      <c r="B22" s="47">
        <v>44183</v>
      </c>
      <c r="C22" s="46">
        <v>2040.5</v>
      </c>
      <c r="D22" s="45">
        <v>2040.5</v>
      </c>
      <c r="E22" s="44">
        <f t="shared" si="0"/>
        <v>2040.5</v>
      </c>
      <c r="F22" s="46">
        <v>2041</v>
      </c>
      <c r="G22" s="45">
        <v>2041</v>
      </c>
      <c r="H22" s="44">
        <f t="shared" si="1"/>
        <v>2041</v>
      </c>
      <c r="I22" s="46">
        <v>2065.5</v>
      </c>
      <c r="J22" s="45">
        <v>2065.5</v>
      </c>
      <c r="K22" s="44">
        <f t="shared" si="2"/>
        <v>2065.5</v>
      </c>
      <c r="L22" s="46">
        <v>2096.5</v>
      </c>
      <c r="M22" s="45">
        <v>2096.5</v>
      </c>
      <c r="N22" s="44">
        <f t="shared" si="3"/>
        <v>2096.5</v>
      </c>
      <c r="O22" s="46">
        <v>2126.5</v>
      </c>
      <c r="P22" s="45">
        <v>2126.5</v>
      </c>
      <c r="Q22" s="44">
        <f t="shared" si="4"/>
        <v>2126.5</v>
      </c>
      <c r="R22" s="52">
        <v>2040.5</v>
      </c>
      <c r="S22" s="51">
        <v>1.3521000000000001</v>
      </c>
      <c r="T22" s="51">
        <v>1.2255</v>
      </c>
      <c r="U22" s="50">
        <v>103.28</v>
      </c>
      <c r="V22" s="43">
        <v>1509.13</v>
      </c>
      <c r="W22" s="43">
        <v>1508.17</v>
      </c>
      <c r="X22" s="49">
        <f t="shared" si="5"/>
        <v>1665.0346797225623</v>
      </c>
      <c r="Y22" s="48">
        <v>1.3532999999999999</v>
      </c>
    </row>
    <row r="23" spans="2:25" x14ac:dyDescent="0.2">
      <c r="B23" s="47">
        <v>44186</v>
      </c>
      <c r="C23" s="46">
        <v>1957</v>
      </c>
      <c r="D23" s="45">
        <v>1957</v>
      </c>
      <c r="E23" s="44">
        <f t="shared" si="0"/>
        <v>1957</v>
      </c>
      <c r="F23" s="46">
        <v>1973</v>
      </c>
      <c r="G23" s="45">
        <v>1973</v>
      </c>
      <c r="H23" s="44">
        <f t="shared" si="1"/>
        <v>1973</v>
      </c>
      <c r="I23" s="46">
        <v>1998</v>
      </c>
      <c r="J23" s="45">
        <v>1998</v>
      </c>
      <c r="K23" s="44">
        <f t="shared" si="2"/>
        <v>1998</v>
      </c>
      <c r="L23" s="46">
        <v>2029</v>
      </c>
      <c r="M23" s="45">
        <v>2029</v>
      </c>
      <c r="N23" s="44">
        <f t="shared" si="3"/>
        <v>2029</v>
      </c>
      <c r="O23" s="46">
        <v>2059</v>
      </c>
      <c r="P23" s="45">
        <v>2059</v>
      </c>
      <c r="Q23" s="44">
        <f t="shared" si="4"/>
        <v>2059</v>
      </c>
      <c r="R23" s="52">
        <v>1957</v>
      </c>
      <c r="S23" s="51">
        <v>1.3282</v>
      </c>
      <c r="T23" s="51">
        <v>1.2163999999999999</v>
      </c>
      <c r="U23" s="50">
        <v>103.59</v>
      </c>
      <c r="V23" s="43">
        <v>1473.42</v>
      </c>
      <c r="W23" s="43">
        <v>1483.79</v>
      </c>
      <c r="X23" s="49">
        <f t="shared" si="5"/>
        <v>1608.8457744163106</v>
      </c>
      <c r="Y23" s="48">
        <v>1.3297000000000001</v>
      </c>
    </row>
    <row r="24" spans="2:25" x14ac:dyDescent="0.2">
      <c r="B24" s="47">
        <v>44187</v>
      </c>
      <c r="C24" s="46">
        <v>1932.5</v>
      </c>
      <c r="D24" s="45">
        <v>1932.5</v>
      </c>
      <c r="E24" s="44">
        <f t="shared" si="0"/>
        <v>1932.5</v>
      </c>
      <c r="F24" s="46">
        <v>1954</v>
      </c>
      <c r="G24" s="45">
        <v>1954</v>
      </c>
      <c r="H24" s="44">
        <f t="shared" si="1"/>
        <v>1954</v>
      </c>
      <c r="I24" s="46">
        <v>1980.5</v>
      </c>
      <c r="J24" s="45">
        <v>1980.5</v>
      </c>
      <c r="K24" s="44">
        <f t="shared" si="2"/>
        <v>1980.5</v>
      </c>
      <c r="L24" s="46">
        <v>2011.5</v>
      </c>
      <c r="M24" s="45">
        <v>2011.5</v>
      </c>
      <c r="N24" s="44">
        <f t="shared" si="3"/>
        <v>2011.5</v>
      </c>
      <c r="O24" s="46">
        <v>2041.5</v>
      </c>
      <c r="P24" s="45">
        <v>2041.5</v>
      </c>
      <c r="Q24" s="44">
        <f t="shared" si="4"/>
        <v>2041.5</v>
      </c>
      <c r="R24" s="52">
        <v>1932.5</v>
      </c>
      <c r="S24" s="51">
        <v>1.3415999999999999</v>
      </c>
      <c r="T24" s="51">
        <v>1.224</v>
      </c>
      <c r="U24" s="50">
        <v>103.38</v>
      </c>
      <c r="V24" s="43">
        <v>1440.44</v>
      </c>
      <c r="W24" s="43">
        <v>1454.73</v>
      </c>
      <c r="X24" s="49">
        <f t="shared" si="5"/>
        <v>1578.8398692810458</v>
      </c>
      <c r="Y24" s="48">
        <v>1.3431999999999999</v>
      </c>
    </row>
    <row r="25" spans="2:25" x14ac:dyDescent="0.2">
      <c r="B25" s="47">
        <v>44188</v>
      </c>
      <c r="C25" s="46">
        <v>1955</v>
      </c>
      <c r="D25" s="45">
        <v>1955</v>
      </c>
      <c r="E25" s="44">
        <f t="shared" si="0"/>
        <v>1955</v>
      </c>
      <c r="F25" s="46">
        <v>1972.5</v>
      </c>
      <c r="G25" s="45">
        <v>1972.5</v>
      </c>
      <c r="H25" s="44">
        <f t="shared" si="1"/>
        <v>1972.5</v>
      </c>
      <c r="I25" s="46">
        <v>1998.5</v>
      </c>
      <c r="J25" s="45">
        <v>1998.5</v>
      </c>
      <c r="K25" s="44">
        <f t="shared" si="2"/>
        <v>1998.5</v>
      </c>
      <c r="L25" s="46">
        <v>2029.5</v>
      </c>
      <c r="M25" s="45">
        <v>2029.5</v>
      </c>
      <c r="N25" s="44">
        <f t="shared" si="3"/>
        <v>2029.5</v>
      </c>
      <c r="O25" s="46">
        <v>2059.5</v>
      </c>
      <c r="P25" s="45">
        <v>2059.5</v>
      </c>
      <c r="Q25" s="44">
        <f t="shared" si="4"/>
        <v>2059.5</v>
      </c>
      <c r="R25" s="52">
        <v>1955</v>
      </c>
      <c r="S25" s="51">
        <v>1.3426</v>
      </c>
      <c r="T25" s="51">
        <v>1.2181999999999999</v>
      </c>
      <c r="U25" s="50">
        <v>103.48</v>
      </c>
      <c r="V25" s="43">
        <v>1456.13</v>
      </c>
      <c r="W25" s="43">
        <v>1467.52</v>
      </c>
      <c r="X25" s="49">
        <f t="shared" si="5"/>
        <v>1604.826793629946</v>
      </c>
      <c r="Y25" s="48">
        <v>1.3441000000000001</v>
      </c>
    </row>
    <row r="26" spans="2:25" x14ac:dyDescent="0.2">
      <c r="B26" s="47">
        <v>44189</v>
      </c>
      <c r="C26" s="46">
        <v>1956.5</v>
      </c>
      <c r="D26" s="45">
        <v>1956.5</v>
      </c>
      <c r="E26" s="44">
        <f t="shared" si="0"/>
        <v>1956.5</v>
      </c>
      <c r="F26" s="46">
        <v>1976</v>
      </c>
      <c r="G26" s="45">
        <v>1976</v>
      </c>
      <c r="H26" s="44">
        <f t="shared" si="1"/>
        <v>1976</v>
      </c>
      <c r="I26" s="46">
        <v>2001</v>
      </c>
      <c r="J26" s="45">
        <v>2001</v>
      </c>
      <c r="K26" s="44">
        <f t="shared" si="2"/>
        <v>2001</v>
      </c>
      <c r="L26" s="46">
        <v>2032</v>
      </c>
      <c r="M26" s="45">
        <v>2032</v>
      </c>
      <c r="N26" s="44">
        <f t="shared" si="3"/>
        <v>2032</v>
      </c>
      <c r="O26" s="46">
        <v>2062</v>
      </c>
      <c r="P26" s="45">
        <v>2062</v>
      </c>
      <c r="Q26" s="44">
        <f t="shared" si="4"/>
        <v>2062</v>
      </c>
      <c r="R26" s="52">
        <v>1956.5</v>
      </c>
      <c r="S26" s="51">
        <v>1.3582000000000001</v>
      </c>
      <c r="T26" s="51">
        <v>1.2188000000000001</v>
      </c>
      <c r="U26" s="50">
        <v>103.67</v>
      </c>
      <c r="V26" s="43">
        <v>1440.51</v>
      </c>
      <c r="W26" s="43">
        <v>1453.37</v>
      </c>
      <c r="X26" s="49">
        <f t="shared" si="5"/>
        <v>1605.2674762061042</v>
      </c>
      <c r="Y26" s="48">
        <v>1.3595999999999999</v>
      </c>
    </row>
    <row r="27" spans="2:25" x14ac:dyDescent="0.2">
      <c r="B27" s="47">
        <v>44194</v>
      </c>
      <c r="C27" s="46">
        <v>1937</v>
      </c>
      <c r="D27" s="45">
        <v>1937</v>
      </c>
      <c r="E27" s="44">
        <f t="shared" si="0"/>
        <v>1937</v>
      </c>
      <c r="F27" s="46">
        <v>1959</v>
      </c>
      <c r="G27" s="45">
        <v>1959</v>
      </c>
      <c r="H27" s="44">
        <f t="shared" si="1"/>
        <v>1959</v>
      </c>
      <c r="I27" s="46">
        <v>1984.5</v>
      </c>
      <c r="J27" s="45">
        <v>1984.5</v>
      </c>
      <c r="K27" s="44">
        <f t="shared" si="2"/>
        <v>1984.5</v>
      </c>
      <c r="L27" s="46">
        <v>2015.5</v>
      </c>
      <c r="M27" s="45">
        <v>2015.5</v>
      </c>
      <c r="N27" s="44">
        <f t="shared" si="3"/>
        <v>2015.5</v>
      </c>
      <c r="O27" s="46">
        <v>2045.5</v>
      </c>
      <c r="P27" s="45">
        <v>2045.5</v>
      </c>
      <c r="Q27" s="44">
        <f t="shared" si="4"/>
        <v>2045.5</v>
      </c>
      <c r="R27" s="52">
        <v>1937</v>
      </c>
      <c r="S27" s="51">
        <v>1.3488</v>
      </c>
      <c r="T27" s="51">
        <v>1.2256</v>
      </c>
      <c r="U27" s="50">
        <v>103.68</v>
      </c>
      <c r="V27" s="43">
        <v>1436.09</v>
      </c>
      <c r="W27" s="43">
        <v>1451.22</v>
      </c>
      <c r="X27" s="49">
        <f t="shared" si="5"/>
        <v>1580.4503916449087</v>
      </c>
      <c r="Y27" s="48">
        <v>1.3499000000000001</v>
      </c>
    </row>
    <row r="28" spans="2:25" x14ac:dyDescent="0.2">
      <c r="B28" s="47">
        <v>44195</v>
      </c>
      <c r="C28" s="46">
        <v>1966</v>
      </c>
      <c r="D28" s="45">
        <v>1966</v>
      </c>
      <c r="E28" s="44">
        <f t="shared" si="0"/>
        <v>1966</v>
      </c>
      <c r="F28" s="46">
        <v>1981.5</v>
      </c>
      <c r="G28" s="45">
        <v>1981.5</v>
      </c>
      <c r="H28" s="44">
        <f t="shared" si="1"/>
        <v>1981.5</v>
      </c>
      <c r="I28" s="46">
        <v>2007</v>
      </c>
      <c r="J28" s="45">
        <v>2007</v>
      </c>
      <c r="K28" s="44">
        <f t="shared" si="2"/>
        <v>2007</v>
      </c>
      <c r="L28" s="46">
        <v>2038.5</v>
      </c>
      <c r="M28" s="45">
        <v>2038.5</v>
      </c>
      <c r="N28" s="44">
        <f t="shared" si="3"/>
        <v>2038.5</v>
      </c>
      <c r="O28" s="46">
        <v>2068.5</v>
      </c>
      <c r="P28" s="45">
        <v>2068.5</v>
      </c>
      <c r="Q28" s="44">
        <f t="shared" si="4"/>
        <v>2068.5</v>
      </c>
      <c r="R28" s="52">
        <v>1966</v>
      </c>
      <c r="S28" s="51">
        <v>1.3594999999999999</v>
      </c>
      <c r="T28" s="51">
        <v>1.2290000000000001</v>
      </c>
      <c r="U28" s="50">
        <v>103.08</v>
      </c>
      <c r="V28" s="43">
        <v>1446.12</v>
      </c>
      <c r="W28" s="43">
        <v>1456.66</v>
      </c>
      <c r="X28" s="49">
        <f t="shared" si="5"/>
        <v>1599.674532139951</v>
      </c>
      <c r="Y28" s="48">
        <v>1.3603000000000001</v>
      </c>
    </row>
    <row r="29" spans="2:25" x14ac:dyDescent="0.2">
      <c r="B29" s="47">
        <v>44196</v>
      </c>
      <c r="C29" s="46">
        <v>1972</v>
      </c>
      <c r="D29" s="45">
        <v>1972</v>
      </c>
      <c r="E29" s="44">
        <f t="shared" si="0"/>
        <v>1972</v>
      </c>
      <c r="F29" s="46">
        <v>1982.5</v>
      </c>
      <c r="G29" s="45">
        <v>1982.5</v>
      </c>
      <c r="H29" s="44">
        <f t="shared" si="1"/>
        <v>1982.5</v>
      </c>
      <c r="I29" s="46">
        <v>2006.5</v>
      </c>
      <c r="J29" s="45">
        <v>2006.5</v>
      </c>
      <c r="K29" s="44">
        <f t="shared" si="2"/>
        <v>2006.5</v>
      </c>
      <c r="L29" s="46">
        <v>2039</v>
      </c>
      <c r="M29" s="45">
        <v>2039</v>
      </c>
      <c r="N29" s="44">
        <f t="shared" si="3"/>
        <v>2039</v>
      </c>
      <c r="O29" s="46">
        <v>2071.5</v>
      </c>
      <c r="P29" s="45">
        <v>2071.5</v>
      </c>
      <c r="Q29" s="44">
        <f t="shared" si="4"/>
        <v>2071.5</v>
      </c>
      <c r="R29" s="52">
        <v>1972</v>
      </c>
      <c r="S29" s="51">
        <v>1.3663000000000001</v>
      </c>
      <c r="T29" s="51">
        <v>1.2272000000000001</v>
      </c>
      <c r="U29" s="50">
        <v>103.07</v>
      </c>
      <c r="V29" s="43">
        <v>1443.31</v>
      </c>
      <c r="W29" s="43">
        <v>1450.15</v>
      </c>
      <c r="X29" s="49">
        <f t="shared" si="5"/>
        <v>1606.9100391134289</v>
      </c>
      <c r="Y29" s="48">
        <v>1.3671</v>
      </c>
    </row>
    <row r="30" spans="2:25" s="10" customFormat="1" x14ac:dyDescent="0.2">
      <c r="B30" s="42" t="s">
        <v>11</v>
      </c>
      <c r="C30" s="41">
        <f>ROUND(AVERAGE(C9:C29),2)</f>
        <v>2018.6</v>
      </c>
      <c r="D30" s="40">
        <f>ROUND(AVERAGE(D9:D29),2)</f>
        <v>2018.6</v>
      </c>
      <c r="E30" s="39">
        <f>ROUND(AVERAGE(C30:D30),2)</f>
        <v>2018.6</v>
      </c>
      <c r="F30" s="41">
        <f>ROUND(AVERAGE(F9:F29),2)</f>
        <v>2028.62</v>
      </c>
      <c r="G30" s="40">
        <f>ROUND(AVERAGE(G9:G29),2)</f>
        <v>2028.62</v>
      </c>
      <c r="H30" s="39">
        <f>ROUND(AVERAGE(F30:G30),2)</f>
        <v>2028.62</v>
      </c>
      <c r="I30" s="41">
        <f>ROUND(AVERAGE(I9:I29),2)</f>
        <v>2055.7600000000002</v>
      </c>
      <c r="J30" s="40">
        <f>ROUND(AVERAGE(J9:J29),2)</f>
        <v>2055.7600000000002</v>
      </c>
      <c r="K30" s="39">
        <f>ROUND(AVERAGE(I30:J30),2)</f>
        <v>2055.7600000000002</v>
      </c>
      <c r="L30" s="41">
        <f>ROUND(AVERAGE(L9:L29),2)</f>
        <v>2087.4299999999998</v>
      </c>
      <c r="M30" s="40">
        <f>ROUND(AVERAGE(M9:M29),2)</f>
        <v>2087.4299999999998</v>
      </c>
      <c r="N30" s="39">
        <f>ROUND(AVERAGE(L30:M30),2)</f>
        <v>2087.4299999999998</v>
      </c>
      <c r="O30" s="41">
        <f>ROUND(AVERAGE(O9:O29),2)</f>
        <v>2117.5500000000002</v>
      </c>
      <c r="P30" s="40">
        <f>ROUND(AVERAGE(P9:P29),2)</f>
        <v>2117.5500000000002</v>
      </c>
      <c r="Q30" s="39">
        <f>ROUND(AVERAGE(O30:P30),2)</f>
        <v>2117.5500000000002</v>
      </c>
      <c r="R30" s="38">
        <f>ROUND(AVERAGE(R9:R29),2)</f>
        <v>2018.6</v>
      </c>
      <c r="S30" s="37">
        <f>ROUND(AVERAGE(S9:S29),4)</f>
        <v>1.3426</v>
      </c>
      <c r="T30" s="36">
        <f>ROUND(AVERAGE(T9:T29),4)</f>
        <v>1.2165999999999999</v>
      </c>
      <c r="U30" s="175">
        <f>ROUND(AVERAGE(U9:U29),2)</f>
        <v>103.78</v>
      </c>
      <c r="V30" s="35">
        <f>AVERAGE(V9:V29)</f>
        <v>1503.757142857143</v>
      </c>
      <c r="W30" s="35">
        <f>AVERAGE(W9:W29)</f>
        <v>1509.8480952380955</v>
      </c>
      <c r="X30" s="35">
        <f>AVERAGE(X9:X29)</f>
        <v>1659.3767401294397</v>
      </c>
      <c r="Y30" s="34">
        <f>AVERAGE(Y9:Y29)</f>
        <v>1.3438047619047619</v>
      </c>
    </row>
    <row r="31" spans="2:25" s="5" customFormat="1" x14ac:dyDescent="0.2">
      <c r="B31" s="33" t="s">
        <v>12</v>
      </c>
      <c r="C31" s="32">
        <f t="shared" ref="C31:Y31" si="6">MAX(C9:C29)</f>
        <v>2100</v>
      </c>
      <c r="D31" s="31">
        <f t="shared" si="6"/>
        <v>2100</v>
      </c>
      <c r="E31" s="30">
        <f t="shared" si="6"/>
        <v>2100</v>
      </c>
      <c r="F31" s="32">
        <f t="shared" si="6"/>
        <v>2103.5</v>
      </c>
      <c r="G31" s="31">
        <f t="shared" si="6"/>
        <v>2103.5</v>
      </c>
      <c r="H31" s="30">
        <f t="shared" si="6"/>
        <v>2103.5</v>
      </c>
      <c r="I31" s="32">
        <f t="shared" si="6"/>
        <v>2127</v>
      </c>
      <c r="J31" s="31">
        <f t="shared" si="6"/>
        <v>2127</v>
      </c>
      <c r="K31" s="30">
        <f t="shared" si="6"/>
        <v>2127</v>
      </c>
      <c r="L31" s="32">
        <f t="shared" si="6"/>
        <v>2158</v>
      </c>
      <c r="M31" s="31">
        <f t="shared" si="6"/>
        <v>2158</v>
      </c>
      <c r="N31" s="30">
        <f t="shared" si="6"/>
        <v>2158</v>
      </c>
      <c r="O31" s="32">
        <f t="shared" si="6"/>
        <v>2188</v>
      </c>
      <c r="P31" s="31">
        <f t="shared" si="6"/>
        <v>2188</v>
      </c>
      <c r="Q31" s="30">
        <f t="shared" si="6"/>
        <v>2188</v>
      </c>
      <c r="R31" s="29">
        <f t="shared" si="6"/>
        <v>2100</v>
      </c>
      <c r="S31" s="28">
        <f t="shared" si="6"/>
        <v>1.3663000000000001</v>
      </c>
      <c r="T31" s="27">
        <f t="shared" si="6"/>
        <v>1.2290000000000001</v>
      </c>
      <c r="U31" s="26">
        <f t="shared" si="6"/>
        <v>104.66</v>
      </c>
      <c r="V31" s="25">
        <f t="shared" si="6"/>
        <v>1566.64</v>
      </c>
      <c r="W31" s="25">
        <f t="shared" si="6"/>
        <v>1569.36</v>
      </c>
      <c r="X31" s="25">
        <f t="shared" si="6"/>
        <v>1734.2472541085142</v>
      </c>
      <c r="Y31" s="24">
        <f t="shared" si="6"/>
        <v>1.3671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1932.5</v>
      </c>
      <c r="D32" s="21">
        <f t="shared" si="7"/>
        <v>1932.5</v>
      </c>
      <c r="E32" s="20">
        <f t="shared" si="7"/>
        <v>1932.5</v>
      </c>
      <c r="F32" s="22">
        <f t="shared" si="7"/>
        <v>1954</v>
      </c>
      <c r="G32" s="21">
        <f t="shared" si="7"/>
        <v>1954</v>
      </c>
      <c r="H32" s="20">
        <f t="shared" si="7"/>
        <v>1954</v>
      </c>
      <c r="I32" s="22">
        <f t="shared" si="7"/>
        <v>1980.5</v>
      </c>
      <c r="J32" s="21">
        <f t="shared" si="7"/>
        <v>1980.5</v>
      </c>
      <c r="K32" s="20">
        <f t="shared" si="7"/>
        <v>1980.5</v>
      </c>
      <c r="L32" s="22">
        <f t="shared" si="7"/>
        <v>2011.5</v>
      </c>
      <c r="M32" s="21">
        <f t="shared" si="7"/>
        <v>2011.5</v>
      </c>
      <c r="N32" s="20">
        <f t="shared" si="7"/>
        <v>2011.5</v>
      </c>
      <c r="O32" s="22">
        <f t="shared" si="7"/>
        <v>2041.5</v>
      </c>
      <c r="P32" s="21">
        <f t="shared" si="7"/>
        <v>2041.5</v>
      </c>
      <c r="Q32" s="20">
        <f t="shared" si="7"/>
        <v>2041.5</v>
      </c>
      <c r="R32" s="19">
        <f t="shared" si="7"/>
        <v>1932.5</v>
      </c>
      <c r="S32" s="18">
        <f t="shared" si="7"/>
        <v>1.3167</v>
      </c>
      <c r="T32" s="17">
        <f t="shared" si="7"/>
        <v>1.1967000000000001</v>
      </c>
      <c r="U32" s="16">
        <f t="shared" si="7"/>
        <v>103.02</v>
      </c>
      <c r="V32" s="15">
        <f t="shared" si="7"/>
        <v>1436.09</v>
      </c>
      <c r="W32" s="15">
        <f t="shared" si="7"/>
        <v>1450.15</v>
      </c>
      <c r="X32" s="15">
        <f t="shared" si="7"/>
        <v>1578.8398692810458</v>
      </c>
      <c r="Y32" s="14">
        <f t="shared" si="7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44166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44166</v>
      </c>
      <c r="C9" s="46">
        <v>18873</v>
      </c>
      <c r="D9" s="45">
        <v>18873</v>
      </c>
      <c r="E9" s="44">
        <f t="shared" ref="E9:E29" si="0">AVERAGE(C9:D9)</f>
        <v>18873</v>
      </c>
      <c r="F9" s="46">
        <v>18850</v>
      </c>
      <c r="G9" s="45">
        <v>18850</v>
      </c>
      <c r="H9" s="44">
        <f t="shared" ref="H9:H29" si="1">AVERAGE(F9:G9)</f>
        <v>18850</v>
      </c>
      <c r="I9" s="46">
        <v>18621</v>
      </c>
      <c r="J9" s="45">
        <v>18621</v>
      </c>
      <c r="K9" s="44">
        <f t="shared" ref="K9:K29" si="2">AVERAGE(I9:J9)</f>
        <v>18621</v>
      </c>
      <c r="L9" s="52">
        <v>18873</v>
      </c>
      <c r="M9" s="51">
        <v>1.3331</v>
      </c>
      <c r="N9" s="53">
        <v>1.1967000000000001</v>
      </c>
      <c r="O9" s="50">
        <v>104.4</v>
      </c>
      <c r="P9" s="43">
        <v>14157.23</v>
      </c>
      <c r="Q9" s="43">
        <v>14127.26</v>
      </c>
      <c r="R9" s="49">
        <f t="shared" ref="R9:R29" si="3">L9/N9</f>
        <v>15770.869892203558</v>
      </c>
      <c r="S9" s="48">
        <v>1.3343</v>
      </c>
    </row>
    <row r="10" spans="1:19" x14ac:dyDescent="0.2">
      <c r="B10" s="47">
        <v>44167</v>
      </c>
      <c r="C10" s="46">
        <v>18905</v>
      </c>
      <c r="D10" s="45">
        <v>18905</v>
      </c>
      <c r="E10" s="44">
        <f t="shared" si="0"/>
        <v>18905</v>
      </c>
      <c r="F10" s="46">
        <v>18880</v>
      </c>
      <c r="G10" s="45">
        <v>18880</v>
      </c>
      <c r="H10" s="44">
        <f t="shared" si="1"/>
        <v>18880</v>
      </c>
      <c r="I10" s="46">
        <v>18676</v>
      </c>
      <c r="J10" s="45">
        <v>18676</v>
      </c>
      <c r="K10" s="44">
        <f t="shared" si="2"/>
        <v>18676</v>
      </c>
      <c r="L10" s="52">
        <v>18905</v>
      </c>
      <c r="M10" s="51">
        <v>1.3328</v>
      </c>
      <c r="N10" s="51">
        <v>1.206</v>
      </c>
      <c r="O10" s="50">
        <v>104.66</v>
      </c>
      <c r="P10" s="43">
        <v>14184.42</v>
      </c>
      <c r="Q10" s="43">
        <v>14153.98</v>
      </c>
      <c r="R10" s="49">
        <f t="shared" si="3"/>
        <v>15675.787728026535</v>
      </c>
      <c r="S10" s="48">
        <v>1.3339000000000001</v>
      </c>
    </row>
    <row r="11" spans="1:19" x14ac:dyDescent="0.2">
      <c r="B11" s="47">
        <v>44168</v>
      </c>
      <c r="C11" s="46">
        <v>18850</v>
      </c>
      <c r="D11" s="45">
        <v>18850</v>
      </c>
      <c r="E11" s="44">
        <f t="shared" si="0"/>
        <v>18850</v>
      </c>
      <c r="F11" s="46">
        <v>18831</v>
      </c>
      <c r="G11" s="45">
        <v>18831</v>
      </c>
      <c r="H11" s="44">
        <f t="shared" si="1"/>
        <v>18831</v>
      </c>
      <c r="I11" s="46">
        <v>18644</v>
      </c>
      <c r="J11" s="45">
        <v>18644</v>
      </c>
      <c r="K11" s="44">
        <f t="shared" si="2"/>
        <v>18644</v>
      </c>
      <c r="L11" s="52">
        <v>18850</v>
      </c>
      <c r="M11" s="51">
        <v>1.3452</v>
      </c>
      <c r="N11" s="51">
        <v>1.2156</v>
      </c>
      <c r="O11" s="50">
        <v>104.09</v>
      </c>
      <c r="P11" s="43">
        <v>14012.79</v>
      </c>
      <c r="Q11" s="43">
        <v>13987.22</v>
      </c>
      <c r="R11" s="49">
        <f t="shared" si="3"/>
        <v>15506.745640013161</v>
      </c>
      <c r="S11" s="48">
        <v>1.3463000000000001</v>
      </c>
    </row>
    <row r="12" spans="1:19" x14ac:dyDescent="0.2">
      <c r="B12" s="47">
        <v>44169</v>
      </c>
      <c r="C12" s="46">
        <v>19060</v>
      </c>
      <c r="D12" s="45">
        <v>19060</v>
      </c>
      <c r="E12" s="44">
        <f t="shared" si="0"/>
        <v>19060</v>
      </c>
      <c r="F12" s="46">
        <v>19020</v>
      </c>
      <c r="G12" s="45">
        <v>19020</v>
      </c>
      <c r="H12" s="44">
        <f t="shared" si="1"/>
        <v>19020</v>
      </c>
      <c r="I12" s="46">
        <v>18829</v>
      </c>
      <c r="J12" s="45">
        <v>18829</v>
      </c>
      <c r="K12" s="44">
        <f t="shared" si="2"/>
        <v>18829</v>
      </c>
      <c r="L12" s="52">
        <v>19060</v>
      </c>
      <c r="M12" s="51">
        <v>1.3463000000000001</v>
      </c>
      <c r="N12" s="51">
        <v>1.216</v>
      </c>
      <c r="O12" s="50">
        <v>104</v>
      </c>
      <c r="P12" s="43">
        <v>14157.32</v>
      </c>
      <c r="Q12" s="43">
        <v>14116.08</v>
      </c>
      <c r="R12" s="49">
        <f t="shared" si="3"/>
        <v>15674.342105263158</v>
      </c>
      <c r="S12" s="48">
        <v>1.3473999999999999</v>
      </c>
    </row>
    <row r="13" spans="1:19" x14ac:dyDescent="0.2">
      <c r="B13" s="47">
        <v>44172</v>
      </c>
      <c r="C13" s="46">
        <v>19071</v>
      </c>
      <c r="D13" s="45">
        <v>19071</v>
      </c>
      <c r="E13" s="44">
        <f t="shared" si="0"/>
        <v>19071</v>
      </c>
      <c r="F13" s="46">
        <v>19046</v>
      </c>
      <c r="G13" s="45">
        <v>19046</v>
      </c>
      <c r="H13" s="44">
        <f t="shared" si="1"/>
        <v>19046</v>
      </c>
      <c r="I13" s="46">
        <v>18854</v>
      </c>
      <c r="J13" s="45">
        <v>18854</v>
      </c>
      <c r="K13" s="44">
        <f t="shared" si="2"/>
        <v>18854</v>
      </c>
      <c r="L13" s="52">
        <v>19071</v>
      </c>
      <c r="M13" s="51">
        <v>1.3270999999999999</v>
      </c>
      <c r="N13" s="51">
        <v>1.2117</v>
      </c>
      <c r="O13" s="50">
        <v>104.17</v>
      </c>
      <c r="P13" s="43">
        <v>14370.43</v>
      </c>
      <c r="Q13" s="43">
        <v>14338.63</v>
      </c>
      <c r="R13" s="49">
        <f t="shared" si="3"/>
        <v>15739.044317900471</v>
      </c>
      <c r="S13" s="48">
        <v>1.3283</v>
      </c>
    </row>
    <row r="14" spans="1:19" x14ac:dyDescent="0.2">
      <c r="B14" s="47">
        <v>44173</v>
      </c>
      <c r="C14" s="46">
        <v>19128</v>
      </c>
      <c r="D14" s="45">
        <v>19128</v>
      </c>
      <c r="E14" s="44">
        <f t="shared" si="0"/>
        <v>19128</v>
      </c>
      <c r="F14" s="46">
        <v>19136</v>
      </c>
      <c r="G14" s="45">
        <v>19136</v>
      </c>
      <c r="H14" s="44">
        <f t="shared" si="1"/>
        <v>19136</v>
      </c>
      <c r="I14" s="46">
        <v>18951</v>
      </c>
      <c r="J14" s="45">
        <v>18951</v>
      </c>
      <c r="K14" s="44">
        <f t="shared" si="2"/>
        <v>18951</v>
      </c>
      <c r="L14" s="52">
        <v>19128</v>
      </c>
      <c r="M14" s="51">
        <v>1.3301000000000001</v>
      </c>
      <c r="N14" s="51">
        <v>1.2115</v>
      </c>
      <c r="O14" s="50">
        <v>104.15</v>
      </c>
      <c r="P14" s="43">
        <v>14380.87</v>
      </c>
      <c r="Q14" s="43">
        <v>14371.76</v>
      </c>
      <c r="R14" s="49">
        <f t="shared" si="3"/>
        <v>15788.691704498555</v>
      </c>
      <c r="S14" s="48">
        <v>1.3314999999999999</v>
      </c>
    </row>
    <row r="15" spans="1:19" x14ac:dyDescent="0.2">
      <c r="B15" s="47">
        <v>44174</v>
      </c>
      <c r="C15" s="46">
        <v>19393</v>
      </c>
      <c r="D15" s="45">
        <v>19393</v>
      </c>
      <c r="E15" s="44">
        <f t="shared" si="0"/>
        <v>19393</v>
      </c>
      <c r="F15" s="46">
        <v>19363</v>
      </c>
      <c r="G15" s="45">
        <v>19363</v>
      </c>
      <c r="H15" s="44">
        <f t="shared" si="1"/>
        <v>19363</v>
      </c>
      <c r="I15" s="46">
        <v>19187</v>
      </c>
      <c r="J15" s="45">
        <v>19187</v>
      </c>
      <c r="K15" s="44">
        <f t="shared" si="2"/>
        <v>19187</v>
      </c>
      <c r="L15" s="52">
        <v>19393</v>
      </c>
      <c r="M15" s="51">
        <v>1.3452</v>
      </c>
      <c r="N15" s="51">
        <v>1.2109000000000001</v>
      </c>
      <c r="O15" s="50">
        <v>104.12</v>
      </c>
      <c r="P15" s="43">
        <v>14416.44</v>
      </c>
      <c r="Q15" s="43">
        <v>14380.25</v>
      </c>
      <c r="R15" s="49">
        <f t="shared" si="3"/>
        <v>16015.360475679247</v>
      </c>
      <c r="S15" s="48">
        <v>1.3465</v>
      </c>
    </row>
    <row r="16" spans="1:19" x14ac:dyDescent="0.2">
      <c r="B16" s="47">
        <v>44175</v>
      </c>
      <c r="C16" s="46">
        <v>19740</v>
      </c>
      <c r="D16" s="45">
        <v>19740</v>
      </c>
      <c r="E16" s="44">
        <f t="shared" si="0"/>
        <v>19740</v>
      </c>
      <c r="F16" s="46">
        <v>19676</v>
      </c>
      <c r="G16" s="45">
        <v>19676</v>
      </c>
      <c r="H16" s="44">
        <f t="shared" si="1"/>
        <v>19676</v>
      </c>
      <c r="I16" s="46">
        <v>19479</v>
      </c>
      <c r="J16" s="45">
        <v>19479</v>
      </c>
      <c r="K16" s="44">
        <f t="shared" si="2"/>
        <v>19479</v>
      </c>
      <c r="L16" s="52">
        <v>19740</v>
      </c>
      <c r="M16" s="51">
        <v>1.3295999999999999</v>
      </c>
      <c r="N16" s="51">
        <v>1.2111000000000001</v>
      </c>
      <c r="O16" s="50">
        <v>104.45</v>
      </c>
      <c r="P16" s="43">
        <v>14846.57</v>
      </c>
      <c r="Q16" s="43">
        <v>14785.09</v>
      </c>
      <c r="R16" s="49">
        <f t="shared" si="3"/>
        <v>16299.232103046816</v>
      </c>
      <c r="S16" s="48">
        <v>1.3308</v>
      </c>
    </row>
    <row r="17" spans="2:19" x14ac:dyDescent="0.2">
      <c r="B17" s="47">
        <v>44176</v>
      </c>
      <c r="C17" s="46">
        <v>19550</v>
      </c>
      <c r="D17" s="45">
        <v>19550</v>
      </c>
      <c r="E17" s="44">
        <f t="shared" si="0"/>
        <v>19550</v>
      </c>
      <c r="F17" s="46">
        <v>19505</v>
      </c>
      <c r="G17" s="45">
        <v>19505</v>
      </c>
      <c r="H17" s="44">
        <f t="shared" si="1"/>
        <v>19505</v>
      </c>
      <c r="I17" s="46">
        <v>19295</v>
      </c>
      <c r="J17" s="45">
        <v>19295</v>
      </c>
      <c r="K17" s="44">
        <f t="shared" si="2"/>
        <v>19295</v>
      </c>
      <c r="L17" s="52">
        <v>19550</v>
      </c>
      <c r="M17" s="51">
        <v>1.3167</v>
      </c>
      <c r="N17" s="51">
        <v>1.2125999999999999</v>
      </c>
      <c r="O17" s="50">
        <v>104.12</v>
      </c>
      <c r="P17" s="43">
        <v>14847.73</v>
      </c>
      <c r="Q17" s="43">
        <v>14800.06</v>
      </c>
      <c r="R17" s="49">
        <f t="shared" si="3"/>
        <v>16122.3816592446</v>
      </c>
      <c r="S17" s="48">
        <v>1.3179000000000001</v>
      </c>
    </row>
    <row r="18" spans="2:19" x14ac:dyDescent="0.2">
      <c r="B18" s="47">
        <v>44179</v>
      </c>
      <c r="C18" s="46">
        <v>19690</v>
      </c>
      <c r="D18" s="45">
        <v>19690</v>
      </c>
      <c r="E18" s="44">
        <f t="shared" si="0"/>
        <v>19690</v>
      </c>
      <c r="F18" s="46">
        <v>19670</v>
      </c>
      <c r="G18" s="45">
        <v>19670</v>
      </c>
      <c r="H18" s="44">
        <f t="shared" si="1"/>
        <v>19670</v>
      </c>
      <c r="I18" s="46">
        <v>19462</v>
      </c>
      <c r="J18" s="45">
        <v>19462</v>
      </c>
      <c r="K18" s="44">
        <f t="shared" si="2"/>
        <v>19462</v>
      </c>
      <c r="L18" s="52">
        <v>19690</v>
      </c>
      <c r="M18" s="51">
        <v>1.3405</v>
      </c>
      <c r="N18" s="51">
        <v>1.2158</v>
      </c>
      <c r="O18" s="50">
        <v>103.72</v>
      </c>
      <c r="P18" s="43">
        <v>14688.55</v>
      </c>
      <c r="Q18" s="43">
        <v>14660.51</v>
      </c>
      <c r="R18" s="49">
        <f t="shared" si="3"/>
        <v>16195.09787794045</v>
      </c>
      <c r="S18" s="48">
        <v>1.3416999999999999</v>
      </c>
    </row>
    <row r="19" spans="2:19" x14ac:dyDescent="0.2">
      <c r="B19" s="47">
        <v>44180</v>
      </c>
      <c r="C19" s="46">
        <v>19675</v>
      </c>
      <c r="D19" s="45">
        <v>19675</v>
      </c>
      <c r="E19" s="44">
        <f t="shared" si="0"/>
        <v>19675</v>
      </c>
      <c r="F19" s="46">
        <v>19615</v>
      </c>
      <c r="G19" s="45">
        <v>19615</v>
      </c>
      <c r="H19" s="44">
        <f t="shared" si="1"/>
        <v>19615</v>
      </c>
      <c r="I19" s="46">
        <v>19429</v>
      </c>
      <c r="J19" s="45">
        <v>19429</v>
      </c>
      <c r="K19" s="44">
        <f t="shared" si="2"/>
        <v>19429</v>
      </c>
      <c r="L19" s="52">
        <v>19675</v>
      </c>
      <c r="M19" s="51">
        <v>1.3366</v>
      </c>
      <c r="N19" s="51">
        <v>1.2122999999999999</v>
      </c>
      <c r="O19" s="50">
        <v>103.93</v>
      </c>
      <c r="P19" s="43">
        <v>14720.19</v>
      </c>
      <c r="Q19" s="43">
        <v>14663.23</v>
      </c>
      <c r="R19" s="49">
        <f t="shared" si="3"/>
        <v>16229.48115153015</v>
      </c>
      <c r="S19" s="48">
        <v>1.3376999999999999</v>
      </c>
    </row>
    <row r="20" spans="2:19" x14ac:dyDescent="0.2">
      <c r="B20" s="47">
        <v>44181</v>
      </c>
      <c r="C20" s="46">
        <v>19817</v>
      </c>
      <c r="D20" s="45">
        <v>19817</v>
      </c>
      <c r="E20" s="44">
        <f t="shared" si="0"/>
        <v>19817</v>
      </c>
      <c r="F20" s="46">
        <v>19782</v>
      </c>
      <c r="G20" s="45">
        <v>19782</v>
      </c>
      <c r="H20" s="44">
        <f t="shared" si="1"/>
        <v>19782</v>
      </c>
      <c r="I20" s="46">
        <v>19569</v>
      </c>
      <c r="J20" s="45">
        <v>19569</v>
      </c>
      <c r="K20" s="44">
        <f t="shared" si="2"/>
        <v>19569</v>
      </c>
      <c r="L20" s="52">
        <v>19817</v>
      </c>
      <c r="M20" s="51">
        <v>1.3547</v>
      </c>
      <c r="N20" s="51">
        <v>1.2195</v>
      </c>
      <c r="O20" s="50">
        <v>103.3</v>
      </c>
      <c r="P20" s="43">
        <v>14628.33</v>
      </c>
      <c r="Q20" s="43">
        <v>14589.57</v>
      </c>
      <c r="R20" s="49">
        <f t="shared" si="3"/>
        <v>16250.10250102501</v>
      </c>
      <c r="S20" s="48">
        <v>1.3559000000000001</v>
      </c>
    </row>
    <row r="21" spans="2:19" x14ac:dyDescent="0.2">
      <c r="B21" s="47">
        <v>44182</v>
      </c>
      <c r="C21" s="46">
        <v>20058</v>
      </c>
      <c r="D21" s="45">
        <v>20058</v>
      </c>
      <c r="E21" s="44">
        <f t="shared" si="0"/>
        <v>20058</v>
      </c>
      <c r="F21" s="46">
        <v>20000</v>
      </c>
      <c r="G21" s="45">
        <v>20000</v>
      </c>
      <c r="H21" s="44">
        <f t="shared" si="1"/>
        <v>20000</v>
      </c>
      <c r="I21" s="46">
        <v>19784</v>
      </c>
      <c r="J21" s="45">
        <v>19784</v>
      </c>
      <c r="K21" s="44">
        <f t="shared" si="2"/>
        <v>19784</v>
      </c>
      <c r="L21" s="52">
        <v>20058</v>
      </c>
      <c r="M21" s="51">
        <v>1.359</v>
      </c>
      <c r="N21" s="51">
        <v>1.2249000000000001</v>
      </c>
      <c r="O21" s="50">
        <v>103.02</v>
      </c>
      <c r="P21" s="43">
        <v>14759.38</v>
      </c>
      <c r="Q21" s="43">
        <v>14700.48</v>
      </c>
      <c r="R21" s="49">
        <f t="shared" si="3"/>
        <v>16375.214303208424</v>
      </c>
      <c r="S21" s="48">
        <v>1.3605</v>
      </c>
    </row>
    <row r="22" spans="2:19" x14ac:dyDescent="0.2">
      <c r="B22" s="47">
        <v>44183</v>
      </c>
      <c r="C22" s="46">
        <v>20255</v>
      </c>
      <c r="D22" s="45">
        <v>20255</v>
      </c>
      <c r="E22" s="44">
        <f t="shared" si="0"/>
        <v>20255</v>
      </c>
      <c r="F22" s="46">
        <v>20188</v>
      </c>
      <c r="G22" s="45">
        <v>20188</v>
      </c>
      <c r="H22" s="44">
        <f t="shared" si="1"/>
        <v>20188</v>
      </c>
      <c r="I22" s="46">
        <v>19959</v>
      </c>
      <c r="J22" s="45">
        <v>19959</v>
      </c>
      <c r="K22" s="44">
        <f t="shared" si="2"/>
        <v>19959</v>
      </c>
      <c r="L22" s="52">
        <v>20255</v>
      </c>
      <c r="M22" s="51">
        <v>1.3521000000000001</v>
      </c>
      <c r="N22" s="51">
        <v>1.2255</v>
      </c>
      <c r="O22" s="50">
        <v>103.28</v>
      </c>
      <c r="P22" s="43">
        <v>14980.4</v>
      </c>
      <c r="Q22" s="43">
        <v>14917.61</v>
      </c>
      <c r="R22" s="49">
        <f t="shared" si="3"/>
        <v>16527.94777641779</v>
      </c>
      <c r="S22" s="48">
        <v>1.3532999999999999</v>
      </c>
    </row>
    <row r="23" spans="2:19" x14ac:dyDescent="0.2">
      <c r="B23" s="47">
        <v>44186</v>
      </c>
      <c r="C23" s="46">
        <v>20038</v>
      </c>
      <c r="D23" s="45">
        <v>20038</v>
      </c>
      <c r="E23" s="44">
        <f t="shared" si="0"/>
        <v>20038</v>
      </c>
      <c r="F23" s="46">
        <v>19932</v>
      </c>
      <c r="G23" s="45">
        <v>19932</v>
      </c>
      <c r="H23" s="44">
        <f t="shared" si="1"/>
        <v>19932</v>
      </c>
      <c r="I23" s="46">
        <v>19679</v>
      </c>
      <c r="J23" s="45">
        <v>19679</v>
      </c>
      <c r="K23" s="44">
        <f t="shared" si="2"/>
        <v>19679</v>
      </c>
      <c r="L23" s="52">
        <v>20038</v>
      </c>
      <c r="M23" s="51">
        <v>1.3282</v>
      </c>
      <c r="N23" s="51">
        <v>1.2163999999999999</v>
      </c>
      <c r="O23" s="50">
        <v>103.59</v>
      </c>
      <c r="P23" s="43">
        <v>15086.58</v>
      </c>
      <c r="Q23" s="43">
        <v>14989.85</v>
      </c>
      <c r="R23" s="49">
        <f t="shared" si="3"/>
        <v>16473.199605392965</v>
      </c>
      <c r="S23" s="48">
        <v>1.3297000000000001</v>
      </c>
    </row>
    <row r="24" spans="2:19" x14ac:dyDescent="0.2">
      <c r="B24" s="47">
        <v>44187</v>
      </c>
      <c r="C24" s="46">
        <v>20110</v>
      </c>
      <c r="D24" s="45">
        <v>20110</v>
      </c>
      <c r="E24" s="44">
        <f t="shared" si="0"/>
        <v>20110</v>
      </c>
      <c r="F24" s="46">
        <v>20014</v>
      </c>
      <c r="G24" s="45">
        <v>20014</v>
      </c>
      <c r="H24" s="44">
        <f t="shared" si="1"/>
        <v>20014</v>
      </c>
      <c r="I24" s="46">
        <v>19735</v>
      </c>
      <c r="J24" s="45">
        <v>19735</v>
      </c>
      <c r="K24" s="44">
        <f t="shared" si="2"/>
        <v>19735</v>
      </c>
      <c r="L24" s="52">
        <v>20110</v>
      </c>
      <c r="M24" s="51">
        <v>1.3415999999999999</v>
      </c>
      <c r="N24" s="51">
        <v>1.224</v>
      </c>
      <c r="O24" s="50">
        <v>103.38</v>
      </c>
      <c r="P24" s="43">
        <v>14989.56</v>
      </c>
      <c r="Q24" s="43">
        <v>14900.24</v>
      </c>
      <c r="R24" s="49">
        <f t="shared" si="3"/>
        <v>16429.738562091505</v>
      </c>
      <c r="S24" s="48">
        <v>1.3431999999999999</v>
      </c>
    </row>
    <row r="25" spans="2:19" x14ac:dyDescent="0.2">
      <c r="B25" s="47">
        <v>44188</v>
      </c>
      <c r="C25" s="46">
        <v>20190</v>
      </c>
      <c r="D25" s="45">
        <v>20190</v>
      </c>
      <c r="E25" s="44">
        <f t="shared" si="0"/>
        <v>20190</v>
      </c>
      <c r="F25" s="46">
        <v>20025</v>
      </c>
      <c r="G25" s="45">
        <v>20025</v>
      </c>
      <c r="H25" s="44">
        <f t="shared" si="1"/>
        <v>20025</v>
      </c>
      <c r="I25" s="46">
        <v>19775</v>
      </c>
      <c r="J25" s="45">
        <v>19775</v>
      </c>
      <c r="K25" s="44">
        <f t="shared" si="2"/>
        <v>19775</v>
      </c>
      <c r="L25" s="52">
        <v>20190</v>
      </c>
      <c r="M25" s="51">
        <v>1.3426</v>
      </c>
      <c r="N25" s="51">
        <v>1.2181999999999999</v>
      </c>
      <c r="O25" s="50">
        <v>103.48</v>
      </c>
      <c r="P25" s="43">
        <v>15037.99</v>
      </c>
      <c r="Q25" s="43">
        <v>14898.45</v>
      </c>
      <c r="R25" s="49">
        <f t="shared" si="3"/>
        <v>16573.633229354786</v>
      </c>
      <c r="S25" s="48">
        <v>1.3441000000000001</v>
      </c>
    </row>
    <row r="26" spans="2:19" x14ac:dyDescent="0.2">
      <c r="B26" s="47">
        <v>44189</v>
      </c>
      <c r="C26" s="46">
        <v>20277</v>
      </c>
      <c r="D26" s="45">
        <v>20277</v>
      </c>
      <c r="E26" s="44">
        <f t="shared" si="0"/>
        <v>20277</v>
      </c>
      <c r="F26" s="46">
        <v>20100</v>
      </c>
      <c r="G26" s="45">
        <v>20100</v>
      </c>
      <c r="H26" s="44">
        <f t="shared" si="1"/>
        <v>20100</v>
      </c>
      <c r="I26" s="46">
        <v>19821</v>
      </c>
      <c r="J26" s="45">
        <v>19821</v>
      </c>
      <c r="K26" s="44">
        <f t="shared" si="2"/>
        <v>19821</v>
      </c>
      <c r="L26" s="52">
        <v>20277</v>
      </c>
      <c r="M26" s="51">
        <v>1.3582000000000001</v>
      </c>
      <c r="N26" s="51">
        <v>1.2188000000000001</v>
      </c>
      <c r="O26" s="50">
        <v>103.67</v>
      </c>
      <c r="P26" s="43">
        <v>14929.32</v>
      </c>
      <c r="Q26" s="43">
        <v>14783.76</v>
      </c>
      <c r="R26" s="49">
        <f t="shared" si="3"/>
        <v>16636.855923859534</v>
      </c>
      <c r="S26" s="48">
        <v>1.3595999999999999</v>
      </c>
    </row>
    <row r="27" spans="2:19" x14ac:dyDescent="0.2">
      <c r="B27" s="47">
        <v>44194</v>
      </c>
      <c r="C27" s="46">
        <v>20513</v>
      </c>
      <c r="D27" s="45">
        <v>20513</v>
      </c>
      <c r="E27" s="44">
        <f t="shared" si="0"/>
        <v>20513</v>
      </c>
      <c r="F27" s="46">
        <v>20300</v>
      </c>
      <c r="G27" s="45">
        <v>20300</v>
      </c>
      <c r="H27" s="44">
        <f t="shared" si="1"/>
        <v>20300</v>
      </c>
      <c r="I27" s="46">
        <v>20024</v>
      </c>
      <c r="J27" s="45">
        <v>20024</v>
      </c>
      <c r="K27" s="44">
        <f t="shared" si="2"/>
        <v>20024</v>
      </c>
      <c r="L27" s="52">
        <v>20513</v>
      </c>
      <c r="M27" s="51">
        <v>1.3488</v>
      </c>
      <c r="N27" s="51">
        <v>1.2256</v>
      </c>
      <c r="O27" s="50">
        <v>103.68</v>
      </c>
      <c r="P27" s="43">
        <v>15208.33</v>
      </c>
      <c r="Q27" s="43">
        <v>15038.15</v>
      </c>
      <c r="R27" s="49">
        <f t="shared" si="3"/>
        <v>16737.108355091383</v>
      </c>
      <c r="S27" s="48">
        <v>1.3499000000000001</v>
      </c>
    </row>
    <row r="28" spans="2:19" x14ac:dyDescent="0.2">
      <c r="B28" s="47">
        <v>44195</v>
      </c>
      <c r="C28" s="46">
        <v>20541</v>
      </c>
      <c r="D28" s="45">
        <v>20541</v>
      </c>
      <c r="E28" s="44">
        <f t="shared" si="0"/>
        <v>20541</v>
      </c>
      <c r="F28" s="46">
        <v>20270</v>
      </c>
      <c r="G28" s="45">
        <v>20270</v>
      </c>
      <c r="H28" s="44">
        <f t="shared" si="1"/>
        <v>20270</v>
      </c>
      <c r="I28" s="46">
        <v>20004</v>
      </c>
      <c r="J28" s="45">
        <v>20004</v>
      </c>
      <c r="K28" s="44">
        <f t="shared" si="2"/>
        <v>20004</v>
      </c>
      <c r="L28" s="52">
        <v>20541</v>
      </c>
      <c r="M28" s="51">
        <v>1.3594999999999999</v>
      </c>
      <c r="N28" s="51">
        <v>1.2290000000000001</v>
      </c>
      <c r="O28" s="50">
        <v>103.08</v>
      </c>
      <c r="P28" s="43">
        <v>15109.23</v>
      </c>
      <c r="Q28" s="43">
        <v>14901.12</v>
      </c>
      <c r="R28" s="49">
        <f t="shared" si="3"/>
        <v>16713.588283157038</v>
      </c>
      <c r="S28" s="48">
        <v>1.3603000000000001</v>
      </c>
    </row>
    <row r="29" spans="2:19" x14ac:dyDescent="0.2">
      <c r="B29" s="47">
        <v>44196</v>
      </c>
      <c r="C29" s="46">
        <v>20540</v>
      </c>
      <c r="D29" s="45">
        <v>20540</v>
      </c>
      <c r="E29" s="44">
        <f t="shared" si="0"/>
        <v>20540</v>
      </c>
      <c r="F29" s="46">
        <v>20290</v>
      </c>
      <c r="G29" s="45">
        <v>20290</v>
      </c>
      <c r="H29" s="44">
        <f t="shared" si="1"/>
        <v>20290</v>
      </c>
      <c r="I29" s="46">
        <v>20029</v>
      </c>
      <c r="J29" s="45">
        <v>20029</v>
      </c>
      <c r="K29" s="44">
        <f t="shared" si="2"/>
        <v>20029</v>
      </c>
      <c r="L29" s="52">
        <v>20540</v>
      </c>
      <c r="M29" s="51">
        <v>1.3663000000000001</v>
      </c>
      <c r="N29" s="51">
        <v>1.2272000000000001</v>
      </c>
      <c r="O29" s="50">
        <v>103.07</v>
      </c>
      <c r="P29" s="43">
        <v>15033.3</v>
      </c>
      <c r="Q29" s="43">
        <v>14841.64</v>
      </c>
      <c r="R29" s="49">
        <f t="shared" si="3"/>
        <v>16737.288135593219</v>
      </c>
      <c r="S29" s="48">
        <v>1.3671</v>
      </c>
    </row>
    <row r="30" spans="2:19" s="10" customFormat="1" x14ac:dyDescent="0.2">
      <c r="B30" s="42" t="s">
        <v>11</v>
      </c>
      <c r="C30" s="41">
        <f>ROUND(AVERAGE(C9:C29),2)</f>
        <v>19727.330000000002</v>
      </c>
      <c r="D30" s="40">
        <f>ROUND(AVERAGE(D9:D29),2)</f>
        <v>19727.330000000002</v>
      </c>
      <c r="E30" s="39">
        <f>ROUND(AVERAGE(C30:D30),2)</f>
        <v>19727.330000000002</v>
      </c>
      <c r="F30" s="41">
        <f>ROUND(AVERAGE(F9:F29),2)</f>
        <v>19642.52</v>
      </c>
      <c r="G30" s="40">
        <f>ROUND(AVERAGE(G9:G29),2)</f>
        <v>19642.52</v>
      </c>
      <c r="H30" s="39">
        <f>ROUND(AVERAGE(F30:G30),2)</f>
        <v>19642.52</v>
      </c>
      <c r="I30" s="41">
        <f>ROUND(AVERAGE(I9:I29),2)</f>
        <v>19419.330000000002</v>
      </c>
      <c r="J30" s="40">
        <f>ROUND(AVERAGE(J9:J29),2)</f>
        <v>19419.330000000002</v>
      </c>
      <c r="K30" s="39">
        <f>ROUND(AVERAGE(I30:J30),2)</f>
        <v>19419.330000000002</v>
      </c>
      <c r="L30" s="38">
        <f>ROUND(AVERAGE(L9:L29),2)</f>
        <v>19727.330000000002</v>
      </c>
      <c r="M30" s="37">
        <f>ROUND(AVERAGE(M9:M29),4)</f>
        <v>1.3426</v>
      </c>
      <c r="N30" s="36">
        <f>ROUND(AVERAGE(N9:N29),4)</f>
        <v>1.2165999999999999</v>
      </c>
      <c r="O30" s="175">
        <f>ROUND(AVERAGE(O9:O29),2)</f>
        <v>103.78</v>
      </c>
      <c r="P30" s="35">
        <f>AVERAGE(P9:P29)</f>
        <v>14692.617142857142</v>
      </c>
      <c r="Q30" s="35">
        <f>AVERAGE(Q9:Q29)</f>
        <v>14616.425714285717</v>
      </c>
      <c r="R30" s="35">
        <f>AVERAGE(R9:R29)</f>
        <v>16212.938634787542</v>
      </c>
      <c r="S30" s="34">
        <f>AVERAGE(S9:S29)</f>
        <v>1.3438047619047619</v>
      </c>
    </row>
    <row r="31" spans="2:19" s="5" customFormat="1" x14ac:dyDescent="0.2">
      <c r="B31" s="33" t="s">
        <v>12</v>
      </c>
      <c r="C31" s="32">
        <f t="shared" ref="C31:S31" si="4">MAX(C9:C29)</f>
        <v>20541</v>
      </c>
      <c r="D31" s="31">
        <f t="shared" si="4"/>
        <v>20541</v>
      </c>
      <c r="E31" s="30">
        <f t="shared" si="4"/>
        <v>20541</v>
      </c>
      <c r="F31" s="32">
        <f t="shared" si="4"/>
        <v>20300</v>
      </c>
      <c r="G31" s="31">
        <f t="shared" si="4"/>
        <v>20300</v>
      </c>
      <c r="H31" s="30">
        <f t="shared" si="4"/>
        <v>20300</v>
      </c>
      <c r="I31" s="32">
        <f t="shared" si="4"/>
        <v>20029</v>
      </c>
      <c r="J31" s="31">
        <f t="shared" si="4"/>
        <v>20029</v>
      </c>
      <c r="K31" s="30">
        <f t="shared" si="4"/>
        <v>20029</v>
      </c>
      <c r="L31" s="29">
        <f t="shared" si="4"/>
        <v>20541</v>
      </c>
      <c r="M31" s="28">
        <f t="shared" si="4"/>
        <v>1.3663000000000001</v>
      </c>
      <c r="N31" s="27">
        <f t="shared" si="4"/>
        <v>1.2290000000000001</v>
      </c>
      <c r="O31" s="26">
        <f t="shared" si="4"/>
        <v>104.66</v>
      </c>
      <c r="P31" s="25">
        <f t="shared" si="4"/>
        <v>15208.33</v>
      </c>
      <c r="Q31" s="25">
        <f t="shared" si="4"/>
        <v>15038.15</v>
      </c>
      <c r="R31" s="25">
        <f t="shared" si="4"/>
        <v>16737.288135593219</v>
      </c>
      <c r="S31" s="24">
        <f t="shared" si="4"/>
        <v>1.3671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18850</v>
      </c>
      <c r="D32" s="21">
        <f t="shared" si="5"/>
        <v>18850</v>
      </c>
      <c r="E32" s="20">
        <f t="shared" si="5"/>
        <v>18850</v>
      </c>
      <c r="F32" s="22">
        <f t="shared" si="5"/>
        <v>18831</v>
      </c>
      <c r="G32" s="21">
        <f t="shared" si="5"/>
        <v>18831</v>
      </c>
      <c r="H32" s="20">
        <f t="shared" si="5"/>
        <v>18831</v>
      </c>
      <c r="I32" s="22">
        <f t="shared" si="5"/>
        <v>18621</v>
      </c>
      <c r="J32" s="21">
        <f t="shared" si="5"/>
        <v>18621</v>
      </c>
      <c r="K32" s="20">
        <f t="shared" si="5"/>
        <v>18621</v>
      </c>
      <c r="L32" s="19">
        <f t="shared" si="5"/>
        <v>18850</v>
      </c>
      <c r="M32" s="18">
        <f t="shared" si="5"/>
        <v>1.3167</v>
      </c>
      <c r="N32" s="17">
        <f t="shared" si="5"/>
        <v>1.1967000000000001</v>
      </c>
      <c r="O32" s="16">
        <f t="shared" si="5"/>
        <v>103.02</v>
      </c>
      <c r="P32" s="15">
        <f t="shared" si="5"/>
        <v>14012.79</v>
      </c>
      <c r="Q32" s="15">
        <f t="shared" si="5"/>
        <v>13987.22</v>
      </c>
      <c r="R32" s="15">
        <f t="shared" si="5"/>
        <v>15506.745640013161</v>
      </c>
      <c r="S32" s="14">
        <f t="shared" si="5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44166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44166</v>
      </c>
      <c r="C9" s="46">
        <v>16102</v>
      </c>
      <c r="D9" s="45">
        <v>16102</v>
      </c>
      <c r="E9" s="44">
        <f t="shared" ref="E9:E29" si="0">AVERAGE(C9:D9)</f>
        <v>16102</v>
      </c>
      <c r="F9" s="46">
        <v>16150</v>
      </c>
      <c r="G9" s="45">
        <v>16150</v>
      </c>
      <c r="H9" s="44">
        <f t="shared" ref="H9:H29" si="1">AVERAGE(F9:G9)</f>
        <v>16150</v>
      </c>
      <c r="I9" s="46">
        <v>16269</v>
      </c>
      <c r="J9" s="45">
        <v>16269</v>
      </c>
      <c r="K9" s="44">
        <f t="shared" ref="K9:K29" si="2">AVERAGE(I9:J9)</f>
        <v>16269</v>
      </c>
      <c r="L9" s="46">
        <v>16439</v>
      </c>
      <c r="M9" s="45">
        <v>16439</v>
      </c>
      <c r="N9" s="44">
        <f t="shared" ref="N9:N29" si="3">AVERAGE(L9:M9)</f>
        <v>16439</v>
      </c>
      <c r="O9" s="46">
        <v>16614</v>
      </c>
      <c r="P9" s="45">
        <v>16614</v>
      </c>
      <c r="Q9" s="44">
        <f t="shared" ref="Q9:Q29" si="4">AVERAGE(O9:P9)</f>
        <v>16614</v>
      </c>
      <c r="R9" s="52">
        <v>16102</v>
      </c>
      <c r="S9" s="51">
        <v>1.3331</v>
      </c>
      <c r="T9" s="53">
        <v>1.1967000000000001</v>
      </c>
      <c r="U9" s="50">
        <v>104.4</v>
      </c>
      <c r="V9" s="43">
        <v>12078.61</v>
      </c>
      <c r="W9" s="43">
        <v>12103.72</v>
      </c>
      <c r="X9" s="49">
        <f t="shared" ref="X9:X29" si="5">R9/T9</f>
        <v>13455.335505974763</v>
      </c>
      <c r="Y9" s="48">
        <v>1.3343</v>
      </c>
    </row>
    <row r="10" spans="1:25" x14ac:dyDescent="0.2">
      <c r="B10" s="47">
        <v>44167</v>
      </c>
      <c r="C10" s="46">
        <v>15850</v>
      </c>
      <c r="D10" s="45">
        <v>15850</v>
      </c>
      <c r="E10" s="44">
        <f t="shared" si="0"/>
        <v>15850</v>
      </c>
      <c r="F10" s="46">
        <v>15906</v>
      </c>
      <c r="G10" s="45">
        <v>15906</v>
      </c>
      <c r="H10" s="44">
        <f t="shared" si="1"/>
        <v>15906</v>
      </c>
      <c r="I10" s="46">
        <v>16029</v>
      </c>
      <c r="J10" s="45">
        <v>16029</v>
      </c>
      <c r="K10" s="44">
        <f t="shared" si="2"/>
        <v>16029</v>
      </c>
      <c r="L10" s="46">
        <v>16199</v>
      </c>
      <c r="M10" s="45">
        <v>16199</v>
      </c>
      <c r="N10" s="44">
        <f t="shared" si="3"/>
        <v>16199</v>
      </c>
      <c r="O10" s="46">
        <v>16374</v>
      </c>
      <c r="P10" s="45">
        <v>16374</v>
      </c>
      <c r="Q10" s="44">
        <f t="shared" si="4"/>
        <v>16374</v>
      </c>
      <c r="R10" s="52">
        <v>15850</v>
      </c>
      <c r="S10" s="51">
        <v>1.3328</v>
      </c>
      <c r="T10" s="51">
        <v>1.206</v>
      </c>
      <c r="U10" s="50">
        <v>104.66</v>
      </c>
      <c r="V10" s="43">
        <v>11892.26</v>
      </c>
      <c r="W10" s="43">
        <v>11924.43</v>
      </c>
      <c r="X10" s="49">
        <f t="shared" si="5"/>
        <v>13142.620232172472</v>
      </c>
      <c r="Y10" s="48">
        <v>1.3339000000000001</v>
      </c>
    </row>
    <row r="11" spans="1:25" x14ac:dyDescent="0.2">
      <c r="B11" s="47">
        <v>44168</v>
      </c>
      <c r="C11" s="46">
        <v>15937</v>
      </c>
      <c r="D11" s="45">
        <v>15937</v>
      </c>
      <c r="E11" s="44">
        <f t="shared" si="0"/>
        <v>15937</v>
      </c>
      <c r="F11" s="46">
        <v>15996</v>
      </c>
      <c r="G11" s="45">
        <v>15996</v>
      </c>
      <c r="H11" s="44">
        <f t="shared" si="1"/>
        <v>15996</v>
      </c>
      <c r="I11" s="46">
        <v>16116</v>
      </c>
      <c r="J11" s="45">
        <v>16116</v>
      </c>
      <c r="K11" s="44">
        <f t="shared" si="2"/>
        <v>16116</v>
      </c>
      <c r="L11" s="46">
        <v>16286</v>
      </c>
      <c r="M11" s="45">
        <v>16286</v>
      </c>
      <c r="N11" s="44">
        <f t="shared" si="3"/>
        <v>16286</v>
      </c>
      <c r="O11" s="46">
        <v>16461</v>
      </c>
      <c r="P11" s="45">
        <v>16461</v>
      </c>
      <c r="Q11" s="44">
        <f t="shared" si="4"/>
        <v>16461</v>
      </c>
      <c r="R11" s="52">
        <v>15937</v>
      </c>
      <c r="S11" s="51">
        <v>1.3452</v>
      </c>
      <c r="T11" s="51">
        <v>1.2156</v>
      </c>
      <c r="U11" s="50">
        <v>104.09</v>
      </c>
      <c r="V11" s="43">
        <v>11847.31</v>
      </c>
      <c r="W11" s="43">
        <v>11881.45</v>
      </c>
      <c r="X11" s="49">
        <f t="shared" si="5"/>
        <v>13110.398157288582</v>
      </c>
      <c r="Y11" s="48">
        <v>1.3463000000000001</v>
      </c>
    </row>
    <row r="12" spans="1:25" x14ac:dyDescent="0.2">
      <c r="B12" s="47">
        <v>44169</v>
      </c>
      <c r="C12" s="46">
        <v>16020</v>
      </c>
      <c r="D12" s="45">
        <v>16020</v>
      </c>
      <c r="E12" s="44">
        <f t="shared" si="0"/>
        <v>16020</v>
      </c>
      <c r="F12" s="46">
        <v>16064</v>
      </c>
      <c r="G12" s="45">
        <v>16064</v>
      </c>
      <c r="H12" s="44">
        <f t="shared" si="1"/>
        <v>16064</v>
      </c>
      <c r="I12" s="46">
        <v>16182</v>
      </c>
      <c r="J12" s="45">
        <v>16182</v>
      </c>
      <c r="K12" s="44">
        <f t="shared" si="2"/>
        <v>16182</v>
      </c>
      <c r="L12" s="46">
        <v>16358</v>
      </c>
      <c r="M12" s="45">
        <v>16358</v>
      </c>
      <c r="N12" s="44">
        <f t="shared" si="3"/>
        <v>16358</v>
      </c>
      <c r="O12" s="46">
        <v>16533</v>
      </c>
      <c r="P12" s="45">
        <v>16533</v>
      </c>
      <c r="Q12" s="44">
        <f t="shared" si="4"/>
        <v>16533</v>
      </c>
      <c r="R12" s="52">
        <v>16020</v>
      </c>
      <c r="S12" s="51">
        <v>1.3463000000000001</v>
      </c>
      <c r="T12" s="51">
        <v>1.216</v>
      </c>
      <c r="U12" s="50">
        <v>104</v>
      </c>
      <c r="V12" s="43">
        <v>11899.28</v>
      </c>
      <c r="W12" s="43">
        <v>11922.22</v>
      </c>
      <c r="X12" s="49">
        <f t="shared" si="5"/>
        <v>13174.342105263158</v>
      </c>
      <c r="Y12" s="48">
        <v>1.3473999999999999</v>
      </c>
    </row>
    <row r="13" spans="1:25" x14ac:dyDescent="0.2">
      <c r="B13" s="47">
        <v>44172</v>
      </c>
      <c r="C13" s="46">
        <v>16290</v>
      </c>
      <c r="D13" s="45">
        <v>16290</v>
      </c>
      <c r="E13" s="44">
        <f t="shared" si="0"/>
        <v>16290</v>
      </c>
      <c r="F13" s="46">
        <v>16348</v>
      </c>
      <c r="G13" s="45">
        <v>16348</v>
      </c>
      <c r="H13" s="44">
        <f t="shared" si="1"/>
        <v>16348</v>
      </c>
      <c r="I13" s="46">
        <v>16463</v>
      </c>
      <c r="J13" s="45">
        <v>16463</v>
      </c>
      <c r="K13" s="44">
        <f t="shared" si="2"/>
        <v>16463</v>
      </c>
      <c r="L13" s="46">
        <v>16628</v>
      </c>
      <c r="M13" s="45">
        <v>16628</v>
      </c>
      <c r="N13" s="44">
        <f t="shared" si="3"/>
        <v>16628</v>
      </c>
      <c r="O13" s="46">
        <v>16798</v>
      </c>
      <c r="P13" s="45">
        <v>16798</v>
      </c>
      <c r="Q13" s="44">
        <f t="shared" si="4"/>
        <v>16798</v>
      </c>
      <c r="R13" s="52">
        <v>16290</v>
      </c>
      <c r="S13" s="51">
        <v>1.3270999999999999</v>
      </c>
      <c r="T13" s="51">
        <v>1.2117</v>
      </c>
      <c r="U13" s="50">
        <v>104.17</v>
      </c>
      <c r="V13" s="43">
        <v>12274.89</v>
      </c>
      <c r="W13" s="43">
        <v>12307.46</v>
      </c>
      <c r="X13" s="49">
        <f t="shared" si="5"/>
        <v>13443.921762812577</v>
      </c>
      <c r="Y13" s="48">
        <v>1.3283</v>
      </c>
    </row>
    <row r="14" spans="1:25" x14ac:dyDescent="0.2">
      <c r="B14" s="47">
        <v>44173</v>
      </c>
      <c r="C14" s="46">
        <v>16390</v>
      </c>
      <c r="D14" s="45">
        <v>16390</v>
      </c>
      <c r="E14" s="44">
        <f t="shared" si="0"/>
        <v>16390</v>
      </c>
      <c r="F14" s="46">
        <v>16454</v>
      </c>
      <c r="G14" s="45">
        <v>16454</v>
      </c>
      <c r="H14" s="44">
        <f t="shared" si="1"/>
        <v>16454</v>
      </c>
      <c r="I14" s="46">
        <v>16582</v>
      </c>
      <c r="J14" s="45">
        <v>16582</v>
      </c>
      <c r="K14" s="44">
        <f t="shared" si="2"/>
        <v>16582</v>
      </c>
      <c r="L14" s="46">
        <v>16749</v>
      </c>
      <c r="M14" s="45">
        <v>16749</v>
      </c>
      <c r="N14" s="44">
        <f t="shared" si="3"/>
        <v>16749</v>
      </c>
      <c r="O14" s="46">
        <v>16919</v>
      </c>
      <c r="P14" s="45">
        <v>16919</v>
      </c>
      <c r="Q14" s="44">
        <f t="shared" si="4"/>
        <v>16919</v>
      </c>
      <c r="R14" s="52">
        <v>16390</v>
      </c>
      <c r="S14" s="51">
        <v>1.3301000000000001</v>
      </c>
      <c r="T14" s="51">
        <v>1.2115</v>
      </c>
      <c r="U14" s="50">
        <v>104.15</v>
      </c>
      <c r="V14" s="43">
        <v>12322.38</v>
      </c>
      <c r="W14" s="43">
        <v>12357.49</v>
      </c>
      <c r="X14" s="49">
        <f t="shared" si="5"/>
        <v>13528.683450268261</v>
      </c>
      <c r="Y14" s="48">
        <v>1.3314999999999999</v>
      </c>
    </row>
    <row r="15" spans="1:25" x14ac:dyDescent="0.2">
      <c r="B15" s="47">
        <v>44174</v>
      </c>
      <c r="C15" s="46">
        <v>16475</v>
      </c>
      <c r="D15" s="45">
        <v>16475</v>
      </c>
      <c r="E15" s="44">
        <f t="shared" si="0"/>
        <v>16475</v>
      </c>
      <c r="F15" s="46">
        <v>16519</v>
      </c>
      <c r="G15" s="45">
        <v>16519</v>
      </c>
      <c r="H15" s="44">
        <f t="shared" si="1"/>
        <v>16519</v>
      </c>
      <c r="I15" s="46">
        <v>16650</v>
      </c>
      <c r="J15" s="45">
        <v>16650</v>
      </c>
      <c r="K15" s="44">
        <f t="shared" si="2"/>
        <v>16650</v>
      </c>
      <c r="L15" s="46">
        <v>16820</v>
      </c>
      <c r="M15" s="45">
        <v>16820</v>
      </c>
      <c r="N15" s="44">
        <f t="shared" si="3"/>
        <v>16820</v>
      </c>
      <c r="O15" s="46">
        <v>16992</v>
      </c>
      <c r="P15" s="45">
        <v>16992</v>
      </c>
      <c r="Q15" s="44">
        <f t="shared" si="4"/>
        <v>16992</v>
      </c>
      <c r="R15" s="52">
        <v>16475</v>
      </c>
      <c r="S15" s="51">
        <v>1.3452</v>
      </c>
      <c r="T15" s="51">
        <v>1.2109000000000001</v>
      </c>
      <c r="U15" s="50">
        <v>104.12</v>
      </c>
      <c r="V15" s="43">
        <v>12247.25</v>
      </c>
      <c r="W15" s="43">
        <v>12268.1</v>
      </c>
      <c r="X15" s="49">
        <f t="shared" si="5"/>
        <v>13605.582624494176</v>
      </c>
      <c r="Y15" s="48">
        <v>1.3465</v>
      </c>
    </row>
    <row r="16" spans="1:25" x14ac:dyDescent="0.2">
      <c r="B16" s="47">
        <v>44175</v>
      </c>
      <c r="C16" s="46">
        <v>16807</v>
      </c>
      <c r="D16" s="45">
        <v>16807</v>
      </c>
      <c r="E16" s="44">
        <f t="shared" si="0"/>
        <v>16807</v>
      </c>
      <c r="F16" s="46">
        <v>16891</v>
      </c>
      <c r="G16" s="45">
        <v>16891</v>
      </c>
      <c r="H16" s="44">
        <f t="shared" si="1"/>
        <v>16891</v>
      </c>
      <c r="I16" s="46">
        <v>17021</v>
      </c>
      <c r="J16" s="45">
        <v>17021</v>
      </c>
      <c r="K16" s="44">
        <f t="shared" si="2"/>
        <v>17021</v>
      </c>
      <c r="L16" s="46">
        <v>17189</v>
      </c>
      <c r="M16" s="45">
        <v>17189</v>
      </c>
      <c r="N16" s="44">
        <f t="shared" si="3"/>
        <v>17189</v>
      </c>
      <c r="O16" s="46">
        <v>17359</v>
      </c>
      <c r="P16" s="45">
        <v>17359</v>
      </c>
      <c r="Q16" s="44">
        <f t="shared" si="4"/>
        <v>17359</v>
      </c>
      <c r="R16" s="52">
        <v>16807</v>
      </c>
      <c r="S16" s="51">
        <v>1.3295999999999999</v>
      </c>
      <c r="T16" s="51">
        <v>1.2111000000000001</v>
      </c>
      <c r="U16" s="50">
        <v>104.45</v>
      </c>
      <c r="V16" s="43">
        <v>12640.64</v>
      </c>
      <c r="W16" s="43">
        <v>12692.37</v>
      </c>
      <c r="X16" s="49">
        <f t="shared" si="5"/>
        <v>13877.466765750143</v>
      </c>
      <c r="Y16" s="48">
        <v>1.3308</v>
      </c>
    </row>
    <row r="17" spans="2:25" x14ac:dyDescent="0.2">
      <c r="B17" s="47">
        <v>44176</v>
      </c>
      <c r="C17" s="46">
        <v>17192</v>
      </c>
      <c r="D17" s="45">
        <v>17192</v>
      </c>
      <c r="E17" s="44">
        <f t="shared" si="0"/>
        <v>17192</v>
      </c>
      <c r="F17" s="46">
        <v>17254</v>
      </c>
      <c r="G17" s="45">
        <v>17254</v>
      </c>
      <c r="H17" s="44">
        <f t="shared" si="1"/>
        <v>17254</v>
      </c>
      <c r="I17" s="46">
        <v>17380</v>
      </c>
      <c r="J17" s="45">
        <v>17380</v>
      </c>
      <c r="K17" s="44">
        <f t="shared" si="2"/>
        <v>17380</v>
      </c>
      <c r="L17" s="46">
        <v>17530</v>
      </c>
      <c r="M17" s="45">
        <v>17530</v>
      </c>
      <c r="N17" s="44">
        <f t="shared" si="3"/>
        <v>17530</v>
      </c>
      <c r="O17" s="46">
        <v>17680</v>
      </c>
      <c r="P17" s="45">
        <v>17680</v>
      </c>
      <c r="Q17" s="44">
        <f t="shared" si="4"/>
        <v>17680</v>
      </c>
      <c r="R17" s="52">
        <v>17192</v>
      </c>
      <c r="S17" s="51">
        <v>1.3167</v>
      </c>
      <c r="T17" s="51">
        <v>1.2125999999999999</v>
      </c>
      <c r="U17" s="50">
        <v>104.12</v>
      </c>
      <c r="V17" s="43">
        <v>13056.88</v>
      </c>
      <c r="W17" s="43">
        <v>13092.04</v>
      </c>
      <c r="X17" s="49">
        <f t="shared" si="5"/>
        <v>14177.799769091211</v>
      </c>
      <c r="Y17" s="48">
        <v>1.3179000000000001</v>
      </c>
    </row>
    <row r="18" spans="2:25" x14ac:dyDescent="0.2">
      <c r="B18" s="47">
        <v>44179</v>
      </c>
      <c r="C18" s="46">
        <v>17594</v>
      </c>
      <c r="D18" s="45">
        <v>17594</v>
      </c>
      <c r="E18" s="44">
        <f t="shared" si="0"/>
        <v>17594</v>
      </c>
      <c r="F18" s="46">
        <v>17651</v>
      </c>
      <c r="G18" s="45">
        <v>17651</v>
      </c>
      <c r="H18" s="44">
        <f t="shared" si="1"/>
        <v>17651</v>
      </c>
      <c r="I18" s="46">
        <v>17764</v>
      </c>
      <c r="J18" s="45">
        <v>17764</v>
      </c>
      <c r="K18" s="44">
        <f t="shared" si="2"/>
        <v>17764</v>
      </c>
      <c r="L18" s="46">
        <v>17919</v>
      </c>
      <c r="M18" s="45">
        <v>17919</v>
      </c>
      <c r="N18" s="44">
        <f t="shared" si="3"/>
        <v>17919</v>
      </c>
      <c r="O18" s="46">
        <v>18069</v>
      </c>
      <c r="P18" s="45">
        <v>18069</v>
      </c>
      <c r="Q18" s="44">
        <f t="shared" si="4"/>
        <v>18069</v>
      </c>
      <c r="R18" s="52">
        <v>17594</v>
      </c>
      <c r="S18" s="51">
        <v>1.3405</v>
      </c>
      <c r="T18" s="51">
        <v>1.2158</v>
      </c>
      <c r="U18" s="50">
        <v>103.72</v>
      </c>
      <c r="V18" s="43">
        <v>13124.95</v>
      </c>
      <c r="W18" s="43">
        <v>13155.7</v>
      </c>
      <c r="X18" s="49">
        <f t="shared" si="5"/>
        <v>14471.13012008554</v>
      </c>
      <c r="Y18" s="48">
        <v>1.3416999999999999</v>
      </c>
    </row>
    <row r="19" spans="2:25" x14ac:dyDescent="0.2">
      <c r="B19" s="47">
        <v>44180</v>
      </c>
      <c r="C19" s="46">
        <v>17650</v>
      </c>
      <c r="D19" s="45">
        <v>17650</v>
      </c>
      <c r="E19" s="44">
        <f t="shared" si="0"/>
        <v>17650</v>
      </c>
      <c r="F19" s="46">
        <v>17685</v>
      </c>
      <c r="G19" s="45">
        <v>17685</v>
      </c>
      <c r="H19" s="44">
        <f t="shared" si="1"/>
        <v>17685</v>
      </c>
      <c r="I19" s="46">
        <v>17796</v>
      </c>
      <c r="J19" s="45">
        <v>17796</v>
      </c>
      <c r="K19" s="44">
        <f t="shared" si="2"/>
        <v>17796</v>
      </c>
      <c r="L19" s="46">
        <v>17946</v>
      </c>
      <c r="M19" s="45">
        <v>17946</v>
      </c>
      <c r="N19" s="44">
        <f t="shared" si="3"/>
        <v>17946</v>
      </c>
      <c r="O19" s="46">
        <v>18101</v>
      </c>
      <c r="P19" s="45">
        <v>18101</v>
      </c>
      <c r="Q19" s="44">
        <f t="shared" si="4"/>
        <v>18101</v>
      </c>
      <c r="R19" s="52">
        <v>17650</v>
      </c>
      <c r="S19" s="51">
        <v>1.3366</v>
      </c>
      <c r="T19" s="51">
        <v>1.2122999999999999</v>
      </c>
      <c r="U19" s="50">
        <v>103.93</v>
      </c>
      <c r="V19" s="43">
        <v>13205.15</v>
      </c>
      <c r="W19" s="43">
        <v>13220.45</v>
      </c>
      <c r="X19" s="49">
        <f t="shared" si="5"/>
        <v>14559.102532376475</v>
      </c>
      <c r="Y19" s="48">
        <v>1.3376999999999999</v>
      </c>
    </row>
    <row r="20" spans="2:25" x14ac:dyDescent="0.2">
      <c r="B20" s="47">
        <v>44181</v>
      </c>
      <c r="C20" s="46">
        <v>17355</v>
      </c>
      <c r="D20" s="45">
        <v>17355</v>
      </c>
      <c r="E20" s="44">
        <f t="shared" si="0"/>
        <v>17355</v>
      </c>
      <c r="F20" s="46">
        <v>17429</v>
      </c>
      <c r="G20" s="45">
        <v>17429</v>
      </c>
      <c r="H20" s="44">
        <f t="shared" si="1"/>
        <v>17429</v>
      </c>
      <c r="I20" s="46">
        <v>17542</v>
      </c>
      <c r="J20" s="45">
        <v>17542</v>
      </c>
      <c r="K20" s="44">
        <f t="shared" si="2"/>
        <v>17542</v>
      </c>
      <c r="L20" s="46">
        <v>17694</v>
      </c>
      <c r="M20" s="45">
        <v>17694</v>
      </c>
      <c r="N20" s="44">
        <f t="shared" si="3"/>
        <v>17694</v>
      </c>
      <c r="O20" s="46">
        <v>17849</v>
      </c>
      <c r="P20" s="45">
        <v>17849</v>
      </c>
      <c r="Q20" s="44">
        <f t="shared" si="4"/>
        <v>17849</v>
      </c>
      <c r="R20" s="52">
        <v>17355</v>
      </c>
      <c r="S20" s="51">
        <v>1.3547</v>
      </c>
      <c r="T20" s="51">
        <v>1.2195</v>
      </c>
      <c r="U20" s="50">
        <v>103.3</v>
      </c>
      <c r="V20" s="43">
        <v>12810.95</v>
      </c>
      <c r="W20" s="43">
        <v>12854.19</v>
      </c>
      <c r="X20" s="49">
        <f t="shared" si="5"/>
        <v>14231.242312423125</v>
      </c>
      <c r="Y20" s="48">
        <v>1.3559000000000001</v>
      </c>
    </row>
    <row r="21" spans="2:25" x14ac:dyDescent="0.2">
      <c r="B21" s="47">
        <v>44182</v>
      </c>
      <c r="C21" s="46">
        <v>17520</v>
      </c>
      <c r="D21" s="45">
        <v>17520</v>
      </c>
      <c r="E21" s="44">
        <f t="shared" si="0"/>
        <v>17520</v>
      </c>
      <c r="F21" s="46">
        <v>17622</v>
      </c>
      <c r="G21" s="45">
        <v>17622</v>
      </c>
      <c r="H21" s="44">
        <f t="shared" si="1"/>
        <v>17622</v>
      </c>
      <c r="I21" s="46">
        <v>17740</v>
      </c>
      <c r="J21" s="45">
        <v>17740</v>
      </c>
      <c r="K21" s="44">
        <f t="shared" si="2"/>
        <v>17740</v>
      </c>
      <c r="L21" s="46">
        <v>17900</v>
      </c>
      <c r="M21" s="45">
        <v>17900</v>
      </c>
      <c r="N21" s="44">
        <f t="shared" si="3"/>
        <v>17900</v>
      </c>
      <c r="O21" s="46">
        <v>18057</v>
      </c>
      <c r="P21" s="45">
        <v>18057</v>
      </c>
      <c r="Q21" s="44">
        <f t="shared" si="4"/>
        <v>18057</v>
      </c>
      <c r="R21" s="52">
        <v>17520</v>
      </c>
      <c r="S21" s="51">
        <v>1.359</v>
      </c>
      <c r="T21" s="51">
        <v>1.2249000000000001</v>
      </c>
      <c r="U21" s="50">
        <v>103.02</v>
      </c>
      <c r="V21" s="43">
        <v>12891.83</v>
      </c>
      <c r="W21" s="43">
        <v>12952.59</v>
      </c>
      <c r="X21" s="49">
        <f t="shared" si="5"/>
        <v>14303.208425177565</v>
      </c>
      <c r="Y21" s="48">
        <v>1.3605</v>
      </c>
    </row>
    <row r="22" spans="2:25" x14ac:dyDescent="0.2">
      <c r="B22" s="47">
        <v>44183</v>
      </c>
      <c r="C22" s="46">
        <v>17551</v>
      </c>
      <c r="D22" s="45">
        <v>17551</v>
      </c>
      <c r="E22" s="44">
        <f t="shared" si="0"/>
        <v>17551</v>
      </c>
      <c r="F22" s="46">
        <v>17616</v>
      </c>
      <c r="G22" s="45">
        <v>17616</v>
      </c>
      <c r="H22" s="44">
        <f t="shared" si="1"/>
        <v>17616</v>
      </c>
      <c r="I22" s="46">
        <v>17737</v>
      </c>
      <c r="J22" s="45">
        <v>17737</v>
      </c>
      <c r="K22" s="44">
        <f t="shared" si="2"/>
        <v>17737</v>
      </c>
      <c r="L22" s="46">
        <v>17899</v>
      </c>
      <c r="M22" s="45">
        <v>17899</v>
      </c>
      <c r="N22" s="44">
        <f t="shared" si="3"/>
        <v>17899</v>
      </c>
      <c r="O22" s="46">
        <v>18059</v>
      </c>
      <c r="P22" s="45">
        <v>18059</v>
      </c>
      <c r="Q22" s="44">
        <f t="shared" si="4"/>
        <v>18059</v>
      </c>
      <c r="R22" s="52">
        <v>17551</v>
      </c>
      <c r="S22" s="51">
        <v>1.3521000000000001</v>
      </c>
      <c r="T22" s="51">
        <v>1.2255</v>
      </c>
      <c r="U22" s="50">
        <v>103.28</v>
      </c>
      <c r="V22" s="43">
        <v>12980.55</v>
      </c>
      <c r="W22" s="43">
        <v>13017.07</v>
      </c>
      <c r="X22" s="49">
        <f t="shared" si="5"/>
        <v>14321.501427988576</v>
      </c>
      <c r="Y22" s="48">
        <v>1.3532999999999999</v>
      </c>
    </row>
    <row r="23" spans="2:25" x14ac:dyDescent="0.2">
      <c r="B23" s="47">
        <v>44186</v>
      </c>
      <c r="C23" s="46">
        <v>17342</v>
      </c>
      <c r="D23" s="45">
        <v>17342</v>
      </c>
      <c r="E23" s="44">
        <f t="shared" si="0"/>
        <v>17342</v>
      </c>
      <c r="F23" s="46">
        <v>17416</v>
      </c>
      <c r="G23" s="45">
        <v>17416</v>
      </c>
      <c r="H23" s="44">
        <f t="shared" si="1"/>
        <v>17416</v>
      </c>
      <c r="I23" s="46">
        <v>17540</v>
      </c>
      <c r="J23" s="45">
        <v>17540</v>
      </c>
      <c r="K23" s="44">
        <f t="shared" si="2"/>
        <v>17540</v>
      </c>
      <c r="L23" s="46">
        <v>17707</v>
      </c>
      <c r="M23" s="45">
        <v>17707</v>
      </c>
      <c r="N23" s="44">
        <f t="shared" si="3"/>
        <v>17707</v>
      </c>
      <c r="O23" s="46">
        <v>17872</v>
      </c>
      <c r="P23" s="45">
        <v>17872</v>
      </c>
      <c r="Q23" s="44">
        <f t="shared" si="4"/>
        <v>17872</v>
      </c>
      <c r="R23" s="52">
        <v>17342</v>
      </c>
      <c r="S23" s="51">
        <v>1.3282</v>
      </c>
      <c r="T23" s="51">
        <v>1.2163999999999999</v>
      </c>
      <c r="U23" s="50">
        <v>103.59</v>
      </c>
      <c r="V23" s="43">
        <v>13056.77</v>
      </c>
      <c r="W23" s="43">
        <v>13097.69</v>
      </c>
      <c r="X23" s="49">
        <f t="shared" si="5"/>
        <v>14256.823413350872</v>
      </c>
      <c r="Y23" s="48">
        <v>1.3297000000000001</v>
      </c>
    </row>
    <row r="24" spans="2:25" x14ac:dyDescent="0.2">
      <c r="B24" s="47">
        <v>44187</v>
      </c>
      <c r="C24" s="46">
        <v>16913</v>
      </c>
      <c r="D24" s="45">
        <v>16913</v>
      </c>
      <c r="E24" s="44">
        <f t="shared" si="0"/>
        <v>16913</v>
      </c>
      <c r="F24" s="46">
        <v>16994</v>
      </c>
      <c r="G24" s="45">
        <v>16994</v>
      </c>
      <c r="H24" s="44">
        <f t="shared" si="1"/>
        <v>16994</v>
      </c>
      <c r="I24" s="46">
        <v>17130</v>
      </c>
      <c r="J24" s="45">
        <v>17130</v>
      </c>
      <c r="K24" s="44">
        <f t="shared" si="2"/>
        <v>17130</v>
      </c>
      <c r="L24" s="46">
        <v>17305</v>
      </c>
      <c r="M24" s="45">
        <v>17305</v>
      </c>
      <c r="N24" s="44">
        <f t="shared" si="3"/>
        <v>17305</v>
      </c>
      <c r="O24" s="46">
        <v>17473</v>
      </c>
      <c r="P24" s="45">
        <v>17473</v>
      </c>
      <c r="Q24" s="44">
        <f t="shared" si="4"/>
        <v>17473</v>
      </c>
      <c r="R24" s="52">
        <v>16913</v>
      </c>
      <c r="S24" s="51">
        <v>1.3415999999999999</v>
      </c>
      <c r="T24" s="51">
        <v>1.224</v>
      </c>
      <c r="U24" s="50">
        <v>103.38</v>
      </c>
      <c r="V24" s="43">
        <v>12606.59</v>
      </c>
      <c r="W24" s="43">
        <v>12651.88</v>
      </c>
      <c r="X24" s="49">
        <f t="shared" si="5"/>
        <v>13817.81045751634</v>
      </c>
      <c r="Y24" s="48">
        <v>1.3431999999999999</v>
      </c>
    </row>
    <row r="25" spans="2:25" x14ac:dyDescent="0.2">
      <c r="B25" s="47">
        <v>44188</v>
      </c>
      <c r="C25" s="46">
        <v>16691</v>
      </c>
      <c r="D25" s="45">
        <v>16691</v>
      </c>
      <c r="E25" s="44">
        <f t="shared" si="0"/>
        <v>16691</v>
      </c>
      <c r="F25" s="46">
        <v>16747</v>
      </c>
      <c r="G25" s="45">
        <v>16747</v>
      </c>
      <c r="H25" s="44">
        <f t="shared" si="1"/>
        <v>16747</v>
      </c>
      <c r="I25" s="46">
        <v>16890</v>
      </c>
      <c r="J25" s="45">
        <v>16890</v>
      </c>
      <c r="K25" s="44">
        <f t="shared" si="2"/>
        <v>16890</v>
      </c>
      <c r="L25" s="46">
        <v>17067</v>
      </c>
      <c r="M25" s="45">
        <v>17067</v>
      </c>
      <c r="N25" s="44">
        <f t="shared" si="3"/>
        <v>17067</v>
      </c>
      <c r="O25" s="46">
        <v>17242</v>
      </c>
      <c r="P25" s="45">
        <v>17242</v>
      </c>
      <c r="Q25" s="44">
        <f t="shared" si="4"/>
        <v>17242</v>
      </c>
      <c r="R25" s="52">
        <v>16691</v>
      </c>
      <c r="S25" s="51">
        <v>1.3426</v>
      </c>
      <c r="T25" s="51">
        <v>1.2181999999999999</v>
      </c>
      <c r="U25" s="50">
        <v>103.48</v>
      </c>
      <c r="V25" s="43">
        <v>12431.85</v>
      </c>
      <c r="W25" s="43">
        <v>12459.64</v>
      </c>
      <c r="X25" s="49">
        <f t="shared" si="5"/>
        <v>13701.362666228863</v>
      </c>
      <c r="Y25" s="48">
        <v>1.3441000000000001</v>
      </c>
    </row>
    <row r="26" spans="2:25" x14ac:dyDescent="0.2">
      <c r="B26" s="47">
        <v>44189</v>
      </c>
      <c r="C26" s="46">
        <v>16951</v>
      </c>
      <c r="D26" s="45">
        <v>16951</v>
      </c>
      <c r="E26" s="44">
        <f t="shared" si="0"/>
        <v>16951</v>
      </c>
      <c r="F26" s="46">
        <v>17013</v>
      </c>
      <c r="G26" s="45">
        <v>17013</v>
      </c>
      <c r="H26" s="44">
        <f t="shared" si="1"/>
        <v>17013</v>
      </c>
      <c r="I26" s="46">
        <v>17155</v>
      </c>
      <c r="J26" s="45">
        <v>17155</v>
      </c>
      <c r="K26" s="44">
        <f t="shared" si="2"/>
        <v>17155</v>
      </c>
      <c r="L26" s="46">
        <v>17334</v>
      </c>
      <c r="M26" s="45">
        <v>17334</v>
      </c>
      <c r="N26" s="44">
        <f t="shared" si="3"/>
        <v>17334</v>
      </c>
      <c r="O26" s="46">
        <v>17509</v>
      </c>
      <c r="P26" s="45">
        <v>17509</v>
      </c>
      <c r="Q26" s="44">
        <f t="shared" si="4"/>
        <v>17509</v>
      </c>
      <c r="R26" s="52">
        <v>16951</v>
      </c>
      <c r="S26" s="51">
        <v>1.3582000000000001</v>
      </c>
      <c r="T26" s="51">
        <v>1.2188000000000001</v>
      </c>
      <c r="U26" s="50">
        <v>103.67</v>
      </c>
      <c r="V26" s="43">
        <v>12480.49</v>
      </c>
      <c r="W26" s="43">
        <v>12513.24</v>
      </c>
      <c r="X26" s="49">
        <f t="shared" si="5"/>
        <v>13907.942238267147</v>
      </c>
      <c r="Y26" s="48">
        <v>1.3595999999999999</v>
      </c>
    </row>
    <row r="27" spans="2:25" x14ac:dyDescent="0.2">
      <c r="B27" s="47">
        <v>44194</v>
      </c>
      <c r="C27" s="46">
        <v>17003</v>
      </c>
      <c r="D27" s="45">
        <v>17003</v>
      </c>
      <c r="E27" s="44">
        <f t="shared" si="0"/>
        <v>17003</v>
      </c>
      <c r="F27" s="46">
        <v>17070</v>
      </c>
      <c r="G27" s="45">
        <v>17070</v>
      </c>
      <c r="H27" s="44">
        <f t="shared" si="1"/>
        <v>17070</v>
      </c>
      <c r="I27" s="46">
        <v>17210</v>
      </c>
      <c r="J27" s="45">
        <v>17210</v>
      </c>
      <c r="K27" s="44">
        <f t="shared" si="2"/>
        <v>17210</v>
      </c>
      <c r="L27" s="46">
        <v>17389</v>
      </c>
      <c r="M27" s="45">
        <v>17389</v>
      </c>
      <c r="N27" s="44">
        <f t="shared" si="3"/>
        <v>17389</v>
      </c>
      <c r="O27" s="46">
        <v>17564</v>
      </c>
      <c r="P27" s="45">
        <v>17564</v>
      </c>
      <c r="Q27" s="44">
        <f t="shared" si="4"/>
        <v>17564</v>
      </c>
      <c r="R27" s="52">
        <v>17003</v>
      </c>
      <c r="S27" s="51">
        <v>1.3488</v>
      </c>
      <c r="T27" s="51">
        <v>1.2256</v>
      </c>
      <c r="U27" s="50">
        <v>103.68</v>
      </c>
      <c r="V27" s="43">
        <v>12606.02</v>
      </c>
      <c r="W27" s="43">
        <v>12645.38</v>
      </c>
      <c r="X27" s="49">
        <f t="shared" si="5"/>
        <v>13873.204960835508</v>
      </c>
      <c r="Y27" s="48">
        <v>1.3499000000000001</v>
      </c>
    </row>
    <row r="28" spans="2:25" x14ac:dyDescent="0.2">
      <c r="B28" s="47">
        <v>44195</v>
      </c>
      <c r="C28" s="46">
        <v>16775</v>
      </c>
      <c r="D28" s="45">
        <v>16775</v>
      </c>
      <c r="E28" s="44">
        <f t="shared" si="0"/>
        <v>16775</v>
      </c>
      <c r="F28" s="46">
        <v>16838</v>
      </c>
      <c r="G28" s="45">
        <v>16838</v>
      </c>
      <c r="H28" s="44">
        <f t="shared" si="1"/>
        <v>16838</v>
      </c>
      <c r="I28" s="46">
        <v>16984</v>
      </c>
      <c r="J28" s="45">
        <v>16984</v>
      </c>
      <c r="K28" s="44">
        <f t="shared" si="2"/>
        <v>16984</v>
      </c>
      <c r="L28" s="46">
        <v>17163</v>
      </c>
      <c r="M28" s="45">
        <v>17163</v>
      </c>
      <c r="N28" s="44">
        <f t="shared" si="3"/>
        <v>17163</v>
      </c>
      <c r="O28" s="46">
        <v>17338</v>
      </c>
      <c r="P28" s="45">
        <v>17338</v>
      </c>
      <c r="Q28" s="44">
        <f t="shared" si="4"/>
        <v>17338</v>
      </c>
      <c r="R28" s="52">
        <v>16775</v>
      </c>
      <c r="S28" s="51">
        <v>1.3594999999999999</v>
      </c>
      <c r="T28" s="51">
        <v>1.2290000000000001</v>
      </c>
      <c r="U28" s="50">
        <v>103.08</v>
      </c>
      <c r="V28" s="43">
        <v>12339.1</v>
      </c>
      <c r="W28" s="43">
        <v>12378.15</v>
      </c>
      <c r="X28" s="49">
        <f t="shared" si="5"/>
        <v>13649.308380797394</v>
      </c>
      <c r="Y28" s="48">
        <v>1.3603000000000001</v>
      </c>
    </row>
    <row r="29" spans="2:25" x14ac:dyDescent="0.2">
      <c r="B29" s="47">
        <v>44196</v>
      </c>
      <c r="C29" s="46">
        <v>16540</v>
      </c>
      <c r="D29" s="45">
        <v>16540</v>
      </c>
      <c r="E29" s="44">
        <f t="shared" si="0"/>
        <v>16540</v>
      </c>
      <c r="F29" s="46">
        <v>16607</v>
      </c>
      <c r="G29" s="45">
        <v>16607</v>
      </c>
      <c r="H29" s="44">
        <f t="shared" si="1"/>
        <v>16607</v>
      </c>
      <c r="I29" s="46">
        <v>16756</v>
      </c>
      <c r="J29" s="45">
        <v>16756</v>
      </c>
      <c r="K29" s="44">
        <f t="shared" si="2"/>
        <v>16756</v>
      </c>
      <c r="L29" s="46">
        <v>16931</v>
      </c>
      <c r="M29" s="45">
        <v>16931</v>
      </c>
      <c r="N29" s="44">
        <f t="shared" si="3"/>
        <v>16931</v>
      </c>
      <c r="O29" s="46">
        <v>17106</v>
      </c>
      <c r="P29" s="45">
        <v>17106</v>
      </c>
      <c r="Q29" s="44">
        <f t="shared" si="4"/>
        <v>17106</v>
      </c>
      <c r="R29" s="52">
        <v>16540</v>
      </c>
      <c r="S29" s="51">
        <v>1.3663000000000001</v>
      </c>
      <c r="T29" s="51">
        <v>1.2272000000000001</v>
      </c>
      <c r="U29" s="50">
        <v>103.07</v>
      </c>
      <c r="V29" s="43">
        <v>12105.69</v>
      </c>
      <c r="W29" s="43">
        <v>12147.61</v>
      </c>
      <c r="X29" s="49">
        <f t="shared" si="5"/>
        <v>13477.835723598435</v>
      </c>
      <c r="Y29" s="48">
        <v>1.3671</v>
      </c>
    </row>
    <row r="30" spans="2:25" s="10" customFormat="1" x14ac:dyDescent="0.2">
      <c r="B30" s="42" t="s">
        <v>11</v>
      </c>
      <c r="C30" s="41">
        <f>ROUND(AVERAGE(C9:C29),2)</f>
        <v>16807.05</v>
      </c>
      <c r="D30" s="40">
        <f>ROUND(AVERAGE(D9:D29),2)</f>
        <v>16807.05</v>
      </c>
      <c r="E30" s="39">
        <f>ROUND(AVERAGE(C30:D30),2)</f>
        <v>16807.05</v>
      </c>
      <c r="F30" s="41">
        <f>ROUND(AVERAGE(F9:F29),2)</f>
        <v>16870</v>
      </c>
      <c r="G30" s="40">
        <f>ROUND(AVERAGE(G9:G29),2)</f>
        <v>16870</v>
      </c>
      <c r="H30" s="39">
        <f>ROUND(AVERAGE(F30:G30),2)</f>
        <v>16870</v>
      </c>
      <c r="I30" s="41">
        <f>ROUND(AVERAGE(I9:I29),2)</f>
        <v>16996.95</v>
      </c>
      <c r="J30" s="40">
        <f>ROUND(AVERAGE(J9:J29),2)</f>
        <v>16996.95</v>
      </c>
      <c r="K30" s="39">
        <f>ROUND(AVERAGE(I30:J30),2)</f>
        <v>16996.95</v>
      </c>
      <c r="L30" s="41">
        <f>ROUND(AVERAGE(L9:L29),2)</f>
        <v>17164.38</v>
      </c>
      <c r="M30" s="40">
        <f>ROUND(AVERAGE(M9:M29),2)</f>
        <v>17164.38</v>
      </c>
      <c r="N30" s="39">
        <f>ROUND(AVERAGE(L30:M30),2)</f>
        <v>17164.38</v>
      </c>
      <c r="O30" s="41">
        <f>ROUND(AVERAGE(O9:O29),2)</f>
        <v>17331.86</v>
      </c>
      <c r="P30" s="40">
        <f>ROUND(AVERAGE(P9:P29),2)</f>
        <v>17331.86</v>
      </c>
      <c r="Q30" s="39">
        <f>ROUND(AVERAGE(O30:P30),2)</f>
        <v>17331.86</v>
      </c>
      <c r="R30" s="38">
        <f>ROUND(AVERAGE(R9:R29),2)</f>
        <v>16807.05</v>
      </c>
      <c r="S30" s="37">
        <f>ROUND(AVERAGE(S9:S29),4)</f>
        <v>1.3426</v>
      </c>
      <c r="T30" s="36">
        <f>ROUND(AVERAGE(T9:T29),4)</f>
        <v>1.2165999999999999</v>
      </c>
      <c r="U30" s="175">
        <f>ROUND(AVERAGE(U9:U29),2)</f>
        <v>103.78</v>
      </c>
      <c r="V30" s="35">
        <f>AVERAGE(V9:V29)</f>
        <v>12519.02095238095</v>
      </c>
      <c r="W30" s="35">
        <f>AVERAGE(W9:W29)</f>
        <v>12554.422380952381</v>
      </c>
      <c r="X30" s="35">
        <f>AVERAGE(X9:X29)</f>
        <v>13813.648715798152</v>
      </c>
      <c r="Y30" s="34">
        <f>AVERAGE(Y9:Y29)</f>
        <v>1.3438047619047619</v>
      </c>
    </row>
    <row r="31" spans="2:25" s="5" customFormat="1" x14ac:dyDescent="0.2">
      <c r="B31" s="33" t="s">
        <v>12</v>
      </c>
      <c r="C31" s="32">
        <f t="shared" ref="C31:Y31" si="6">MAX(C9:C29)</f>
        <v>17650</v>
      </c>
      <c r="D31" s="31">
        <f t="shared" si="6"/>
        <v>17650</v>
      </c>
      <c r="E31" s="30">
        <f t="shared" si="6"/>
        <v>17650</v>
      </c>
      <c r="F31" s="32">
        <f t="shared" si="6"/>
        <v>17685</v>
      </c>
      <c r="G31" s="31">
        <f t="shared" si="6"/>
        <v>17685</v>
      </c>
      <c r="H31" s="30">
        <f t="shared" si="6"/>
        <v>17685</v>
      </c>
      <c r="I31" s="32">
        <f t="shared" si="6"/>
        <v>17796</v>
      </c>
      <c r="J31" s="31">
        <f t="shared" si="6"/>
        <v>17796</v>
      </c>
      <c r="K31" s="30">
        <f t="shared" si="6"/>
        <v>17796</v>
      </c>
      <c r="L31" s="32">
        <f t="shared" si="6"/>
        <v>17946</v>
      </c>
      <c r="M31" s="31">
        <f t="shared" si="6"/>
        <v>17946</v>
      </c>
      <c r="N31" s="30">
        <f t="shared" si="6"/>
        <v>17946</v>
      </c>
      <c r="O31" s="32">
        <f t="shared" si="6"/>
        <v>18101</v>
      </c>
      <c r="P31" s="31">
        <f t="shared" si="6"/>
        <v>18101</v>
      </c>
      <c r="Q31" s="30">
        <f t="shared" si="6"/>
        <v>18101</v>
      </c>
      <c r="R31" s="29">
        <f t="shared" si="6"/>
        <v>17650</v>
      </c>
      <c r="S31" s="28">
        <f t="shared" si="6"/>
        <v>1.3663000000000001</v>
      </c>
      <c r="T31" s="27">
        <f t="shared" si="6"/>
        <v>1.2290000000000001</v>
      </c>
      <c r="U31" s="26">
        <f t="shared" si="6"/>
        <v>104.66</v>
      </c>
      <c r="V31" s="25">
        <f t="shared" si="6"/>
        <v>13205.15</v>
      </c>
      <c r="W31" s="25">
        <f t="shared" si="6"/>
        <v>13220.45</v>
      </c>
      <c r="X31" s="25">
        <f t="shared" si="6"/>
        <v>14559.102532376475</v>
      </c>
      <c r="Y31" s="24">
        <f t="shared" si="6"/>
        <v>1.3671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15850</v>
      </c>
      <c r="D32" s="21">
        <f t="shared" si="7"/>
        <v>15850</v>
      </c>
      <c r="E32" s="20">
        <f t="shared" si="7"/>
        <v>15850</v>
      </c>
      <c r="F32" s="22">
        <f t="shared" si="7"/>
        <v>15906</v>
      </c>
      <c r="G32" s="21">
        <f t="shared" si="7"/>
        <v>15906</v>
      </c>
      <c r="H32" s="20">
        <f t="shared" si="7"/>
        <v>15906</v>
      </c>
      <c r="I32" s="22">
        <f t="shared" si="7"/>
        <v>16029</v>
      </c>
      <c r="J32" s="21">
        <f t="shared" si="7"/>
        <v>16029</v>
      </c>
      <c r="K32" s="20">
        <f t="shared" si="7"/>
        <v>16029</v>
      </c>
      <c r="L32" s="22">
        <f t="shared" si="7"/>
        <v>16199</v>
      </c>
      <c r="M32" s="21">
        <f t="shared" si="7"/>
        <v>16199</v>
      </c>
      <c r="N32" s="20">
        <f t="shared" si="7"/>
        <v>16199</v>
      </c>
      <c r="O32" s="22">
        <f t="shared" si="7"/>
        <v>16374</v>
      </c>
      <c r="P32" s="21">
        <f t="shared" si="7"/>
        <v>16374</v>
      </c>
      <c r="Q32" s="20">
        <f t="shared" si="7"/>
        <v>16374</v>
      </c>
      <c r="R32" s="19">
        <f t="shared" si="7"/>
        <v>15850</v>
      </c>
      <c r="S32" s="18">
        <f t="shared" si="7"/>
        <v>1.3167</v>
      </c>
      <c r="T32" s="17">
        <f t="shared" si="7"/>
        <v>1.1967000000000001</v>
      </c>
      <c r="U32" s="16">
        <f t="shared" si="7"/>
        <v>103.02</v>
      </c>
      <c r="V32" s="15">
        <f t="shared" si="7"/>
        <v>11847.31</v>
      </c>
      <c r="W32" s="15">
        <f t="shared" si="7"/>
        <v>11881.45</v>
      </c>
      <c r="X32" s="15">
        <f t="shared" si="7"/>
        <v>13110.398157288582</v>
      </c>
      <c r="Y32" s="14">
        <f t="shared" si="7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44166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44166</v>
      </c>
      <c r="C9" s="46">
        <v>31975</v>
      </c>
      <c r="D9" s="45">
        <v>31975</v>
      </c>
      <c r="E9" s="44">
        <f t="shared" ref="E9:E29" si="0">AVERAGE(C9:D9)</f>
        <v>31975</v>
      </c>
      <c r="F9" s="46">
        <v>32390</v>
      </c>
      <c r="G9" s="45">
        <v>32390</v>
      </c>
      <c r="H9" s="44">
        <f t="shared" ref="H9:H29" si="1">AVERAGE(F9:G9)</f>
        <v>32390</v>
      </c>
      <c r="I9" s="46">
        <v>34275</v>
      </c>
      <c r="J9" s="45">
        <v>34275</v>
      </c>
      <c r="K9" s="44">
        <f t="shared" ref="K9:K29" si="2">AVERAGE(I9:J9)</f>
        <v>34275</v>
      </c>
      <c r="L9" s="52">
        <v>31975</v>
      </c>
      <c r="M9" s="51">
        <v>1.3331</v>
      </c>
      <c r="N9" s="53">
        <v>1.1967000000000001</v>
      </c>
      <c r="O9" s="50">
        <v>104.4</v>
      </c>
      <c r="P9" s="43">
        <v>23985.45</v>
      </c>
      <c r="Q9" s="43">
        <v>24274.9</v>
      </c>
      <c r="R9" s="49">
        <f t="shared" ref="R9:R29" si="3">L9/N9</f>
        <v>26719.31143979276</v>
      </c>
      <c r="S9" s="48">
        <v>1.3343</v>
      </c>
    </row>
    <row r="10" spans="1:19" x14ac:dyDescent="0.2">
      <c r="B10" s="47">
        <v>44167</v>
      </c>
      <c r="C10" s="46">
        <v>31975</v>
      </c>
      <c r="D10" s="45">
        <v>31975</v>
      </c>
      <c r="E10" s="44">
        <f t="shared" si="0"/>
        <v>31975</v>
      </c>
      <c r="F10" s="46">
        <v>32390</v>
      </c>
      <c r="G10" s="45">
        <v>32390</v>
      </c>
      <c r="H10" s="44">
        <f t="shared" si="1"/>
        <v>32390</v>
      </c>
      <c r="I10" s="46">
        <v>34270</v>
      </c>
      <c r="J10" s="45">
        <v>34270</v>
      </c>
      <c r="K10" s="44">
        <f t="shared" si="2"/>
        <v>34270</v>
      </c>
      <c r="L10" s="52">
        <v>31975</v>
      </c>
      <c r="M10" s="51">
        <v>1.3328</v>
      </c>
      <c r="N10" s="51">
        <v>1.206</v>
      </c>
      <c r="O10" s="50">
        <v>104.66</v>
      </c>
      <c r="P10" s="43">
        <v>23990.85</v>
      </c>
      <c r="Q10" s="43">
        <v>24282.18</v>
      </c>
      <c r="R10" s="49">
        <f t="shared" si="3"/>
        <v>26513.266998341627</v>
      </c>
      <c r="S10" s="48">
        <v>1.3339000000000001</v>
      </c>
    </row>
    <row r="11" spans="1:19" x14ac:dyDescent="0.2">
      <c r="B11" s="47">
        <v>44168</v>
      </c>
      <c r="C11" s="46">
        <v>31980</v>
      </c>
      <c r="D11" s="45">
        <v>31980</v>
      </c>
      <c r="E11" s="44">
        <f t="shared" si="0"/>
        <v>31980</v>
      </c>
      <c r="F11" s="46">
        <v>32390</v>
      </c>
      <c r="G11" s="45">
        <v>32390</v>
      </c>
      <c r="H11" s="44">
        <f t="shared" si="1"/>
        <v>32390</v>
      </c>
      <c r="I11" s="46">
        <v>34265</v>
      </c>
      <c r="J11" s="45">
        <v>34265</v>
      </c>
      <c r="K11" s="44">
        <f t="shared" si="2"/>
        <v>34265</v>
      </c>
      <c r="L11" s="52">
        <v>31980</v>
      </c>
      <c r="M11" s="51">
        <v>1.3452</v>
      </c>
      <c r="N11" s="51">
        <v>1.2156</v>
      </c>
      <c r="O11" s="50">
        <v>104.09</v>
      </c>
      <c r="P11" s="43">
        <v>23773.42</v>
      </c>
      <c r="Q11" s="43">
        <v>24058.53</v>
      </c>
      <c r="R11" s="49">
        <f t="shared" si="3"/>
        <v>26307.996051332673</v>
      </c>
      <c r="S11" s="48">
        <v>1.3463000000000001</v>
      </c>
    </row>
    <row r="12" spans="1:19" x14ac:dyDescent="0.2">
      <c r="B12" s="47">
        <v>44169</v>
      </c>
      <c r="C12" s="46">
        <v>31980</v>
      </c>
      <c r="D12" s="45">
        <v>31980</v>
      </c>
      <c r="E12" s="44">
        <f t="shared" si="0"/>
        <v>31980</v>
      </c>
      <c r="F12" s="46">
        <v>32390</v>
      </c>
      <c r="G12" s="45">
        <v>32390</v>
      </c>
      <c r="H12" s="44">
        <f t="shared" si="1"/>
        <v>32390</v>
      </c>
      <c r="I12" s="46">
        <v>34260</v>
      </c>
      <c r="J12" s="45">
        <v>34260</v>
      </c>
      <c r="K12" s="44">
        <f t="shared" si="2"/>
        <v>34260</v>
      </c>
      <c r="L12" s="52">
        <v>31980</v>
      </c>
      <c r="M12" s="51">
        <v>1.3463000000000001</v>
      </c>
      <c r="N12" s="51">
        <v>1.216</v>
      </c>
      <c r="O12" s="50">
        <v>104</v>
      </c>
      <c r="P12" s="43">
        <v>23753.99</v>
      </c>
      <c r="Q12" s="43">
        <v>24038.89</v>
      </c>
      <c r="R12" s="49">
        <f t="shared" si="3"/>
        <v>26299.34210526316</v>
      </c>
      <c r="S12" s="48">
        <v>1.3473999999999999</v>
      </c>
    </row>
    <row r="13" spans="1:19" x14ac:dyDescent="0.2">
      <c r="B13" s="47">
        <v>44172</v>
      </c>
      <c r="C13" s="46">
        <v>31960</v>
      </c>
      <c r="D13" s="45">
        <v>31960</v>
      </c>
      <c r="E13" s="44">
        <f t="shared" si="0"/>
        <v>31960</v>
      </c>
      <c r="F13" s="46">
        <v>32390</v>
      </c>
      <c r="G13" s="45">
        <v>32390</v>
      </c>
      <c r="H13" s="44">
        <f t="shared" si="1"/>
        <v>32390</v>
      </c>
      <c r="I13" s="46">
        <v>34240</v>
      </c>
      <c r="J13" s="45">
        <v>34240</v>
      </c>
      <c r="K13" s="44">
        <f t="shared" si="2"/>
        <v>34240</v>
      </c>
      <c r="L13" s="52">
        <v>31960</v>
      </c>
      <c r="M13" s="51">
        <v>1.3270999999999999</v>
      </c>
      <c r="N13" s="51">
        <v>1.2117</v>
      </c>
      <c r="O13" s="50">
        <v>104.17</v>
      </c>
      <c r="P13" s="43">
        <v>24082.59</v>
      </c>
      <c r="Q13" s="43">
        <v>24384.55</v>
      </c>
      <c r="R13" s="49">
        <f t="shared" si="3"/>
        <v>26376.16571758686</v>
      </c>
      <c r="S13" s="48">
        <v>1.3283</v>
      </c>
    </row>
    <row r="14" spans="1:19" x14ac:dyDescent="0.2">
      <c r="B14" s="47">
        <v>44173</v>
      </c>
      <c r="C14" s="46">
        <v>31965</v>
      </c>
      <c r="D14" s="45">
        <v>31965</v>
      </c>
      <c r="E14" s="44">
        <f t="shared" si="0"/>
        <v>31965</v>
      </c>
      <c r="F14" s="46">
        <v>32390</v>
      </c>
      <c r="G14" s="45">
        <v>32390</v>
      </c>
      <c r="H14" s="44">
        <f t="shared" si="1"/>
        <v>32390</v>
      </c>
      <c r="I14" s="46">
        <v>34240</v>
      </c>
      <c r="J14" s="45">
        <v>34240</v>
      </c>
      <c r="K14" s="44">
        <f t="shared" si="2"/>
        <v>34240</v>
      </c>
      <c r="L14" s="52">
        <v>31965</v>
      </c>
      <c r="M14" s="51">
        <v>1.3301000000000001</v>
      </c>
      <c r="N14" s="51">
        <v>1.2115</v>
      </c>
      <c r="O14" s="50">
        <v>104.15</v>
      </c>
      <c r="P14" s="43">
        <v>24032.03</v>
      </c>
      <c r="Q14" s="43">
        <v>24325.95</v>
      </c>
      <c r="R14" s="49">
        <f t="shared" si="3"/>
        <v>26384.647131654972</v>
      </c>
      <c r="S14" s="48">
        <v>1.3314999999999999</v>
      </c>
    </row>
    <row r="15" spans="1:19" x14ac:dyDescent="0.2">
      <c r="B15" s="47">
        <v>44174</v>
      </c>
      <c r="C15" s="46">
        <v>31575</v>
      </c>
      <c r="D15" s="45">
        <v>31575</v>
      </c>
      <c r="E15" s="44">
        <f t="shared" si="0"/>
        <v>31575</v>
      </c>
      <c r="F15" s="46">
        <v>32000</v>
      </c>
      <c r="G15" s="45">
        <v>32000</v>
      </c>
      <c r="H15" s="44">
        <f t="shared" si="1"/>
        <v>32000</v>
      </c>
      <c r="I15" s="46">
        <v>33840</v>
      </c>
      <c r="J15" s="45">
        <v>33840</v>
      </c>
      <c r="K15" s="44">
        <f t="shared" si="2"/>
        <v>33840</v>
      </c>
      <c r="L15" s="52">
        <v>31575</v>
      </c>
      <c r="M15" s="51">
        <v>1.3452</v>
      </c>
      <c r="N15" s="51">
        <v>1.2109000000000001</v>
      </c>
      <c r="O15" s="50">
        <v>104.12</v>
      </c>
      <c r="P15" s="43">
        <v>23472.35</v>
      </c>
      <c r="Q15" s="43">
        <v>23765.32</v>
      </c>
      <c r="R15" s="49">
        <f t="shared" si="3"/>
        <v>26075.646213560161</v>
      </c>
      <c r="S15" s="48">
        <v>1.3465</v>
      </c>
    </row>
    <row r="16" spans="1:19" x14ac:dyDescent="0.2">
      <c r="B16" s="47">
        <v>44175</v>
      </c>
      <c r="C16" s="46">
        <v>31580</v>
      </c>
      <c r="D16" s="45">
        <v>31580</v>
      </c>
      <c r="E16" s="44">
        <f t="shared" si="0"/>
        <v>31580</v>
      </c>
      <c r="F16" s="46">
        <v>32000</v>
      </c>
      <c r="G16" s="45">
        <v>32000</v>
      </c>
      <c r="H16" s="44">
        <f t="shared" si="1"/>
        <v>32000</v>
      </c>
      <c r="I16" s="46">
        <v>33835</v>
      </c>
      <c r="J16" s="45">
        <v>33835</v>
      </c>
      <c r="K16" s="44">
        <f t="shared" si="2"/>
        <v>33835</v>
      </c>
      <c r="L16" s="52">
        <v>31580</v>
      </c>
      <c r="M16" s="51">
        <v>1.3295999999999999</v>
      </c>
      <c r="N16" s="51">
        <v>1.2111000000000001</v>
      </c>
      <c r="O16" s="50">
        <v>104.45</v>
      </c>
      <c r="P16" s="43">
        <v>23751.5</v>
      </c>
      <c r="Q16" s="43">
        <v>24045.69</v>
      </c>
      <c r="R16" s="49">
        <f t="shared" si="3"/>
        <v>26075.46858228057</v>
      </c>
      <c r="S16" s="48">
        <v>1.3308</v>
      </c>
    </row>
    <row r="17" spans="2:19" x14ac:dyDescent="0.2">
      <c r="B17" s="47">
        <v>44176</v>
      </c>
      <c r="C17" s="46">
        <v>31575</v>
      </c>
      <c r="D17" s="45">
        <v>31575</v>
      </c>
      <c r="E17" s="44">
        <f t="shared" si="0"/>
        <v>31575</v>
      </c>
      <c r="F17" s="46">
        <v>32000</v>
      </c>
      <c r="G17" s="45">
        <v>32000</v>
      </c>
      <c r="H17" s="44">
        <f t="shared" si="1"/>
        <v>32000</v>
      </c>
      <c r="I17" s="46">
        <v>33830</v>
      </c>
      <c r="J17" s="45">
        <v>33830</v>
      </c>
      <c r="K17" s="44">
        <f t="shared" si="2"/>
        <v>33830</v>
      </c>
      <c r="L17" s="52">
        <v>31575</v>
      </c>
      <c r="M17" s="51">
        <v>1.3167</v>
      </c>
      <c r="N17" s="51">
        <v>1.2125999999999999</v>
      </c>
      <c r="O17" s="50">
        <v>104.12</v>
      </c>
      <c r="P17" s="43">
        <v>23980.41</v>
      </c>
      <c r="Q17" s="43">
        <v>24281.05</v>
      </c>
      <c r="R17" s="49">
        <f t="shared" si="3"/>
        <v>26039.08955962395</v>
      </c>
      <c r="S17" s="48">
        <v>1.3179000000000001</v>
      </c>
    </row>
    <row r="18" spans="2:19" x14ac:dyDescent="0.2">
      <c r="B18" s="47">
        <v>44179</v>
      </c>
      <c r="C18" s="46">
        <v>31685</v>
      </c>
      <c r="D18" s="45">
        <v>31685</v>
      </c>
      <c r="E18" s="44">
        <f t="shared" si="0"/>
        <v>31685</v>
      </c>
      <c r="F18" s="46">
        <v>32000</v>
      </c>
      <c r="G18" s="45">
        <v>32000</v>
      </c>
      <c r="H18" s="44">
        <f t="shared" si="1"/>
        <v>32000</v>
      </c>
      <c r="I18" s="46">
        <v>33485</v>
      </c>
      <c r="J18" s="45">
        <v>33485</v>
      </c>
      <c r="K18" s="44">
        <f t="shared" si="2"/>
        <v>33485</v>
      </c>
      <c r="L18" s="52">
        <v>31685</v>
      </c>
      <c r="M18" s="51">
        <v>1.3405</v>
      </c>
      <c r="N18" s="51">
        <v>1.2158</v>
      </c>
      <c r="O18" s="50">
        <v>103.72</v>
      </c>
      <c r="P18" s="43">
        <v>23636.7</v>
      </c>
      <c r="Q18" s="43">
        <v>23850.34</v>
      </c>
      <c r="R18" s="49">
        <f t="shared" si="3"/>
        <v>26061.029774633986</v>
      </c>
      <c r="S18" s="48">
        <v>1.3416999999999999</v>
      </c>
    </row>
    <row r="19" spans="2:19" x14ac:dyDescent="0.2">
      <c r="B19" s="47">
        <v>44180</v>
      </c>
      <c r="C19" s="46">
        <v>31690</v>
      </c>
      <c r="D19" s="45">
        <v>31690</v>
      </c>
      <c r="E19" s="44">
        <f t="shared" si="0"/>
        <v>31690</v>
      </c>
      <c r="F19" s="46">
        <v>32000</v>
      </c>
      <c r="G19" s="45">
        <v>32000</v>
      </c>
      <c r="H19" s="44">
        <f t="shared" si="1"/>
        <v>32000</v>
      </c>
      <c r="I19" s="46">
        <v>33485</v>
      </c>
      <c r="J19" s="45">
        <v>33485</v>
      </c>
      <c r="K19" s="44">
        <f t="shared" si="2"/>
        <v>33485</v>
      </c>
      <c r="L19" s="52">
        <v>31690</v>
      </c>
      <c r="M19" s="51">
        <v>1.3366</v>
      </c>
      <c r="N19" s="51">
        <v>1.2122999999999999</v>
      </c>
      <c r="O19" s="50">
        <v>103.93</v>
      </c>
      <c r="P19" s="43">
        <v>23709.41</v>
      </c>
      <c r="Q19" s="43">
        <v>23921.66</v>
      </c>
      <c r="R19" s="49">
        <f t="shared" si="3"/>
        <v>26140.394291841956</v>
      </c>
      <c r="S19" s="48">
        <v>1.3376999999999999</v>
      </c>
    </row>
    <row r="20" spans="2:19" x14ac:dyDescent="0.2">
      <c r="B20" s="47">
        <v>44181</v>
      </c>
      <c r="C20" s="46">
        <v>31780</v>
      </c>
      <c r="D20" s="45">
        <v>31780</v>
      </c>
      <c r="E20" s="44">
        <f t="shared" si="0"/>
        <v>31780</v>
      </c>
      <c r="F20" s="46">
        <v>32000</v>
      </c>
      <c r="G20" s="45">
        <v>32000</v>
      </c>
      <c r="H20" s="44">
        <f t="shared" si="1"/>
        <v>32000</v>
      </c>
      <c r="I20" s="46">
        <v>33460</v>
      </c>
      <c r="J20" s="45">
        <v>33460</v>
      </c>
      <c r="K20" s="44">
        <f t="shared" si="2"/>
        <v>33460</v>
      </c>
      <c r="L20" s="52">
        <v>31780</v>
      </c>
      <c r="M20" s="51">
        <v>1.3547</v>
      </c>
      <c r="N20" s="51">
        <v>1.2195</v>
      </c>
      <c r="O20" s="50">
        <v>103.3</v>
      </c>
      <c r="P20" s="43">
        <v>23459.07</v>
      </c>
      <c r="Q20" s="43">
        <v>23600.560000000001</v>
      </c>
      <c r="R20" s="49">
        <f t="shared" si="3"/>
        <v>26059.860598605985</v>
      </c>
      <c r="S20" s="48">
        <v>1.3559000000000001</v>
      </c>
    </row>
    <row r="21" spans="2:19" x14ac:dyDescent="0.2">
      <c r="B21" s="47">
        <v>44182</v>
      </c>
      <c r="C21" s="46">
        <v>32000</v>
      </c>
      <c r="D21" s="45">
        <v>32000</v>
      </c>
      <c r="E21" s="44">
        <f t="shared" si="0"/>
        <v>32000</v>
      </c>
      <c r="F21" s="46">
        <v>32500</v>
      </c>
      <c r="G21" s="45">
        <v>32500</v>
      </c>
      <c r="H21" s="44">
        <f t="shared" si="1"/>
        <v>32500</v>
      </c>
      <c r="I21" s="46">
        <v>33960</v>
      </c>
      <c r="J21" s="45">
        <v>33960</v>
      </c>
      <c r="K21" s="44">
        <f t="shared" si="2"/>
        <v>33960</v>
      </c>
      <c r="L21" s="52">
        <v>32000</v>
      </c>
      <c r="M21" s="51">
        <v>1.359</v>
      </c>
      <c r="N21" s="51">
        <v>1.2249000000000001</v>
      </c>
      <c r="O21" s="50">
        <v>103.02</v>
      </c>
      <c r="P21" s="43">
        <v>23546.73</v>
      </c>
      <c r="Q21" s="43">
        <v>23888.28</v>
      </c>
      <c r="R21" s="49">
        <f t="shared" si="3"/>
        <v>26124.581598497836</v>
      </c>
      <c r="S21" s="48">
        <v>1.3605</v>
      </c>
    </row>
    <row r="22" spans="2:19" x14ac:dyDescent="0.2">
      <c r="B22" s="47">
        <v>44183</v>
      </c>
      <c r="C22" s="46">
        <v>32000</v>
      </c>
      <c r="D22" s="45">
        <v>32000</v>
      </c>
      <c r="E22" s="44">
        <f t="shared" si="0"/>
        <v>32000</v>
      </c>
      <c r="F22" s="46">
        <v>32200</v>
      </c>
      <c r="G22" s="45">
        <v>32200</v>
      </c>
      <c r="H22" s="44">
        <f t="shared" si="1"/>
        <v>32200</v>
      </c>
      <c r="I22" s="46">
        <v>33660</v>
      </c>
      <c r="J22" s="45">
        <v>33660</v>
      </c>
      <c r="K22" s="44">
        <f t="shared" si="2"/>
        <v>33660</v>
      </c>
      <c r="L22" s="52">
        <v>32000</v>
      </c>
      <c r="M22" s="51">
        <v>1.3521000000000001</v>
      </c>
      <c r="N22" s="51">
        <v>1.2255</v>
      </c>
      <c r="O22" s="50">
        <v>103.28</v>
      </c>
      <c r="P22" s="43">
        <v>23666.89</v>
      </c>
      <c r="Q22" s="43">
        <v>23793.69</v>
      </c>
      <c r="R22" s="49">
        <f t="shared" si="3"/>
        <v>26111.791105671153</v>
      </c>
      <c r="S22" s="48">
        <v>1.3532999999999999</v>
      </c>
    </row>
    <row r="23" spans="2:19" x14ac:dyDescent="0.2">
      <c r="B23" s="47">
        <v>44186</v>
      </c>
      <c r="C23" s="46">
        <v>31995</v>
      </c>
      <c r="D23" s="45">
        <v>31995</v>
      </c>
      <c r="E23" s="44">
        <f t="shared" si="0"/>
        <v>31995</v>
      </c>
      <c r="F23" s="46">
        <v>32200</v>
      </c>
      <c r="G23" s="45">
        <v>32200</v>
      </c>
      <c r="H23" s="44">
        <f t="shared" si="1"/>
        <v>32200</v>
      </c>
      <c r="I23" s="46">
        <v>33650</v>
      </c>
      <c r="J23" s="45">
        <v>33650</v>
      </c>
      <c r="K23" s="44">
        <f t="shared" si="2"/>
        <v>33650</v>
      </c>
      <c r="L23" s="52">
        <v>31995</v>
      </c>
      <c r="M23" s="51">
        <v>1.3282</v>
      </c>
      <c r="N23" s="51">
        <v>1.2163999999999999</v>
      </c>
      <c r="O23" s="50">
        <v>103.59</v>
      </c>
      <c r="P23" s="43">
        <v>24088.99</v>
      </c>
      <c r="Q23" s="43">
        <v>24215.99</v>
      </c>
      <c r="R23" s="49">
        <f t="shared" si="3"/>
        <v>26303.025320618221</v>
      </c>
      <c r="S23" s="48">
        <v>1.3297000000000001</v>
      </c>
    </row>
    <row r="24" spans="2:19" x14ac:dyDescent="0.2">
      <c r="B24" s="47">
        <v>44187</v>
      </c>
      <c r="C24" s="46">
        <v>32000</v>
      </c>
      <c r="D24" s="45">
        <v>32000</v>
      </c>
      <c r="E24" s="44">
        <f t="shared" si="0"/>
        <v>32000</v>
      </c>
      <c r="F24" s="46">
        <v>32200</v>
      </c>
      <c r="G24" s="45">
        <v>32200</v>
      </c>
      <c r="H24" s="44">
        <f t="shared" si="1"/>
        <v>32200</v>
      </c>
      <c r="I24" s="46">
        <v>33650</v>
      </c>
      <c r="J24" s="45">
        <v>33650</v>
      </c>
      <c r="K24" s="44">
        <f t="shared" si="2"/>
        <v>33650</v>
      </c>
      <c r="L24" s="52">
        <v>32000</v>
      </c>
      <c r="M24" s="51">
        <v>1.3415999999999999</v>
      </c>
      <c r="N24" s="51">
        <v>1.224</v>
      </c>
      <c r="O24" s="50">
        <v>103.38</v>
      </c>
      <c r="P24" s="43">
        <v>23852.12</v>
      </c>
      <c r="Q24" s="43">
        <v>23972.6</v>
      </c>
      <c r="R24" s="49">
        <f t="shared" si="3"/>
        <v>26143.790849673202</v>
      </c>
      <c r="S24" s="48">
        <v>1.3431999999999999</v>
      </c>
    </row>
    <row r="25" spans="2:19" x14ac:dyDescent="0.2">
      <c r="B25" s="47">
        <v>44188</v>
      </c>
      <c r="C25" s="46">
        <v>32000</v>
      </c>
      <c r="D25" s="45">
        <v>32000</v>
      </c>
      <c r="E25" s="44">
        <f t="shared" si="0"/>
        <v>32000</v>
      </c>
      <c r="F25" s="46">
        <v>32190</v>
      </c>
      <c r="G25" s="45">
        <v>32190</v>
      </c>
      <c r="H25" s="44">
        <f t="shared" si="1"/>
        <v>32190</v>
      </c>
      <c r="I25" s="46">
        <v>33635</v>
      </c>
      <c r="J25" s="45">
        <v>33635</v>
      </c>
      <c r="K25" s="44">
        <f t="shared" si="2"/>
        <v>33635</v>
      </c>
      <c r="L25" s="52">
        <v>32000</v>
      </c>
      <c r="M25" s="51">
        <v>1.3426</v>
      </c>
      <c r="N25" s="51">
        <v>1.2181999999999999</v>
      </c>
      <c r="O25" s="50">
        <v>103.48</v>
      </c>
      <c r="P25" s="43">
        <v>23834.35</v>
      </c>
      <c r="Q25" s="43">
        <v>23949.11</v>
      </c>
      <c r="R25" s="49">
        <f t="shared" si="3"/>
        <v>26268.264652766378</v>
      </c>
      <c r="S25" s="48">
        <v>1.3441000000000001</v>
      </c>
    </row>
    <row r="26" spans="2:19" x14ac:dyDescent="0.2">
      <c r="B26" s="47">
        <v>44189</v>
      </c>
      <c r="C26" s="46">
        <v>32000</v>
      </c>
      <c r="D26" s="45">
        <v>32000</v>
      </c>
      <c r="E26" s="44">
        <f t="shared" si="0"/>
        <v>32000</v>
      </c>
      <c r="F26" s="46">
        <v>32190</v>
      </c>
      <c r="G26" s="45">
        <v>32190</v>
      </c>
      <c r="H26" s="44">
        <f t="shared" si="1"/>
        <v>32190</v>
      </c>
      <c r="I26" s="46">
        <v>33635</v>
      </c>
      <c r="J26" s="45">
        <v>33635</v>
      </c>
      <c r="K26" s="44">
        <f t="shared" si="2"/>
        <v>33635</v>
      </c>
      <c r="L26" s="52">
        <v>32000</v>
      </c>
      <c r="M26" s="51">
        <v>1.3582000000000001</v>
      </c>
      <c r="N26" s="51">
        <v>1.2188000000000001</v>
      </c>
      <c r="O26" s="50">
        <v>103.67</v>
      </c>
      <c r="P26" s="43">
        <v>23560.59</v>
      </c>
      <c r="Q26" s="43">
        <v>23676.080000000002</v>
      </c>
      <c r="R26" s="49">
        <f t="shared" si="3"/>
        <v>26255.333114538887</v>
      </c>
      <c r="S26" s="48">
        <v>1.3595999999999999</v>
      </c>
    </row>
    <row r="27" spans="2:19" x14ac:dyDescent="0.2">
      <c r="B27" s="47">
        <v>44194</v>
      </c>
      <c r="C27" s="46">
        <v>31990</v>
      </c>
      <c r="D27" s="45">
        <v>31990</v>
      </c>
      <c r="E27" s="44">
        <f t="shared" si="0"/>
        <v>31990</v>
      </c>
      <c r="F27" s="46">
        <v>32190</v>
      </c>
      <c r="G27" s="45">
        <v>32190</v>
      </c>
      <c r="H27" s="44">
        <f t="shared" si="1"/>
        <v>32190</v>
      </c>
      <c r="I27" s="46">
        <v>33625</v>
      </c>
      <c r="J27" s="45">
        <v>33625</v>
      </c>
      <c r="K27" s="44">
        <f t="shared" si="2"/>
        <v>33625</v>
      </c>
      <c r="L27" s="52">
        <v>31990</v>
      </c>
      <c r="M27" s="51">
        <v>1.3488</v>
      </c>
      <c r="N27" s="51">
        <v>1.2256</v>
      </c>
      <c r="O27" s="50">
        <v>103.68</v>
      </c>
      <c r="P27" s="43">
        <v>23717.38</v>
      </c>
      <c r="Q27" s="43">
        <v>23846.21</v>
      </c>
      <c r="R27" s="49">
        <f t="shared" si="3"/>
        <v>26101.501305483027</v>
      </c>
      <c r="S27" s="48">
        <v>1.3499000000000001</v>
      </c>
    </row>
    <row r="28" spans="2:19" x14ac:dyDescent="0.2">
      <c r="B28" s="47">
        <v>44195</v>
      </c>
      <c r="C28" s="46">
        <v>32000</v>
      </c>
      <c r="D28" s="45">
        <v>32000</v>
      </c>
      <c r="E28" s="44">
        <f t="shared" si="0"/>
        <v>32000</v>
      </c>
      <c r="F28" s="46">
        <v>32190</v>
      </c>
      <c r="G28" s="45">
        <v>32190</v>
      </c>
      <c r="H28" s="44">
        <f t="shared" si="1"/>
        <v>32190</v>
      </c>
      <c r="I28" s="46">
        <v>33620</v>
      </c>
      <c r="J28" s="45">
        <v>33620</v>
      </c>
      <c r="K28" s="44">
        <f t="shared" si="2"/>
        <v>33620</v>
      </c>
      <c r="L28" s="52">
        <v>32000</v>
      </c>
      <c r="M28" s="51">
        <v>1.3594999999999999</v>
      </c>
      <c r="N28" s="51">
        <v>1.2290000000000001</v>
      </c>
      <c r="O28" s="50">
        <v>103.08</v>
      </c>
      <c r="P28" s="43">
        <v>23538.07</v>
      </c>
      <c r="Q28" s="43">
        <v>23663.9</v>
      </c>
      <c r="R28" s="49">
        <f t="shared" si="3"/>
        <v>26037.428803905612</v>
      </c>
      <c r="S28" s="48">
        <v>1.3603000000000001</v>
      </c>
    </row>
    <row r="29" spans="2:19" x14ac:dyDescent="0.2">
      <c r="B29" s="47">
        <v>44196</v>
      </c>
      <c r="C29" s="46">
        <v>32000</v>
      </c>
      <c r="D29" s="45">
        <v>32000</v>
      </c>
      <c r="E29" s="44">
        <f t="shared" si="0"/>
        <v>32000</v>
      </c>
      <c r="F29" s="46">
        <v>32190</v>
      </c>
      <c r="G29" s="45">
        <v>32190</v>
      </c>
      <c r="H29" s="44">
        <f t="shared" si="1"/>
        <v>32190</v>
      </c>
      <c r="I29" s="46">
        <v>33620</v>
      </c>
      <c r="J29" s="45">
        <v>33620</v>
      </c>
      <c r="K29" s="44">
        <f t="shared" si="2"/>
        <v>33620</v>
      </c>
      <c r="L29" s="52">
        <v>32000</v>
      </c>
      <c r="M29" s="51">
        <v>1.3663000000000001</v>
      </c>
      <c r="N29" s="51">
        <v>1.2272000000000001</v>
      </c>
      <c r="O29" s="50">
        <v>103.07</v>
      </c>
      <c r="P29" s="43">
        <v>23420.92</v>
      </c>
      <c r="Q29" s="43">
        <v>23546.19</v>
      </c>
      <c r="R29" s="49">
        <f t="shared" si="3"/>
        <v>26075.619295958277</v>
      </c>
      <c r="S29" s="48">
        <v>1.3671</v>
      </c>
    </row>
    <row r="30" spans="2:19" s="10" customFormat="1" x14ac:dyDescent="0.2">
      <c r="B30" s="42" t="s">
        <v>11</v>
      </c>
      <c r="C30" s="41">
        <f>ROUND(AVERAGE(C9:C29),2)</f>
        <v>31890.71</v>
      </c>
      <c r="D30" s="40">
        <f>ROUND(AVERAGE(D9:D29),2)</f>
        <v>31890.71</v>
      </c>
      <c r="E30" s="39">
        <f>ROUND(AVERAGE(C30:D30),2)</f>
        <v>31890.71</v>
      </c>
      <c r="F30" s="41">
        <f>ROUND(AVERAGE(F9:F29),2)</f>
        <v>32209.05</v>
      </c>
      <c r="G30" s="40">
        <f>ROUND(AVERAGE(G9:G29),2)</f>
        <v>32209.05</v>
      </c>
      <c r="H30" s="39">
        <f>ROUND(AVERAGE(F30:G30),2)</f>
        <v>32209.05</v>
      </c>
      <c r="I30" s="41">
        <f>ROUND(AVERAGE(I9:I29),2)</f>
        <v>33835.24</v>
      </c>
      <c r="J30" s="40">
        <f>ROUND(AVERAGE(J9:J29),2)</f>
        <v>33835.24</v>
      </c>
      <c r="K30" s="39">
        <f>ROUND(AVERAGE(I30:J30),2)</f>
        <v>33835.24</v>
      </c>
      <c r="L30" s="38">
        <f>ROUND(AVERAGE(L9:L29),2)</f>
        <v>31890.71</v>
      </c>
      <c r="M30" s="37">
        <f>ROUND(AVERAGE(M9:M29),4)</f>
        <v>1.3426</v>
      </c>
      <c r="N30" s="36">
        <f>ROUND(AVERAGE(N9:N29),4)</f>
        <v>1.2165999999999999</v>
      </c>
      <c r="O30" s="175">
        <f>ROUND(AVERAGE(O9:O29),2)</f>
        <v>103.78</v>
      </c>
      <c r="P30" s="35">
        <f>AVERAGE(P9:P29)</f>
        <v>23754.943333333333</v>
      </c>
      <c r="Q30" s="35">
        <f>AVERAGE(Q9:Q29)</f>
        <v>23970.555714285718</v>
      </c>
      <c r="R30" s="35">
        <f>AVERAGE(R9:R29)</f>
        <v>26213.026405315773</v>
      </c>
      <c r="S30" s="34">
        <f>AVERAGE(S9:S29)</f>
        <v>1.3438047619047619</v>
      </c>
    </row>
    <row r="31" spans="2:19" s="5" customFormat="1" x14ac:dyDescent="0.2">
      <c r="B31" s="33" t="s">
        <v>12</v>
      </c>
      <c r="C31" s="32">
        <f t="shared" ref="C31:S31" si="4">MAX(C9:C29)</f>
        <v>32000</v>
      </c>
      <c r="D31" s="31">
        <f t="shared" si="4"/>
        <v>32000</v>
      </c>
      <c r="E31" s="30">
        <f t="shared" si="4"/>
        <v>32000</v>
      </c>
      <c r="F31" s="32">
        <f t="shared" si="4"/>
        <v>32500</v>
      </c>
      <c r="G31" s="31">
        <f t="shared" si="4"/>
        <v>32500</v>
      </c>
      <c r="H31" s="30">
        <f t="shared" si="4"/>
        <v>32500</v>
      </c>
      <c r="I31" s="32">
        <f t="shared" si="4"/>
        <v>34275</v>
      </c>
      <c r="J31" s="31">
        <f t="shared" si="4"/>
        <v>34275</v>
      </c>
      <c r="K31" s="30">
        <f t="shared" si="4"/>
        <v>34275</v>
      </c>
      <c r="L31" s="29">
        <f t="shared" si="4"/>
        <v>32000</v>
      </c>
      <c r="M31" s="28">
        <f t="shared" si="4"/>
        <v>1.3663000000000001</v>
      </c>
      <c r="N31" s="27">
        <f t="shared" si="4"/>
        <v>1.2290000000000001</v>
      </c>
      <c r="O31" s="26">
        <f t="shared" si="4"/>
        <v>104.66</v>
      </c>
      <c r="P31" s="25">
        <f t="shared" si="4"/>
        <v>24088.99</v>
      </c>
      <c r="Q31" s="25">
        <f t="shared" si="4"/>
        <v>24384.55</v>
      </c>
      <c r="R31" s="25">
        <f t="shared" si="4"/>
        <v>26719.31143979276</v>
      </c>
      <c r="S31" s="24">
        <f t="shared" si="4"/>
        <v>1.3671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31575</v>
      </c>
      <c r="D32" s="21">
        <f t="shared" si="5"/>
        <v>31575</v>
      </c>
      <c r="E32" s="20">
        <f t="shared" si="5"/>
        <v>31575</v>
      </c>
      <c r="F32" s="22">
        <f t="shared" si="5"/>
        <v>32000</v>
      </c>
      <c r="G32" s="21">
        <f t="shared" si="5"/>
        <v>32000</v>
      </c>
      <c r="H32" s="20">
        <f t="shared" si="5"/>
        <v>32000</v>
      </c>
      <c r="I32" s="22">
        <f t="shared" si="5"/>
        <v>33460</v>
      </c>
      <c r="J32" s="21">
        <f t="shared" si="5"/>
        <v>33460</v>
      </c>
      <c r="K32" s="20">
        <f t="shared" si="5"/>
        <v>33460</v>
      </c>
      <c r="L32" s="19">
        <f t="shared" si="5"/>
        <v>31575</v>
      </c>
      <c r="M32" s="18">
        <f t="shared" si="5"/>
        <v>1.3167</v>
      </c>
      <c r="N32" s="17">
        <f t="shared" si="5"/>
        <v>1.1967000000000001</v>
      </c>
      <c r="O32" s="16">
        <f t="shared" si="5"/>
        <v>103.02</v>
      </c>
      <c r="P32" s="15">
        <f t="shared" si="5"/>
        <v>23420.92</v>
      </c>
      <c r="Q32" s="15">
        <f t="shared" si="5"/>
        <v>23546.19</v>
      </c>
      <c r="R32" s="15">
        <f t="shared" si="5"/>
        <v>26037.428803905612</v>
      </c>
      <c r="S32" s="14">
        <f t="shared" si="5"/>
        <v>1.3179000000000001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4"/>
  <sheetViews>
    <sheetView workbookViewId="0">
      <selection activeCell="D41" sqref="D41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44196</v>
      </c>
      <c r="D5" s="74"/>
      <c r="F5" s="75">
        <v>44196</v>
      </c>
      <c r="G5" s="74"/>
      <c r="I5" s="75">
        <v>44196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44166</v>
      </c>
      <c r="D8" s="68">
        <v>7621.86</v>
      </c>
      <c r="F8" s="69">
        <f t="shared" ref="F8:F28" si="0">C8</f>
        <v>44166</v>
      </c>
      <c r="G8" s="68">
        <v>2044</v>
      </c>
      <c r="I8" s="69">
        <f t="shared" ref="I8:I28" si="1">C8</f>
        <v>44166</v>
      </c>
      <c r="J8" s="68">
        <v>2797.78</v>
      </c>
    </row>
    <row r="9" spans="2:10" x14ac:dyDescent="0.2">
      <c r="C9" s="69">
        <v>44167</v>
      </c>
      <c r="D9" s="68">
        <v>7675.5</v>
      </c>
      <c r="F9" s="69">
        <f t="shared" si="0"/>
        <v>44167</v>
      </c>
      <c r="G9" s="68">
        <v>2076.62</v>
      </c>
      <c r="I9" s="69">
        <f t="shared" si="1"/>
        <v>44167</v>
      </c>
      <c r="J9" s="68">
        <v>2778.79</v>
      </c>
    </row>
    <row r="10" spans="2:10" x14ac:dyDescent="0.2">
      <c r="C10" s="69">
        <v>44168</v>
      </c>
      <c r="D10" s="68">
        <v>7636.7</v>
      </c>
      <c r="F10" s="69">
        <f t="shared" si="0"/>
        <v>44168</v>
      </c>
      <c r="G10" s="68">
        <v>2022.77</v>
      </c>
      <c r="I10" s="69">
        <f t="shared" si="1"/>
        <v>44168</v>
      </c>
      <c r="J10" s="68">
        <v>2756.48</v>
      </c>
    </row>
    <row r="11" spans="2:10" x14ac:dyDescent="0.2">
      <c r="C11" s="69">
        <v>44169</v>
      </c>
      <c r="D11" s="68">
        <v>7756.83</v>
      </c>
      <c r="F11" s="69">
        <f t="shared" si="0"/>
        <v>44169</v>
      </c>
      <c r="G11" s="68">
        <v>2035.5</v>
      </c>
      <c r="I11" s="69">
        <f t="shared" si="1"/>
        <v>44169</v>
      </c>
      <c r="J11" s="68">
        <v>2780</v>
      </c>
    </row>
    <row r="12" spans="2:10" x14ac:dyDescent="0.2">
      <c r="C12" s="69">
        <v>44172</v>
      </c>
      <c r="D12" s="68">
        <v>7705.03</v>
      </c>
      <c r="F12" s="69">
        <f t="shared" si="0"/>
        <v>44172</v>
      </c>
      <c r="G12" s="68">
        <v>2016.5</v>
      </c>
      <c r="I12" s="69">
        <f t="shared" si="1"/>
        <v>44172</v>
      </c>
      <c r="J12" s="68">
        <v>2766.68</v>
      </c>
    </row>
    <row r="13" spans="2:10" x14ac:dyDescent="0.2">
      <c r="C13" s="69">
        <v>44173</v>
      </c>
      <c r="D13" s="68">
        <v>7689.59</v>
      </c>
      <c r="F13" s="69">
        <f t="shared" si="0"/>
        <v>44173</v>
      </c>
      <c r="G13" s="68">
        <v>2008.4</v>
      </c>
      <c r="I13" s="69">
        <f t="shared" si="1"/>
        <v>44173</v>
      </c>
      <c r="J13" s="68">
        <v>2796</v>
      </c>
    </row>
    <row r="14" spans="2:10" x14ac:dyDescent="0.2">
      <c r="C14" s="69">
        <v>44174</v>
      </c>
      <c r="D14" s="68">
        <v>7749</v>
      </c>
      <c r="F14" s="69">
        <f t="shared" si="0"/>
        <v>44174</v>
      </c>
      <c r="G14" s="68">
        <v>2007.54</v>
      </c>
      <c r="I14" s="69">
        <f t="shared" si="1"/>
        <v>44174</v>
      </c>
      <c r="J14" s="68">
        <v>2832.14</v>
      </c>
    </row>
    <row r="15" spans="2:10" x14ac:dyDescent="0.2">
      <c r="C15" s="69">
        <v>44175</v>
      </c>
      <c r="D15" s="68">
        <v>7734.74</v>
      </c>
      <c r="F15" s="69">
        <f t="shared" si="0"/>
        <v>44175</v>
      </c>
      <c r="G15" s="68">
        <v>2045</v>
      </c>
      <c r="I15" s="69">
        <f t="shared" si="1"/>
        <v>44175</v>
      </c>
      <c r="J15" s="68">
        <v>2838.67</v>
      </c>
    </row>
    <row r="16" spans="2:10" x14ac:dyDescent="0.2">
      <c r="C16" s="69">
        <v>44176</v>
      </c>
      <c r="D16" s="68">
        <v>7822.91</v>
      </c>
      <c r="F16" s="69">
        <f t="shared" si="0"/>
        <v>44176</v>
      </c>
      <c r="G16" s="68">
        <v>2032.23</v>
      </c>
      <c r="I16" s="69">
        <f t="shared" si="1"/>
        <v>44176</v>
      </c>
      <c r="J16" s="68">
        <v>2848.62</v>
      </c>
    </row>
    <row r="17" spans="2:10" x14ac:dyDescent="0.2">
      <c r="C17" s="69">
        <v>44179</v>
      </c>
      <c r="D17" s="68">
        <v>7805.88</v>
      </c>
      <c r="F17" s="69">
        <f t="shared" si="0"/>
        <v>44179</v>
      </c>
      <c r="G17" s="68">
        <v>2042.5</v>
      </c>
      <c r="I17" s="69">
        <f t="shared" si="1"/>
        <v>44179</v>
      </c>
      <c r="J17" s="68">
        <v>2816.12</v>
      </c>
    </row>
    <row r="18" spans="2:10" x14ac:dyDescent="0.2">
      <c r="C18" s="69">
        <v>44180</v>
      </c>
      <c r="D18" s="68">
        <v>7761.5</v>
      </c>
      <c r="F18" s="69">
        <f t="shared" si="0"/>
        <v>44180</v>
      </c>
      <c r="G18" s="68">
        <v>2037</v>
      </c>
      <c r="I18" s="69">
        <f t="shared" si="1"/>
        <v>44180</v>
      </c>
      <c r="J18" s="68">
        <v>2834.12</v>
      </c>
    </row>
    <row r="19" spans="2:10" x14ac:dyDescent="0.2">
      <c r="C19" s="69">
        <v>44181</v>
      </c>
      <c r="D19" s="68">
        <v>7807.79</v>
      </c>
      <c r="F19" s="69">
        <f t="shared" si="0"/>
        <v>44181</v>
      </c>
      <c r="G19" s="68">
        <v>2033.94</v>
      </c>
      <c r="I19" s="69">
        <f t="shared" si="1"/>
        <v>44181</v>
      </c>
      <c r="J19" s="68">
        <v>2846.5</v>
      </c>
    </row>
    <row r="20" spans="2:10" x14ac:dyDescent="0.2">
      <c r="C20" s="69">
        <v>44182</v>
      </c>
      <c r="D20" s="68">
        <v>7913.54</v>
      </c>
      <c r="F20" s="69">
        <f t="shared" si="0"/>
        <v>44182</v>
      </c>
      <c r="G20" s="68">
        <v>2049.5</v>
      </c>
      <c r="I20" s="69">
        <f t="shared" si="1"/>
        <v>44182</v>
      </c>
      <c r="J20" s="68">
        <v>2878.47</v>
      </c>
    </row>
    <row r="21" spans="2:10" x14ac:dyDescent="0.2">
      <c r="C21" s="69">
        <v>44183</v>
      </c>
      <c r="D21" s="68">
        <v>7997.58</v>
      </c>
      <c r="F21" s="69">
        <f t="shared" si="0"/>
        <v>44183</v>
      </c>
      <c r="G21" s="68">
        <v>2079</v>
      </c>
      <c r="I21" s="69">
        <f t="shared" si="1"/>
        <v>44183</v>
      </c>
      <c r="J21" s="68">
        <v>2875.63</v>
      </c>
    </row>
    <row r="22" spans="2:10" x14ac:dyDescent="0.2">
      <c r="C22" s="69">
        <v>44186</v>
      </c>
      <c r="D22" s="68">
        <v>7972.82</v>
      </c>
      <c r="F22" s="69">
        <f t="shared" si="0"/>
        <v>44186</v>
      </c>
      <c r="G22" s="68">
        <v>2031.42</v>
      </c>
      <c r="I22" s="69">
        <f t="shared" si="1"/>
        <v>44186</v>
      </c>
      <c r="J22" s="68">
        <v>2893.84</v>
      </c>
    </row>
    <row r="23" spans="2:10" x14ac:dyDescent="0.2">
      <c r="C23" s="69">
        <v>44187</v>
      </c>
      <c r="D23" s="68">
        <v>7788.35</v>
      </c>
      <c r="F23" s="69">
        <f t="shared" si="0"/>
        <v>44187</v>
      </c>
      <c r="G23" s="68">
        <v>1996</v>
      </c>
      <c r="I23" s="69">
        <f t="shared" si="1"/>
        <v>44187</v>
      </c>
      <c r="J23" s="68">
        <v>2799.31</v>
      </c>
    </row>
    <row r="24" spans="2:10" x14ac:dyDescent="0.2">
      <c r="C24" s="69">
        <v>44188</v>
      </c>
      <c r="D24" s="68">
        <v>7778</v>
      </c>
      <c r="F24" s="69">
        <f t="shared" si="0"/>
        <v>44188</v>
      </c>
      <c r="G24" s="68">
        <v>1993</v>
      </c>
      <c r="I24" s="69">
        <f t="shared" si="1"/>
        <v>44188</v>
      </c>
      <c r="J24" s="68">
        <v>2783.5</v>
      </c>
    </row>
    <row r="25" spans="2:10" x14ac:dyDescent="0.2">
      <c r="C25" s="69">
        <v>44189</v>
      </c>
      <c r="D25" s="68">
        <v>7827</v>
      </c>
      <c r="F25" s="69">
        <f t="shared" si="0"/>
        <v>44189</v>
      </c>
      <c r="G25" s="68">
        <v>2019.67</v>
      </c>
      <c r="I25" s="69">
        <f t="shared" si="1"/>
        <v>44189</v>
      </c>
      <c r="J25" s="68">
        <v>2819</v>
      </c>
    </row>
    <row r="26" spans="2:10" x14ac:dyDescent="0.2">
      <c r="C26" s="69">
        <v>44194</v>
      </c>
      <c r="D26" s="68">
        <v>7842</v>
      </c>
      <c r="F26" s="69">
        <f t="shared" si="0"/>
        <v>44194</v>
      </c>
      <c r="G26" s="68">
        <v>1988.03</v>
      </c>
      <c r="I26" s="69">
        <f t="shared" si="1"/>
        <v>44194</v>
      </c>
      <c r="J26" s="68">
        <v>2790.28</v>
      </c>
    </row>
    <row r="27" spans="2:10" x14ac:dyDescent="0.2">
      <c r="C27" s="69">
        <v>44195</v>
      </c>
      <c r="D27" s="68">
        <v>7886</v>
      </c>
      <c r="F27" s="69">
        <f t="shared" si="0"/>
        <v>44195</v>
      </c>
      <c r="G27" s="68">
        <v>1994.92</v>
      </c>
      <c r="I27" s="69">
        <f t="shared" si="1"/>
        <v>44195</v>
      </c>
      <c r="J27" s="68">
        <v>2769.58</v>
      </c>
    </row>
    <row r="28" spans="2:10" ht="13.5" thickBot="1" x14ac:dyDescent="0.25">
      <c r="C28" s="69">
        <v>44196</v>
      </c>
      <c r="D28" s="68">
        <v>7777.83</v>
      </c>
      <c r="F28" s="69">
        <f t="shared" si="0"/>
        <v>44196</v>
      </c>
      <c r="G28" s="68">
        <v>1993</v>
      </c>
      <c r="I28" s="69">
        <f t="shared" si="1"/>
        <v>44196</v>
      </c>
      <c r="J28" s="68">
        <v>2734.18</v>
      </c>
    </row>
    <row r="29" spans="2:10" x14ac:dyDescent="0.2">
      <c r="B29" s="5"/>
      <c r="C29" s="67" t="s">
        <v>11</v>
      </c>
      <c r="D29" s="66">
        <f>ROUND(AVERAGE(D8:D28),2)</f>
        <v>7788.12</v>
      </c>
      <c r="F29" s="67" t="s">
        <v>11</v>
      </c>
      <c r="G29" s="66">
        <f>ROUND(AVERAGE(G8:G28),2)</f>
        <v>2026.03</v>
      </c>
      <c r="I29" s="67" t="s">
        <v>11</v>
      </c>
      <c r="J29" s="66">
        <f>ROUND(AVERAGE(J8:J28),2)</f>
        <v>2811.22</v>
      </c>
    </row>
    <row r="30" spans="2:10" x14ac:dyDescent="0.2">
      <c r="B30" s="5"/>
      <c r="C30" s="65" t="s">
        <v>12</v>
      </c>
      <c r="D30" s="64">
        <f>MAX(D8:D28)</f>
        <v>7997.58</v>
      </c>
      <c r="F30" s="65" t="s">
        <v>12</v>
      </c>
      <c r="G30" s="64">
        <f>MAX(G8:G28)</f>
        <v>2079</v>
      </c>
      <c r="I30" s="65" t="s">
        <v>12</v>
      </c>
      <c r="J30" s="64">
        <f>MAX(J8:J28)</f>
        <v>2893.84</v>
      </c>
    </row>
    <row r="31" spans="2:10" x14ac:dyDescent="0.2">
      <c r="B31" s="5"/>
      <c r="C31" s="63" t="s">
        <v>13</v>
      </c>
      <c r="D31" s="62">
        <f>MIN(D8:D28)</f>
        <v>7621.86</v>
      </c>
      <c r="F31" s="63" t="s">
        <v>13</v>
      </c>
      <c r="G31" s="62">
        <f>MIN(G8:G28)</f>
        <v>1988.03</v>
      </c>
      <c r="I31" s="63" t="s">
        <v>13</v>
      </c>
      <c r="J31" s="62">
        <f>MIN(J8:J28)</f>
        <v>2734.18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7788.12</v>
      </c>
      <c r="D11" s="155">
        <f>ABR!G29</f>
        <v>2026.03</v>
      </c>
      <c r="E11" s="155">
        <f>ABR!J29</f>
        <v>2811.22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1.3426</v>
      </c>
    </row>
    <row r="18" spans="2:9" x14ac:dyDescent="0.2">
      <c r="B18" s="151" t="s">
        <v>43</v>
      </c>
      <c r="C18" s="150">
        <f>'Averages Inc. Euro Eq'!F67</f>
        <v>103.78</v>
      </c>
    </row>
    <row r="19" spans="2:9" x14ac:dyDescent="0.2">
      <c r="B19" s="151" t="s">
        <v>41</v>
      </c>
      <c r="C19" s="149">
        <f>'Averages Inc. Euro Eq'!F68</f>
        <v>1.2165999999999999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topLeftCell="A7"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2017.9</v>
      </c>
      <c r="D13" s="113">
        <v>1866.14</v>
      </c>
      <c r="E13" s="113">
        <v>7755.24</v>
      </c>
      <c r="F13" s="113">
        <v>2018.6</v>
      </c>
      <c r="G13" s="113">
        <v>16807.05</v>
      </c>
      <c r="H13" s="113">
        <v>19727.330000000002</v>
      </c>
      <c r="I13" s="113">
        <v>2782.36</v>
      </c>
      <c r="J13" s="113">
        <v>1934.12</v>
      </c>
      <c r="K13" s="113">
        <v>0.5</v>
      </c>
      <c r="L13" s="113">
        <v>31890.71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2017.9</v>
      </c>
      <c r="D15" s="113">
        <v>1866.14</v>
      </c>
      <c r="E15" s="113">
        <v>7755.24</v>
      </c>
      <c r="F15" s="113">
        <v>2018.6</v>
      </c>
      <c r="G15" s="113">
        <v>16807.05</v>
      </c>
      <c r="H15" s="113">
        <v>19727.330000000002</v>
      </c>
      <c r="I15" s="113">
        <v>2782.36</v>
      </c>
      <c r="J15" s="113">
        <v>1934.12</v>
      </c>
      <c r="K15" s="113">
        <v>1</v>
      </c>
      <c r="L15" s="113">
        <v>31890.71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2017.9</v>
      </c>
      <c r="D17" s="113">
        <v>1866.14</v>
      </c>
      <c r="E17" s="113">
        <v>7755.24</v>
      </c>
      <c r="F17" s="113">
        <v>2018.6</v>
      </c>
      <c r="G17" s="113">
        <v>16807.05</v>
      </c>
      <c r="H17" s="113">
        <v>19727.330000000002</v>
      </c>
      <c r="I17" s="113">
        <v>2782.36</v>
      </c>
      <c r="J17" s="113">
        <v>1934.12</v>
      </c>
      <c r="K17" s="113">
        <v>0.75</v>
      </c>
      <c r="L17" s="113">
        <v>31890.71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2028.9</v>
      </c>
      <c r="D19" s="113">
        <v>1842.9</v>
      </c>
      <c r="E19" s="113">
        <v>7771.5</v>
      </c>
      <c r="F19" s="113">
        <v>2028.62</v>
      </c>
      <c r="G19" s="113">
        <v>16870</v>
      </c>
      <c r="H19" s="113">
        <v>19642.52</v>
      </c>
      <c r="I19" s="113">
        <v>2809.14</v>
      </c>
      <c r="J19" s="113">
        <v>1949.12</v>
      </c>
      <c r="K19" s="113">
        <v>0.5</v>
      </c>
      <c r="L19" s="113">
        <v>32209.05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2028.9</v>
      </c>
      <c r="D21" s="113">
        <v>1842.9</v>
      </c>
      <c r="E21" s="113">
        <v>7771.5</v>
      </c>
      <c r="F21" s="113">
        <v>2028.62</v>
      </c>
      <c r="G21" s="113">
        <v>16870</v>
      </c>
      <c r="H21" s="113">
        <v>19642.52</v>
      </c>
      <c r="I21" s="113">
        <v>2809.14</v>
      </c>
      <c r="J21" s="113">
        <v>1949.12</v>
      </c>
      <c r="K21" s="113">
        <v>1</v>
      </c>
      <c r="L21" s="113">
        <v>32209.05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2028.9</v>
      </c>
      <c r="D23" s="113">
        <v>1842.9</v>
      </c>
      <c r="E23" s="113">
        <v>7771.5</v>
      </c>
      <c r="F23" s="113">
        <v>2028.62</v>
      </c>
      <c r="G23" s="113">
        <v>16870</v>
      </c>
      <c r="H23" s="113">
        <v>19642.52</v>
      </c>
      <c r="I23" s="113">
        <v>2809.14</v>
      </c>
      <c r="J23" s="113">
        <v>1949.12</v>
      </c>
      <c r="K23" s="113">
        <v>0.75</v>
      </c>
      <c r="L23" s="113">
        <v>32209.05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2053.52</v>
      </c>
      <c r="D25" s="113">
        <v>1837.1</v>
      </c>
      <c r="E25" s="113">
        <v>7750.4</v>
      </c>
      <c r="F25" s="113">
        <v>2055.7600000000002</v>
      </c>
      <c r="G25" s="113">
        <v>16996.95</v>
      </c>
      <c r="H25" s="113"/>
      <c r="I25" s="113">
        <v>2836.12</v>
      </c>
      <c r="J25" s="113">
        <v>1971.71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2053.52</v>
      </c>
      <c r="D27" s="113">
        <v>1837.1</v>
      </c>
      <c r="E27" s="113">
        <v>7750.4</v>
      </c>
      <c r="F27" s="113">
        <v>2055.7600000000002</v>
      </c>
      <c r="G27" s="113">
        <v>16996.95</v>
      </c>
      <c r="H27" s="113"/>
      <c r="I27" s="113">
        <v>2836.12</v>
      </c>
      <c r="J27" s="113">
        <v>1971.71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2053.52</v>
      </c>
      <c r="D29" s="113">
        <v>1837.1</v>
      </c>
      <c r="E29" s="113">
        <v>7750.4</v>
      </c>
      <c r="F29" s="113">
        <v>2055.7600000000002</v>
      </c>
      <c r="G29" s="113">
        <v>16996.95</v>
      </c>
      <c r="H29" s="113"/>
      <c r="I29" s="113">
        <v>2836.12</v>
      </c>
      <c r="J29" s="113">
        <v>1971.71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2093.4299999999998</v>
      </c>
      <c r="D31" s="113"/>
      <c r="E31" s="113">
        <v>7696.98</v>
      </c>
      <c r="F31" s="113">
        <v>2087.4299999999998</v>
      </c>
      <c r="G31" s="113">
        <v>17164.38</v>
      </c>
      <c r="H31" s="113"/>
      <c r="I31" s="113">
        <v>2827.55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2093.4299999999998</v>
      </c>
      <c r="D33" s="113"/>
      <c r="E33" s="113">
        <v>7696.98</v>
      </c>
      <c r="F33" s="113">
        <v>2087.4299999999998</v>
      </c>
      <c r="G33" s="113">
        <v>17164.38</v>
      </c>
      <c r="H33" s="113"/>
      <c r="I33" s="113">
        <v>2827.55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2093.4299999999998</v>
      </c>
      <c r="D35" s="113"/>
      <c r="E35" s="113">
        <v>7696.98</v>
      </c>
      <c r="F35" s="113">
        <v>2087.4299999999998</v>
      </c>
      <c r="G35" s="113">
        <v>17164.38</v>
      </c>
      <c r="H35" s="113"/>
      <c r="I35" s="113">
        <v>2827.55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2137.12</v>
      </c>
      <c r="D37" s="113"/>
      <c r="E37" s="113">
        <v>7666.79</v>
      </c>
      <c r="F37" s="113">
        <v>2117.5500000000002</v>
      </c>
      <c r="G37" s="113">
        <v>17331.86</v>
      </c>
      <c r="H37" s="113"/>
      <c r="I37" s="113">
        <v>2811.29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2137.12</v>
      </c>
      <c r="D39" s="113"/>
      <c r="E39" s="113">
        <v>7666.79</v>
      </c>
      <c r="F39" s="113">
        <v>2117.5500000000002</v>
      </c>
      <c r="G39" s="113">
        <v>17331.86</v>
      </c>
      <c r="H39" s="113"/>
      <c r="I39" s="113">
        <v>2811.29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2137.12</v>
      </c>
      <c r="D41" s="113"/>
      <c r="E41" s="113">
        <v>7666.79</v>
      </c>
      <c r="F41" s="113">
        <v>2117.5500000000002</v>
      </c>
      <c r="G41" s="113">
        <v>17331.86</v>
      </c>
      <c r="H41" s="113"/>
      <c r="I41" s="113">
        <v>2811.29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19419.330000000002</v>
      </c>
      <c r="I43" s="113"/>
      <c r="J43" s="113"/>
      <c r="K43" s="113">
        <v>0.5</v>
      </c>
      <c r="L43" s="113">
        <v>33835.24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19419.330000000002</v>
      </c>
      <c r="I45" s="113"/>
      <c r="J45" s="113"/>
      <c r="K45" s="113">
        <v>1</v>
      </c>
      <c r="L45" s="113">
        <v>33835.24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19419.330000000002</v>
      </c>
      <c r="I47" s="110"/>
      <c r="J47" s="110"/>
      <c r="K47" s="110">
        <v>0.75</v>
      </c>
      <c r="L47" s="110">
        <v>33835.24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1658.71</v>
      </c>
    </row>
    <row r="55" spans="2:5" x14ac:dyDescent="0.2">
      <c r="B55" s="100" t="s">
        <v>56</v>
      </c>
      <c r="C55" s="101">
        <v>1533.63</v>
      </c>
    </row>
    <row r="56" spans="2:5" x14ac:dyDescent="0.2">
      <c r="B56" s="100" t="s">
        <v>55</v>
      </c>
      <c r="C56" s="101">
        <v>6374.27</v>
      </c>
    </row>
    <row r="57" spans="2:5" x14ac:dyDescent="0.2">
      <c r="B57" s="100" t="s">
        <v>54</v>
      </c>
      <c r="C57" s="101">
        <v>1659.38</v>
      </c>
    </row>
    <row r="58" spans="2:5" x14ac:dyDescent="0.2">
      <c r="B58" s="100" t="s">
        <v>53</v>
      </c>
      <c r="C58" s="101">
        <v>13813.65</v>
      </c>
    </row>
    <row r="59" spans="2:5" x14ac:dyDescent="0.2">
      <c r="B59" s="100" t="s">
        <v>52</v>
      </c>
      <c r="C59" s="101">
        <v>16212.94</v>
      </c>
    </row>
    <row r="60" spans="2:5" x14ac:dyDescent="0.2">
      <c r="B60" s="100" t="s">
        <v>51</v>
      </c>
      <c r="C60" s="101">
        <v>2287</v>
      </c>
    </row>
    <row r="61" spans="2:5" x14ac:dyDescent="0.2">
      <c r="B61" s="98" t="s">
        <v>50</v>
      </c>
      <c r="C61" s="97">
        <v>1589.58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5776.57</v>
      </c>
      <c r="E65" s="96" t="s">
        <v>46</v>
      </c>
    </row>
    <row r="66" spans="2:9" x14ac:dyDescent="0.2">
      <c r="B66" s="93" t="s">
        <v>45</v>
      </c>
      <c r="D66" s="92">
        <v>5783.4</v>
      </c>
      <c r="E66" s="95" t="s">
        <v>10</v>
      </c>
      <c r="F66" s="90">
        <v>1.3426</v>
      </c>
    </row>
    <row r="67" spans="2:9" x14ac:dyDescent="0.2">
      <c r="B67" s="93" t="s">
        <v>44</v>
      </c>
      <c r="D67" s="92">
        <v>1503.76</v>
      </c>
      <c r="E67" s="95" t="s">
        <v>43</v>
      </c>
      <c r="F67" s="94">
        <v>103.78</v>
      </c>
    </row>
    <row r="68" spans="2:9" x14ac:dyDescent="0.2">
      <c r="B68" s="93" t="s">
        <v>42</v>
      </c>
      <c r="D68" s="92">
        <v>1509.85</v>
      </c>
      <c r="E68" s="91" t="s">
        <v>41</v>
      </c>
      <c r="F68" s="90">
        <v>1.2165999999999999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0A0CF8-42EB-4742-B745-BCF367CF931B}"/>
</file>

<file path=customXml/itemProps2.xml><?xml version="1.0" encoding="utf-8"?>
<ds:datastoreItem xmlns:ds="http://schemas.openxmlformats.org/officeDocument/2006/customXml" ds:itemID="{33CE7FE8-D442-4FA4-AC9A-85D0628A6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2021-01-04T13:11:05Z</cp:lastPrinted>
  <dcterms:created xsi:type="dcterms:W3CDTF">2012-05-31T12:49:12Z</dcterms:created>
  <dcterms:modified xsi:type="dcterms:W3CDTF">2021-01-04T13:21:57Z</dcterms:modified>
</cp:coreProperties>
</file>