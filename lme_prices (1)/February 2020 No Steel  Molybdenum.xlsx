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REÇO LME\plhanilhas LME mensais\Ano 2020\"/>
    </mc:Choice>
  </mc:AlternateContent>
  <bookViews>
    <workbookView xWindow="0" yWindow="0" windowWidth="20490" windowHeight="7455" tabRatio="993" activeTab="1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D11" i="13"/>
  <c r="C11" i="13"/>
  <c r="J30" i="12"/>
  <c r="G30" i="12"/>
  <c r="D30" i="12"/>
  <c r="J29" i="12"/>
  <c r="G29" i="12"/>
  <c r="D29" i="12"/>
  <c r="J28" i="12"/>
  <c r="E11" i="13" s="1"/>
  <c r="G28" i="12"/>
  <c r="D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R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R30" i="10"/>
  <c r="Q30" i="10"/>
  <c r="P30" i="10"/>
  <c r="O30" i="10"/>
  <c r="N30" i="10"/>
  <c r="M30" i="10"/>
  <c r="L30" i="10"/>
  <c r="K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K29" i="10"/>
  <c r="J29" i="10"/>
  <c r="I29" i="10"/>
  <c r="G29" i="10"/>
  <c r="H29" i="10" s="1"/>
  <c r="F29" i="10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29" i="10" s="1"/>
  <c r="K9" i="10"/>
  <c r="K31" i="10" s="1"/>
  <c r="H9" i="10"/>
  <c r="H31" i="10" s="1"/>
  <c r="E9" i="10"/>
  <c r="E30" i="10" s="1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X30" i="8"/>
  <c r="W30" i="8"/>
  <c r="V30" i="8"/>
  <c r="U30" i="8"/>
  <c r="T30" i="8"/>
  <c r="S30" i="8"/>
  <c r="R30" i="8"/>
  <c r="P30" i="8"/>
  <c r="O30" i="8"/>
  <c r="M30" i="8"/>
  <c r="L30" i="8"/>
  <c r="J30" i="8"/>
  <c r="I30" i="8"/>
  <c r="H30" i="8"/>
  <c r="G30" i="8"/>
  <c r="F30" i="8"/>
  <c r="D30" i="8"/>
  <c r="C30" i="8"/>
  <c r="Y29" i="8"/>
  <c r="W29" i="8"/>
  <c r="V29" i="8"/>
  <c r="U29" i="8"/>
  <c r="T29" i="8"/>
  <c r="S29" i="8"/>
  <c r="R29" i="8"/>
  <c r="P29" i="8"/>
  <c r="O29" i="8"/>
  <c r="Q29" i="8" s="1"/>
  <c r="M29" i="8"/>
  <c r="L29" i="8"/>
  <c r="N29" i="8" s="1"/>
  <c r="K29" i="8"/>
  <c r="J29" i="8"/>
  <c r="I29" i="8"/>
  <c r="G29" i="8"/>
  <c r="H29" i="8" s="1"/>
  <c r="F29" i="8"/>
  <c r="D29" i="8"/>
  <c r="C29" i="8"/>
  <c r="E29" i="8" s="1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1" i="8" s="1"/>
  <c r="K10" i="8"/>
  <c r="H10" i="8"/>
  <c r="E10" i="8"/>
  <c r="X9" i="8"/>
  <c r="X31" i="8" s="1"/>
  <c r="Q9" i="8"/>
  <c r="Q30" i="8" s="1"/>
  <c r="N9" i="8"/>
  <c r="N30" i="8" s="1"/>
  <c r="K9" i="8"/>
  <c r="K30" i="8" s="1"/>
  <c r="H9" i="8"/>
  <c r="H31" i="8" s="1"/>
  <c r="E9" i="8"/>
  <c r="E30" i="8" s="1"/>
  <c r="S31" i="7"/>
  <c r="Q31" i="7"/>
  <c r="P31" i="7"/>
  <c r="O31" i="7"/>
  <c r="N31" i="7"/>
  <c r="M31" i="7"/>
  <c r="L31" i="7"/>
  <c r="J31" i="7"/>
  <c r="I31" i="7"/>
  <c r="H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G30" i="7"/>
  <c r="F30" i="7"/>
  <c r="E30" i="7"/>
  <c r="D30" i="7"/>
  <c r="C30" i="7"/>
  <c r="S29" i="7"/>
  <c r="Q29" i="7"/>
  <c r="P29" i="7"/>
  <c r="O29" i="7"/>
  <c r="N29" i="7"/>
  <c r="M29" i="7"/>
  <c r="L29" i="7"/>
  <c r="J29" i="7"/>
  <c r="K29" i="7" s="1"/>
  <c r="I29" i="7"/>
  <c r="G29" i="7"/>
  <c r="F29" i="7"/>
  <c r="H29" i="7" s="1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0" i="7" s="1"/>
  <c r="K9" i="7"/>
  <c r="K31" i="7" s="1"/>
  <c r="H9" i="7"/>
  <c r="H30" i="7" s="1"/>
  <c r="E9" i="7"/>
  <c r="E31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X30" i="6"/>
  <c r="W30" i="6"/>
  <c r="V30" i="6"/>
  <c r="U30" i="6"/>
  <c r="T30" i="6"/>
  <c r="S30" i="6"/>
  <c r="R30" i="6"/>
  <c r="P30" i="6"/>
  <c r="O30" i="6"/>
  <c r="M30" i="6"/>
  <c r="L30" i="6"/>
  <c r="J30" i="6"/>
  <c r="I30" i="6"/>
  <c r="H30" i="6"/>
  <c r="G30" i="6"/>
  <c r="F30" i="6"/>
  <c r="D30" i="6"/>
  <c r="C30" i="6"/>
  <c r="Y29" i="6"/>
  <c r="W29" i="6"/>
  <c r="V29" i="6"/>
  <c r="U29" i="6"/>
  <c r="T29" i="6"/>
  <c r="S29" i="6"/>
  <c r="R29" i="6"/>
  <c r="P29" i="6"/>
  <c r="O29" i="6"/>
  <c r="Q29" i="6" s="1"/>
  <c r="M29" i="6"/>
  <c r="L29" i="6"/>
  <c r="N29" i="6" s="1"/>
  <c r="K29" i="6"/>
  <c r="J29" i="6"/>
  <c r="I29" i="6"/>
  <c r="G29" i="6"/>
  <c r="H29" i="6" s="1"/>
  <c r="F29" i="6"/>
  <c r="D29" i="6"/>
  <c r="C29" i="6"/>
  <c r="E29" i="6" s="1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1" i="6" s="1"/>
  <c r="K10" i="6"/>
  <c r="H10" i="6"/>
  <c r="E10" i="6"/>
  <c r="X9" i="6"/>
  <c r="X31" i="6" s="1"/>
  <c r="Q9" i="6"/>
  <c r="Q30" i="6" s="1"/>
  <c r="N9" i="6"/>
  <c r="N30" i="6" s="1"/>
  <c r="K9" i="6"/>
  <c r="K30" i="6" s="1"/>
  <c r="H9" i="6"/>
  <c r="H31" i="6" s="1"/>
  <c r="E9" i="6"/>
  <c r="E31" i="6" s="1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Q30" i="5"/>
  <c r="P30" i="5"/>
  <c r="O30" i="5"/>
  <c r="M30" i="5"/>
  <c r="L30" i="5"/>
  <c r="J30" i="5"/>
  <c r="I30" i="5"/>
  <c r="G30" i="5"/>
  <c r="F30" i="5"/>
  <c r="E30" i="5"/>
  <c r="D30" i="5"/>
  <c r="C30" i="5"/>
  <c r="Y29" i="5"/>
  <c r="W29" i="5"/>
  <c r="V29" i="5"/>
  <c r="U29" i="5"/>
  <c r="T29" i="5"/>
  <c r="S29" i="5"/>
  <c r="R29" i="5"/>
  <c r="P29" i="5"/>
  <c r="Q29" i="5" s="1"/>
  <c r="O29" i="5"/>
  <c r="M29" i="5"/>
  <c r="L29" i="5"/>
  <c r="N29" i="5" s="1"/>
  <c r="J29" i="5"/>
  <c r="I29" i="5"/>
  <c r="K29" i="5" s="1"/>
  <c r="H29" i="5"/>
  <c r="G29" i="5"/>
  <c r="F29" i="5"/>
  <c r="D29" i="5"/>
  <c r="E29" i="5" s="1"/>
  <c r="C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N31" i="5" s="1"/>
  <c r="K10" i="5"/>
  <c r="H10" i="5"/>
  <c r="E10" i="5"/>
  <c r="X9" i="5"/>
  <c r="X30" i="5" s="1"/>
  <c r="Q9" i="5"/>
  <c r="Q31" i="5" s="1"/>
  <c r="N9" i="5"/>
  <c r="K9" i="5"/>
  <c r="K30" i="5" s="1"/>
  <c r="H9" i="5"/>
  <c r="H30" i="5" s="1"/>
  <c r="E9" i="5"/>
  <c r="E31" i="5" s="1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N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Q29" i="4"/>
  <c r="P29" i="4"/>
  <c r="O29" i="4"/>
  <c r="M29" i="4"/>
  <c r="N29" i="4" s="1"/>
  <c r="L29" i="4"/>
  <c r="J29" i="4"/>
  <c r="I29" i="4"/>
  <c r="K29" i="4" s="1"/>
  <c r="G29" i="4"/>
  <c r="F29" i="4"/>
  <c r="H29" i="4" s="1"/>
  <c r="E29" i="4"/>
  <c r="D29" i="4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1" i="4" s="1"/>
  <c r="Q10" i="4"/>
  <c r="N10" i="4"/>
  <c r="K10" i="4"/>
  <c r="H10" i="4"/>
  <c r="H31" i="4" s="1"/>
  <c r="E10" i="4"/>
  <c r="X9" i="4"/>
  <c r="X29" i="4" s="1"/>
  <c r="Q9" i="4"/>
  <c r="Q30" i="4" s="1"/>
  <c r="N9" i="4"/>
  <c r="N31" i="4" s="1"/>
  <c r="K9" i="4"/>
  <c r="K30" i="4" s="1"/>
  <c r="H9" i="4"/>
  <c r="H30" i="4" s="1"/>
  <c r="E9" i="4"/>
  <c r="E30" i="4" s="1"/>
  <c r="S31" i="3"/>
  <c r="R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K30" i="3"/>
  <c r="J30" i="3"/>
  <c r="I30" i="3"/>
  <c r="G30" i="3"/>
  <c r="F30" i="3"/>
  <c r="D30" i="3"/>
  <c r="C30" i="3"/>
  <c r="S29" i="3"/>
  <c r="Q29" i="3"/>
  <c r="P29" i="3"/>
  <c r="O29" i="3"/>
  <c r="N29" i="3"/>
  <c r="M29" i="3"/>
  <c r="L29" i="3"/>
  <c r="J29" i="3"/>
  <c r="I29" i="3"/>
  <c r="K29" i="3" s="1"/>
  <c r="H29" i="3"/>
  <c r="G29" i="3"/>
  <c r="F29" i="3"/>
  <c r="D29" i="3"/>
  <c r="E29" i="3" s="1"/>
  <c r="C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0" i="3" s="1"/>
  <c r="K9" i="3"/>
  <c r="K31" i="3" s="1"/>
  <c r="H9" i="3"/>
  <c r="H30" i="3" s="1"/>
  <c r="E9" i="3"/>
  <c r="E31" i="3" s="1"/>
  <c r="S31" i="2"/>
  <c r="R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R30" i="2"/>
  <c r="Q30" i="2"/>
  <c r="P30" i="2"/>
  <c r="O30" i="2"/>
  <c r="N30" i="2"/>
  <c r="M30" i="2"/>
  <c r="L30" i="2"/>
  <c r="K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K29" i="2"/>
  <c r="J29" i="2"/>
  <c r="I29" i="2"/>
  <c r="G29" i="2"/>
  <c r="H29" i="2" s="1"/>
  <c r="F29" i="2"/>
  <c r="D29" i="2"/>
  <c r="C29" i="2"/>
  <c r="E29" i="2" s="1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29" i="2" s="1"/>
  <c r="K9" i="2"/>
  <c r="K31" i="2" s="1"/>
  <c r="H9" i="2"/>
  <c r="H31" i="2" s="1"/>
  <c r="E9" i="2"/>
  <c r="E30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Q30" i="1"/>
  <c r="P30" i="1"/>
  <c r="O30" i="1"/>
  <c r="M30" i="1"/>
  <c r="L30" i="1"/>
  <c r="J30" i="1"/>
  <c r="I30" i="1"/>
  <c r="G30" i="1"/>
  <c r="F30" i="1"/>
  <c r="E30" i="1"/>
  <c r="D30" i="1"/>
  <c r="C30" i="1"/>
  <c r="Y29" i="1"/>
  <c r="W29" i="1"/>
  <c r="V29" i="1"/>
  <c r="U29" i="1"/>
  <c r="T29" i="1"/>
  <c r="S29" i="1"/>
  <c r="R29" i="1"/>
  <c r="P29" i="1"/>
  <c r="Q29" i="1" s="1"/>
  <c r="O29" i="1"/>
  <c r="M29" i="1"/>
  <c r="L29" i="1"/>
  <c r="N29" i="1" s="1"/>
  <c r="J29" i="1"/>
  <c r="I29" i="1"/>
  <c r="K29" i="1" s="1"/>
  <c r="H29" i="1"/>
  <c r="G29" i="1"/>
  <c r="F29" i="1"/>
  <c r="D29" i="1"/>
  <c r="E29" i="1" s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N30" i="1" s="1"/>
  <c r="K10" i="1"/>
  <c r="H10" i="1"/>
  <c r="E10" i="1"/>
  <c r="X9" i="1"/>
  <c r="X30" i="1" s="1"/>
  <c r="Q9" i="1"/>
  <c r="Q31" i="1" s="1"/>
  <c r="N9" i="1"/>
  <c r="K9" i="1"/>
  <c r="K30" i="1" s="1"/>
  <c r="H9" i="1"/>
  <c r="H30" i="1" s="1"/>
  <c r="E9" i="1"/>
  <c r="E31" i="1" s="1"/>
  <c r="N31" i="1" l="1"/>
  <c r="K31" i="4"/>
  <c r="X29" i="5"/>
  <c r="R29" i="7"/>
  <c r="E31" i="8"/>
  <c r="K31" i="1"/>
  <c r="N30" i="5"/>
  <c r="K31" i="5"/>
  <c r="E30" i="6"/>
  <c r="X29" i="8"/>
  <c r="H31" i="1"/>
  <c r="X31" i="1"/>
  <c r="H30" i="2"/>
  <c r="R29" i="3"/>
  <c r="E30" i="3"/>
  <c r="H31" i="3"/>
  <c r="X30" i="4"/>
  <c r="E31" i="4"/>
  <c r="Q31" i="4"/>
  <c r="H31" i="5"/>
  <c r="X31" i="5"/>
  <c r="K31" i="6"/>
  <c r="K30" i="7"/>
  <c r="R31" i="7"/>
  <c r="K31" i="8"/>
  <c r="H30" i="10"/>
  <c r="X29" i="1"/>
  <c r="E31" i="2"/>
  <c r="Q31" i="6"/>
  <c r="Q31" i="8"/>
  <c r="E31" i="10"/>
  <c r="X29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<sst xmlns="http://schemas.openxmlformats.org/spreadsheetml/2006/main" count="429" uniqueCount="99">
  <si>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</si>
  <si>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</si>
  <si>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</si>
  <si>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</si>
  <si>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</si>
  <si>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</si>
  <si>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</si>
  <si>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</si>
  <si>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</si>
  <si>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</si>
  <si>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</si>
  <si>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</si>
  <si>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</si>
  <si>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</si>
  <si>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</si>
  <si>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</si>
  <si>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</si>
  <si>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</si>
  <si>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</si>
  <si>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</si>
  <si>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</si>
  <si>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</si>
  <si>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</si>
  <si>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</si>
  <si>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</si>
  <si>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</si>
  <si>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</si>
  <si>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</si>
  <si>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</si>
  <si>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</si>
  <si>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</si>
  <si>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</si>
  <si>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</si>
  <si>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</si>
  <si>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</si>
  <si>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</si>
  <si>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</si>
  <si>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</si>
  <si>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</si>
  <si>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</si>
  <si>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</si>
  <si>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</si>
  <si>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</si>
  <si>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</si>
  <si>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</si>
  <si>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</si>
  <si>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</si>
  <si>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</si>
  <si>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</si>
  <si>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</si>
  <si>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</si>
  <si>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</si>
  <si>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</si>
  <si>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</si>
  <si>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</si>
  <si>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</si>
  <si>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</si>
  <si>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</si>
  <si>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</si>
  <si>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</si>
  <si>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</si>
  <si>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</si>
  <si>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</si>
  <si>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</si>
  <si>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</si>
  <si>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</si>
  <si>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</si>
  <si>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</si>
  <si>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</si>
  <si>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</si>
  <si>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</si>
  <si>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</si>
  <si>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</si>
  <si>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</si>
  <si>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</si>
  <si>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</si>
  <si>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</si>
  <si>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</si>
  <si>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</si>
  <si>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</si>
  <si>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</si>
  <si>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</si>
  <si>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</si>
  <si>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</si>
  <si>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</si>
  <si>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</si>
  <si>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</si>
  <si>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</si>
  <si>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</si>
  <si>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</si>
  <si>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</si>
  <si>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</si>
  <si>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</si>
  <si>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</si>
  <si>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</si>
  <si>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FEBRUARY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</si>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</sst>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43864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43864</v>
      </c>
      <c r="C9" s="46">
        <v>5593</v>
      </c>
      <c r="D9" s="45">
        <v>5595</v>
      </c>
      <c r="E9" s="44">
        <f t="shared" ref="E9:E28" si="0">AVERAGE(C9:D9)</f>
        <v>5594</v>
      </c>
      <c r="F9" s="46">
        <v>5600</v>
      </c>
      <c r="G9" s="45">
        <v>5602</v>
      </c>
      <c r="H9" s="44">
        <f t="shared" ref="H9:H28" si="1">AVERAGE(F9:G9)</f>
        <v>5601</v>
      </c>
      <c r="I9" s="46">
        <v>5690</v>
      </c>
      <c r="J9" s="45">
        <v>5700</v>
      </c>
      <c r="K9" s="44">
        <f t="shared" ref="K9:K28" si="2">AVERAGE(I9:J9)</f>
        <v>5695</v>
      </c>
      <c r="L9" s="46">
        <v>5745</v>
      </c>
      <c r="M9" s="45">
        <v>5755</v>
      </c>
      <c r="N9" s="44">
        <f t="shared" ref="N9:N28" si="3">AVERAGE(L9:M9)</f>
        <v>5750</v>
      </c>
      <c r="O9" s="46">
        <v>5790</v>
      </c>
      <c r="P9" s="45">
        <v>5800</v>
      </c>
      <c r="Q9" s="44">
        <f t="shared" ref="Q9:Q28" si="4">AVERAGE(O9:P9)</f>
        <v>5795</v>
      </c>
      <c r="R9" s="52">
        <v>5595</v>
      </c>
      <c r="S9" s="51">
        <v>1.3056000000000001</v>
      </c>
      <c r="T9" s="53">
        <v>1.1067</v>
      </c>
      <c r="U9" s="50">
        <v>108.52</v>
      </c>
      <c r="V9" s="43">
        <v>4285.3900000000003</v>
      </c>
      <c r="W9" s="43">
        <v>4280.58</v>
      </c>
      <c r="X9" s="49">
        <f t="shared" ref="X9:X28" si="5">R9/T9</f>
        <v>5055.570615342911</v>
      </c>
      <c r="Y9" s="48">
        <v>1.3087</v>
      </c>
    </row>
    <row r="10" spans="1:25" x14ac:dyDescent="0.2">
      <c r="B10" s="47">
        <v>43865</v>
      </c>
      <c r="C10" s="46">
        <v>5650</v>
      </c>
      <c r="D10" s="45">
        <v>5652</v>
      </c>
      <c r="E10" s="44">
        <f t="shared" si="0"/>
        <v>5651</v>
      </c>
      <c r="F10" s="46">
        <v>5665</v>
      </c>
      <c r="G10" s="45">
        <v>5666</v>
      </c>
      <c r="H10" s="44">
        <f t="shared" si="1"/>
        <v>5665.5</v>
      </c>
      <c r="I10" s="46">
        <v>5770</v>
      </c>
      <c r="J10" s="45">
        <v>5780</v>
      </c>
      <c r="K10" s="44">
        <f t="shared" si="2"/>
        <v>5775</v>
      </c>
      <c r="L10" s="46">
        <v>5820</v>
      </c>
      <c r="M10" s="45">
        <v>5830</v>
      </c>
      <c r="N10" s="44">
        <f t="shared" si="3"/>
        <v>5825</v>
      </c>
      <c r="O10" s="46">
        <v>5865</v>
      </c>
      <c r="P10" s="45">
        <v>5875</v>
      </c>
      <c r="Q10" s="44">
        <f t="shared" si="4"/>
        <v>5870</v>
      </c>
      <c r="R10" s="52">
        <v>5652</v>
      </c>
      <c r="S10" s="51">
        <v>1.3011999999999999</v>
      </c>
      <c r="T10" s="51">
        <v>1.1044</v>
      </c>
      <c r="U10" s="50">
        <v>109.14</v>
      </c>
      <c r="V10" s="43">
        <v>4343.68</v>
      </c>
      <c r="W10" s="43">
        <v>4344.09</v>
      </c>
      <c r="X10" s="49">
        <f t="shared" si="5"/>
        <v>5117.7109742846797</v>
      </c>
      <c r="Y10" s="48">
        <v>1.3043</v>
      </c>
    </row>
    <row r="11" spans="1:25" x14ac:dyDescent="0.2">
      <c r="B11" s="47">
        <v>43866</v>
      </c>
      <c r="C11" s="46">
        <v>5713</v>
      </c>
      <c r="D11" s="45">
        <v>5714</v>
      </c>
      <c r="E11" s="44">
        <f t="shared" si="0"/>
        <v>5713.5</v>
      </c>
      <c r="F11" s="46">
        <v>5730</v>
      </c>
      <c r="G11" s="45">
        <v>5735</v>
      </c>
      <c r="H11" s="44">
        <f t="shared" si="1"/>
        <v>5732.5</v>
      </c>
      <c r="I11" s="46">
        <v>5830</v>
      </c>
      <c r="J11" s="45">
        <v>5840</v>
      </c>
      <c r="K11" s="44">
        <f t="shared" si="2"/>
        <v>5835</v>
      </c>
      <c r="L11" s="46">
        <v>5885</v>
      </c>
      <c r="M11" s="45">
        <v>5895</v>
      </c>
      <c r="N11" s="44">
        <f t="shared" si="3"/>
        <v>5890</v>
      </c>
      <c r="O11" s="46">
        <v>5935</v>
      </c>
      <c r="P11" s="45">
        <v>5945</v>
      </c>
      <c r="Q11" s="44">
        <f t="shared" si="4"/>
        <v>5940</v>
      </c>
      <c r="R11" s="52">
        <v>5714</v>
      </c>
      <c r="S11" s="51">
        <v>1.3047</v>
      </c>
      <c r="T11" s="51">
        <v>1.1023000000000001</v>
      </c>
      <c r="U11" s="50">
        <v>109.69</v>
      </c>
      <c r="V11" s="43">
        <v>4379.55</v>
      </c>
      <c r="W11" s="43">
        <v>4385.2299999999996</v>
      </c>
      <c r="X11" s="49">
        <f t="shared" si="5"/>
        <v>5183.7067948834256</v>
      </c>
      <c r="Y11" s="48">
        <v>1.3078000000000001</v>
      </c>
    </row>
    <row r="12" spans="1:25" x14ac:dyDescent="0.2">
      <c r="B12" s="47">
        <v>43867</v>
      </c>
      <c r="C12" s="46">
        <v>5725</v>
      </c>
      <c r="D12" s="45">
        <v>5726</v>
      </c>
      <c r="E12" s="44">
        <f t="shared" si="0"/>
        <v>5725.5</v>
      </c>
      <c r="F12" s="46">
        <v>5735</v>
      </c>
      <c r="G12" s="45">
        <v>5740</v>
      </c>
      <c r="H12" s="44">
        <f t="shared" si="1"/>
        <v>5737.5</v>
      </c>
      <c r="I12" s="46">
        <v>5835</v>
      </c>
      <c r="J12" s="45">
        <v>5845</v>
      </c>
      <c r="K12" s="44">
        <f t="shared" si="2"/>
        <v>5840</v>
      </c>
      <c r="L12" s="46">
        <v>5890</v>
      </c>
      <c r="M12" s="45">
        <v>5900</v>
      </c>
      <c r="N12" s="44">
        <f t="shared" si="3"/>
        <v>5895</v>
      </c>
      <c r="O12" s="46">
        <v>5945</v>
      </c>
      <c r="P12" s="45">
        <v>5955</v>
      </c>
      <c r="Q12" s="44">
        <f t="shared" si="4"/>
        <v>5950</v>
      </c>
      <c r="R12" s="52">
        <v>5726</v>
      </c>
      <c r="S12" s="51">
        <v>1.2974000000000001</v>
      </c>
      <c r="T12" s="51">
        <v>1.1002000000000001</v>
      </c>
      <c r="U12" s="50">
        <v>109.86</v>
      </c>
      <c r="V12" s="43">
        <v>4413.4399999999996</v>
      </c>
      <c r="W12" s="43">
        <v>4413.6899999999996</v>
      </c>
      <c r="X12" s="49">
        <f t="shared" si="5"/>
        <v>5204.5082712234134</v>
      </c>
      <c r="Y12" s="48">
        <v>1.3005</v>
      </c>
    </row>
    <row r="13" spans="1:25" x14ac:dyDescent="0.2">
      <c r="B13" s="47">
        <v>43868</v>
      </c>
      <c r="C13" s="46">
        <v>5652</v>
      </c>
      <c r="D13" s="45">
        <v>5653</v>
      </c>
      <c r="E13" s="44">
        <f t="shared" si="0"/>
        <v>5652.5</v>
      </c>
      <c r="F13" s="46">
        <v>5665</v>
      </c>
      <c r="G13" s="45">
        <v>5670</v>
      </c>
      <c r="H13" s="44">
        <f t="shared" si="1"/>
        <v>5667.5</v>
      </c>
      <c r="I13" s="46">
        <v>5770</v>
      </c>
      <c r="J13" s="45">
        <v>5780</v>
      </c>
      <c r="K13" s="44">
        <f t="shared" si="2"/>
        <v>5775</v>
      </c>
      <c r="L13" s="46">
        <v>5825</v>
      </c>
      <c r="M13" s="45">
        <v>5835</v>
      </c>
      <c r="N13" s="44">
        <f t="shared" si="3"/>
        <v>5830</v>
      </c>
      <c r="O13" s="46">
        <v>5880</v>
      </c>
      <c r="P13" s="45">
        <v>5890</v>
      </c>
      <c r="Q13" s="44">
        <f t="shared" si="4"/>
        <v>5885</v>
      </c>
      <c r="R13" s="52">
        <v>5653</v>
      </c>
      <c r="S13" s="51">
        <v>1.2947</v>
      </c>
      <c r="T13" s="51">
        <v>1.0965</v>
      </c>
      <c r="U13" s="50">
        <v>109.88</v>
      </c>
      <c r="V13" s="43">
        <v>4366.26</v>
      </c>
      <c r="W13" s="43">
        <v>4368.93</v>
      </c>
      <c r="X13" s="49">
        <f t="shared" si="5"/>
        <v>5155.4947560419514</v>
      </c>
      <c r="Y13" s="48">
        <v>1.2978000000000001</v>
      </c>
    </row>
    <row r="14" spans="1:25" x14ac:dyDescent="0.2">
      <c r="B14" s="47">
        <v>43871</v>
      </c>
      <c r="C14" s="46">
        <v>5659</v>
      </c>
      <c r="D14" s="45">
        <v>5659.5</v>
      </c>
      <c r="E14" s="44">
        <f t="shared" si="0"/>
        <v>5659.25</v>
      </c>
      <c r="F14" s="46">
        <v>5667</v>
      </c>
      <c r="G14" s="45">
        <v>5668</v>
      </c>
      <c r="H14" s="44">
        <f t="shared" si="1"/>
        <v>5667.5</v>
      </c>
      <c r="I14" s="46">
        <v>5760</v>
      </c>
      <c r="J14" s="45">
        <v>5770</v>
      </c>
      <c r="K14" s="44">
        <f t="shared" si="2"/>
        <v>5765</v>
      </c>
      <c r="L14" s="46">
        <v>5815</v>
      </c>
      <c r="M14" s="45">
        <v>5825</v>
      </c>
      <c r="N14" s="44">
        <f t="shared" si="3"/>
        <v>5820</v>
      </c>
      <c r="O14" s="46">
        <v>5870</v>
      </c>
      <c r="P14" s="45">
        <v>5880</v>
      </c>
      <c r="Q14" s="44">
        <f t="shared" si="4"/>
        <v>5875</v>
      </c>
      <c r="R14" s="52">
        <v>5659.5</v>
      </c>
      <c r="S14" s="51">
        <v>1.2932999999999999</v>
      </c>
      <c r="T14" s="51">
        <v>1.0949</v>
      </c>
      <c r="U14" s="50">
        <v>109.75</v>
      </c>
      <c r="V14" s="43">
        <v>4376.01</v>
      </c>
      <c r="W14" s="43">
        <v>4372.1099999999997</v>
      </c>
      <c r="X14" s="49">
        <f t="shared" si="5"/>
        <v>5168.9652023015806</v>
      </c>
      <c r="Y14" s="48">
        <v>1.2964</v>
      </c>
    </row>
    <row r="15" spans="1:25" x14ac:dyDescent="0.2">
      <c r="B15" s="47">
        <v>43872</v>
      </c>
      <c r="C15" s="46">
        <v>5695</v>
      </c>
      <c r="D15" s="45">
        <v>5696</v>
      </c>
      <c r="E15" s="44">
        <f t="shared" si="0"/>
        <v>5695.5</v>
      </c>
      <c r="F15" s="46">
        <v>5713</v>
      </c>
      <c r="G15" s="45">
        <v>5714</v>
      </c>
      <c r="H15" s="44">
        <f t="shared" si="1"/>
        <v>5713.5</v>
      </c>
      <c r="I15" s="46">
        <v>5805</v>
      </c>
      <c r="J15" s="45">
        <v>5815</v>
      </c>
      <c r="K15" s="44">
        <f t="shared" si="2"/>
        <v>5810</v>
      </c>
      <c r="L15" s="46">
        <v>5860</v>
      </c>
      <c r="M15" s="45">
        <v>5870</v>
      </c>
      <c r="N15" s="44">
        <f t="shared" si="3"/>
        <v>5865</v>
      </c>
      <c r="O15" s="46">
        <v>5915</v>
      </c>
      <c r="P15" s="45">
        <v>5925</v>
      </c>
      <c r="Q15" s="44">
        <f t="shared" si="4"/>
        <v>5920</v>
      </c>
      <c r="R15" s="52">
        <v>5696</v>
      </c>
      <c r="S15" s="51">
        <v>1.2934000000000001</v>
      </c>
      <c r="T15" s="51">
        <v>1.0909</v>
      </c>
      <c r="U15" s="50">
        <v>109.85</v>
      </c>
      <c r="V15" s="43">
        <v>4403.8999999999996</v>
      </c>
      <c r="W15" s="43">
        <v>4407.25</v>
      </c>
      <c r="X15" s="49">
        <f t="shared" si="5"/>
        <v>5221.3768448070405</v>
      </c>
      <c r="Y15" s="48">
        <v>1.2965</v>
      </c>
    </row>
    <row r="16" spans="1:25" x14ac:dyDescent="0.2">
      <c r="B16" s="47">
        <v>43873</v>
      </c>
      <c r="C16" s="46">
        <v>5745</v>
      </c>
      <c r="D16" s="45">
        <v>5747</v>
      </c>
      <c r="E16" s="44">
        <f t="shared" si="0"/>
        <v>5746</v>
      </c>
      <c r="F16" s="46">
        <v>5759</v>
      </c>
      <c r="G16" s="45">
        <v>5764</v>
      </c>
      <c r="H16" s="44">
        <f t="shared" si="1"/>
        <v>5761.5</v>
      </c>
      <c r="I16" s="46">
        <v>5850</v>
      </c>
      <c r="J16" s="45">
        <v>5860</v>
      </c>
      <c r="K16" s="44">
        <f t="shared" si="2"/>
        <v>5855</v>
      </c>
      <c r="L16" s="46">
        <v>5905</v>
      </c>
      <c r="M16" s="45">
        <v>5915</v>
      </c>
      <c r="N16" s="44">
        <f t="shared" si="3"/>
        <v>5910</v>
      </c>
      <c r="O16" s="46">
        <v>5960</v>
      </c>
      <c r="P16" s="45">
        <v>5970</v>
      </c>
      <c r="Q16" s="44">
        <f t="shared" si="4"/>
        <v>5965</v>
      </c>
      <c r="R16" s="52">
        <v>5747</v>
      </c>
      <c r="S16" s="51">
        <v>1.2986</v>
      </c>
      <c r="T16" s="51">
        <v>1.0912999999999999</v>
      </c>
      <c r="U16" s="50">
        <v>109.96</v>
      </c>
      <c r="V16" s="43">
        <v>4425.54</v>
      </c>
      <c r="W16" s="43">
        <v>4428.0600000000004</v>
      </c>
      <c r="X16" s="49">
        <f t="shared" si="5"/>
        <v>5266.1962796664529</v>
      </c>
      <c r="Y16" s="48">
        <v>1.3017000000000001</v>
      </c>
    </row>
    <row r="17" spans="2:25" x14ac:dyDescent="0.2">
      <c r="B17" s="47">
        <v>43874</v>
      </c>
      <c r="C17" s="46">
        <v>5715.5</v>
      </c>
      <c r="D17" s="45">
        <v>5716</v>
      </c>
      <c r="E17" s="44">
        <f t="shared" si="0"/>
        <v>5715.75</v>
      </c>
      <c r="F17" s="46">
        <v>5739</v>
      </c>
      <c r="G17" s="45">
        <v>5740</v>
      </c>
      <c r="H17" s="44">
        <f t="shared" si="1"/>
        <v>5739.5</v>
      </c>
      <c r="I17" s="46">
        <v>5830</v>
      </c>
      <c r="J17" s="45">
        <v>5840</v>
      </c>
      <c r="K17" s="44">
        <f t="shared" si="2"/>
        <v>5835</v>
      </c>
      <c r="L17" s="46">
        <v>5885</v>
      </c>
      <c r="M17" s="45">
        <v>5895</v>
      </c>
      <c r="N17" s="44">
        <f t="shared" si="3"/>
        <v>5890</v>
      </c>
      <c r="O17" s="46">
        <v>5940</v>
      </c>
      <c r="P17" s="45">
        <v>5950</v>
      </c>
      <c r="Q17" s="44">
        <f t="shared" si="4"/>
        <v>5945</v>
      </c>
      <c r="R17" s="52">
        <v>5716</v>
      </c>
      <c r="S17" s="51">
        <v>1.3031999999999999</v>
      </c>
      <c r="T17" s="51">
        <v>1.0864</v>
      </c>
      <c r="U17" s="50">
        <v>109.73</v>
      </c>
      <c r="V17" s="43">
        <v>4386.13</v>
      </c>
      <c r="W17" s="43">
        <v>4394.09</v>
      </c>
      <c r="X17" s="49">
        <f t="shared" si="5"/>
        <v>5261.4138438880709</v>
      </c>
      <c r="Y17" s="48">
        <v>1.3063</v>
      </c>
    </row>
    <row r="18" spans="2:25" x14ac:dyDescent="0.2">
      <c r="B18" s="47">
        <v>43875</v>
      </c>
      <c r="C18" s="46">
        <v>5735</v>
      </c>
      <c r="D18" s="45">
        <v>5737</v>
      </c>
      <c r="E18" s="44">
        <f t="shared" si="0"/>
        <v>5736</v>
      </c>
      <c r="F18" s="46">
        <v>5752</v>
      </c>
      <c r="G18" s="45">
        <v>5753</v>
      </c>
      <c r="H18" s="44">
        <f t="shared" si="1"/>
        <v>5752.5</v>
      </c>
      <c r="I18" s="46">
        <v>5845</v>
      </c>
      <c r="J18" s="45">
        <v>5855</v>
      </c>
      <c r="K18" s="44">
        <f t="shared" si="2"/>
        <v>5850</v>
      </c>
      <c r="L18" s="46">
        <v>5900</v>
      </c>
      <c r="M18" s="45">
        <v>5910</v>
      </c>
      <c r="N18" s="44">
        <f t="shared" si="3"/>
        <v>5905</v>
      </c>
      <c r="O18" s="46">
        <v>5955</v>
      </c>
      <c r="P18" s="45">
        <v>5965</v>
      </c>
      <c r="Q18" s="44">
        <f t="shared" si="4"/>
        <v>5960</v>
      </c>
      <c r="R18" s="52">
        <v>5737</v>
      </c>
      <c r="S18" s="51">
        <v>1.3028999999999999</v>
      </c>
      <c r="T18" s="51">
        <v>1.0840000000000001</v>
      </c>
      <c r="U18" s="50">
        <v>109.86</v>
      </c>
      <c r="V18" s="43">
        <v>4403.25</v>
      </c>
      <c r="W18" s="43">
        <v>4405.05</v>
      </c>
      <c r="X18" s="49">
        <f t="shared" si="5"/>
        <v>5292.435424354243</v>
      </c>
      <c r="Y18" s="48">
        <v>1.306</v>
      </c>
    </row>
    <row r="19" spans="2:25" x14ac:dyDescent="0.2">
      <c r="B19" s="47">
        <v>43878</v>
      </c>
      <c r="C19" s="46">
        <v>5800</v>
      </c>
      <c r="D19" s="45">
        <v>5802</v>
      </c>
      <c r="E19" s="44">
        <f t="shared" si="0"/>
        <v>5801</v>
      </c>
      <c r="F19" s="46">
        <v>5810</v>
      </c>
      <c r="G19" s="45">
        <v>5811</v>
      </c>
      <c r="H19" s="44">
        <f t="shared" si="1"/>
        <v>5810.5</v>
      </c>
      <c r="I19" s="46">
        <v>5900</v>
      </c>
      <c r="J19" s="45">
        <v>5910</v>
      </c>
      <c r="K19" s="44">
        <f t="shared" si="2"/>
        <v>5905</v>
      </c>
      <c r="L19" s="46">
        <v>5955</v>
      </c>
      <c r="M19" s="45">
        <v>5965</v>
      </c>
      <c r="N19" s="44">
        <f t="shared" si="3"/>
        <v>5960</v>
      </c>
      <c r="O19" s="46">
        <v>6010</v>
      </c>
      <c r="P19" s="45">
        <v>6020</v>
      </c>
      <c r="Q19" s="44">
        <f t="shared" si="4"/>
        <v>6015</v>
      </c>
      <c r="R19" s="52">
        <v>5802</v>
      </c>
      <c r="S19" s="51">
        <v>1.3013999999999999</v>
      </c>
      <c r="T19" s="51">
        <v>1.0837000000000001</v>
      </c>
      <c r="U19" s="50">
        <v>109.88</v>
      </c>
      <c r="V19" s="43">
        <v>4458.28</v>
      </c>
      <c r="W19" s="43">
        <v>4454.58</v>
      </c>
      <c r="X19" s="49">
        <f t="shared" si="5"/>
        <v>5353.8802251545621</v>
      </c>
      <c r="Y19" s="48">
        <v>1.3045</v>
      </c>
    </row>
    <row r="20" spans="2:25" x14ac:dyDescent="0.2">
      <c r="B20" s="47">
        <v>43879</v>
      </c>
      <c r="C20" s="46">
        <v>5727.5</v>
      </c>
      <c r="D20" s="45">
        <v>5728</v>
      </c>
      <c r="E20" s="44">
        <f t="shared" si="0"/>
        <v>5727.75</v>
      </c>
      <c r="F20" s="46">
        <v>5755</v>
      </c>
      <c r="G20" s="45">
        <v>5758</v>
      </c>
      <c r="H20" s="44">
        <f t="shared" si="1"/>
        <v>5756.5</v>
      </c>
      <c r="I20" s="46">
        <v>5850</v>
      </c>
      <c r="J20" s="45">
        <v>5860</v>
      </c>
      <c r="K20" s="44">
        <f t="shared" si="2"/>
        <v>5855</v>
      </c>
      <c r="L20" s="46">
        <v>5905</v>
      </c>
      <c r="M20" s="45">
        <v>5915</v>
      </c>
      <c r="N20" s="44">
        <f t="shared" si="3"/>
        <v>5910</v>
      </c>
      <c r="O20" s="46">
        <v>5955</v>
      </c>
      <c r="P20" s="45">
        <v>5965</v>
      </c>
      <c r="Q20" s="44">
        <f t="shared" si="4"/>
        <v>5960</v>
      </c>
      <c r="R20" s="52">
        <v>5728</v>
      </c>
      <c r="S20" s="51">
        <v>1.3031999999999999</v>
      </c>
      <c r="T20" s="51">
        <v>1.0814999999999999</v>
      </c>
      <c r="U20" s="50">
        <v>109.78</v>
      </c>
      <c r="V20" s="43">
        <v>4395.33</v>
      </c>
      <c r="W20" s="43">
        <v>4407.87</v>
      </c>
      <c r="X20" s="49">
        <f t="shared" si="5"/>
        <v>5296.3476652797044</v>
      </c>
      <c r="Y20" s="48">
        <v>1.3063</v>
      </c>
    </row>
    <row r="21" spans="2:25" x14ac:dyDescent="0.2">
      <c r="B21" s="47">
        <v>43880</v>
      </c>
      <c r="C21" s="46">
        <v>5745</v>
      </c>
      <c r="D21" s="45">
        <v>5745.5</v>
      </c>
      <c r="E21" s="44">
        <f t="shared" si="0"/>
        <v>5745.25</v>
      </c>
      <c r="F21" s="46">
        <v>5768</v>
      </c>
      <c r="G21" s="45">
        <v>5770</v>
      </c>
      <c r="H21" s="44">
        <f t="shared" si="1"/>
        <v>5769</v>
      </c>
      <c r="I21" s="46">
        <v>5860</v>
      </c>
      <c r="J21" s="45">
        <v>5870</v>
      </c>
      <c r="K21" s="44">
        <f t="shared" si="2"/>
        <v>5865</v>
      </c>
      <c r="L21" s="46">
        <v>5915</v>
      </c>
      <c r="M21" s="45">
        <v>5925</v>
      </c>
      <c r="N21" s="44">
        <f t="shared" si="3"/>
        <v>5920</v>
      </c>
      <c r="O21" s="46">
        <v>5970</v>
      </c>
      <c r="P21" s="45">
        <v>5980</v>
      </c>
      <c r="Q21" s="44">
        <f t="shared" si="4"/>
        <v>5975</v>
      </c>
      <c r="R21" s="52">
        <v>5745.5</v>
      </c>
      <c r="S21" s="51">
        <v>1.2990999999999999</v>
      </c>
      <c r="T21" s="51">
        <v>1.0801000000000001</v>
      </c>
      <c r="U21" s="50">
        <v>110.49</v>
      </c>
      <c r="V21" s="43">
        <v>4422.68</v>
      </c>
      <c r="W21" s="43">
        <v>4430.96</v>
      </c>
      <c r="X21" s="49">
        <f t="shared" si="5"/>
        <v>5319.414868993611</v>
      </c>
      <c r="Y21" s="48">
        <v>1.3022</v>
      </c>
    </row>
    <row r="22" spans="2:25" x14ac:dyDescent="0.2">
      <c r="B22" s="47">
        <v>43881</v>
      </c>
      <c r="C22" s="46">
        <v>5728</v>
      </c>
      <c r="D22" s="45">
        <v>5730</v>
      </c>
      <c r="E22" s="44">
        <f t="shared" si="0"/>
        <v>5729</v>
      </c>
      <c r="F22" s="46">
        <v>5745</v>
      </c>
      <c r="G22" s="45">
        <v>5746</v>
      </c>
      <c r="H22" s="44">
        <f t="shared" si="1"/>
        <v>5745.5</v>
      </c>
      <c r="I22" s="46">
        <v>5835</v>
      </c>
      <c r="J22" s="45">
        <v>5845</v>
      </c>
      <c r="K22" s="44">
        <f t="shared" si="2"/>
        <v>5840</v>
      </c>
      <c r="L22" s="46">
        <v>5890</v>
      </c>
      <c r="M22" s="45">
        <v>5900</v>
      </c>
      <c r="N22" s="44">
        <f t="shared" si="3"/>
        <v>5895</v>
      </c>
      <c r="O22" s="46">
        <v>5945</v>
      </c>
      <c r="P22" s="45">
        <v>5955</v>
      </c>
      <c r="Q22" s="44">
        <f t="shared" si="4"/>
        <v>5950</v>
      </c>
      <c r="R22" s="52">
        <v>5730</v>
      </c>
      <c r="S22" s="51">
        <v>1.2866</v>
      </c>
      <c r="T22" s="51">
        <v>1.0789</v>
      </c>
      <c r="U22" s="50">
        <v>111.97</v>
      </c>
      <c r="V22" s="43">
        <v>4453.6000000000004</v>
      </c>
      <c r="W22" s="43">
        <v>4454.95</v>
      </c>
      <c r="X22" s="49">
        <f t="shared" si="5"/>
        <v>5310.964871628511</v>
      </c>
      <c r="Y22" s="48">
        <v>1.2898000000000001</v>
      </c>
    </row>
    <row r="23" spans="2:25" x14ac:dyDescent="0.2">
      <c r="B23" s="47">
        <v>43882</v>
      </c>
      <c r="C23" s="46">
        <v>5701</v>
      </c>
      <c r="D23" s="45">
        <v>5702</v>
      </c>
      <c r="E23" s="44">
        <f t="shared" si="0"/>
        <v>5701.5</v>
      </c>
      <c r="F23" s="46">
        <v>5725</v>
      </c>
      <c r="G23" s="45">
        <v>5727</v>
      </c>
      <c r="H23" s="44">
        <f t="shared" si="1"/>
        <v>5726</v>
      </c>
      <c r="I23" s="46">
        <v>5815</v>
      </c>
      <c r="J23" s="45">
        <v>5825</v>
      </c>
      <c r="K23" s="44">
        <f t="shared" si="2"/>
        <v>5820</v>
      </c>
      <c r="L23" s="46">
        <v>5870</v>
      </c>
      <c r="M23" s="45">
        <v>5880</v>
      </c>
      <c r="N23" s="44">
        <f t="shared" si="3"/>
        <v>5875</v>
      </c>
      <c r="O23" s="46">
        <v>5925</v>
      </c>
      <c r="P23" s="45">
        <v>5935</v>
      </c>
      <c r="Q23" s="44">
        <f t="shared" si="4"/>
        <v>5930</v>
      </c>
      <c r="R23" s="52">
        <v>5702</v>
      </c>
      <c r="S23" s="51">
        <v>1.2927</v>
      </c>
      <c r="T23" s="51">
        <v>1.0797000000000001</v>
      </c>
      <c r="U23" s="50">
        <v>111.99</v>
      </c>
      <c r="V23" s="43">
        <v>4410.92</v>
      </c>
      <c r="W23" s="43">
        <v>4419.66</v>
      </c>
      <c r="X23" s="49">
        <f t="shared" si="5"/>
        <v>5281.0966009076592</v>
      </c>
      <c r="Y23" s="48">
        <v>1.2958000000000001</v>
      </c>
    </row>
    <row r="24" spans="2:25" x14ac:dyDescent="0.2">
      <c r="B24" s="47">
        <v>43885</v>
      </c>
      <c r="C24" s="46">
        <v>5657</v>
      </c>
      <c r="D24" s="45">
        <v>5657.5</v>
      </c>
      <c r="E24" s="44">
        <f t="shared" si="0"/>
        <v>5657.25</v>
      </c>
      <c r="F24" s="46">
        <v>5679</v>
      </c>
      <c r="G24" s="45">
        <v>5681</v>
      </c>
      <c r="H24" s="44">
        <f t="shared" si="1"/>
        <v>5680</v>
      </c>
      <c r="I24" s="46">
        <v>5770</v>
      </c>
      <c r="J24" s="45">
        <v>5780</v>
      </c>
      <c r="K24" s="44">
        <f t="shared" si="2"/>
        <v>5775</v>
      </c>
      <c r="L24" s="46">
        <v>5825</v>
      </c>
      <c r="M24" s="45">
        <v>5835</v>
      </c>
      <c r="N24" s="44">
        <f t="shared" si="3"/>
        <v>5830</v>
      </c>
      <c r="O24" s="46">
        <v>5880</v>
      </c>
      <c r="P24" s="45">
        <v>5890</v>
      </c>
      <c r="Q24" s="44">
        <f t="shared" si="4"/>
        <v>5885</v>
      </c>
      <c r="R24" s="52">
        <v>5657.5</v>
      </c>
      <c r="S24" s="51">
        <v>1.292</v>
      </c>
      <c r="T24" s="51">
        <v>1.0819000000000001</v>
      </c>
      <c r="U24" s="50">
        <v>111.34</v>
      </c>
      <c r="V24" s="43">
        <v>4378.87</v>
      </c>
      <c r="W24" s="43">
        <v>4386.53</v>
      </c>
      <c r="X24" s="49">
        <f t="shared" si="5"/>
        <v>5229.2263610315185</v>
      </c>
      <c r="Y24" s="48">
        <v>1.2950999999999999</v>
      </c>
    </row>
    <row r="25" spans="2:25" x14ac:dyDescent="0.2">
      <c r="B25" s="47">
        <v>43886</v>
      </c>
      <c r="C25" s="46">
        <v>5663</v>
      </c>
      <c r="D25" s="45">
        <v>5663.5</v>
      </c>
      <c r="E25" s="44">
        <f t="shared" si="0"/>
        <v>5663.25</v>
      </c>
      <c r="F25" s="46">
        <v>5685</v>
      </c>
      <c r="G25" s="45">
        <v>5687</v>
      </c>
      <c r="H25" s="44">
        <f t="shared" si="1"/>
        <v>5686</v>
      </c>
      <c r="I25" s="46">
        <v>5780</v>
      </c>
      <c r="J25" s="45">
        <v>5790</v>
      </c>
      <c r="K25" s="44">
        <f t="shared" si="2"/>
        <v>5785</v>
      </c>
      <c r="L25" s="46">
        <v>5835</v>
      </c>
      <c r="M25" s="45">
        <v>5845</v>
      </c>
      <c r="N25" s="44">
        <f t="shared" si="3"/>
        <v>5840</v>
      </c>
      <c r="O25" s="46">
        <v>5890</v>
      </c>
      <c r="P25" s="45">
        <v>5900</v>
      </c>
      <c r="Q25" s="44">
        <f t="shared" si="4"/>
        <v>5895</v>
      </c>
      <c r="R25" s="52">
        <v>5663.5</v>
      </c>
      <c r="S25" s="51">
        <v>1.2954000000000001</v>
      </c>
      <c r="T25" s="51">
        <v>1.0835999999999999</v>
      </c>
      <c r="U25" s="50">
        <v>110.68</v>
      </c>
      <c r="V25" s="43">
        <v>4372.01</v>
      </c>
      <c r="W25" s="43">
        <v>4379.67</v>
      </c>
      <c r="X25" s="49">
        <f t="shared" si="5"/>
        <v>5226.5596160945006</v>
      </c>
      <c r="Y25" s="48">
        <v>1.2985</v>
      </c>
    </row>
    <row r="26" spans="2:25" x14ac:dyDescent="0.2">
      <c r="B26" s="47">
        <v>43887</v>
      </c>
      <c r="C26" s="46">
        <v>5613.5</v>
      </c>
      <c r="D26" s="45">
        <v>5614</v>
      </c>
      <c r="E26" s="44">
        <f t="shared" si="0"/>
        <v>5613.75</v>
      </c>
      <c r="F26" s="46">
        <v>5639</v>
      </c>
      <c r="G26" s="45">
        <v>5639.5</v>
      </c>
      <c r="H26" s="44">
        <f t="shared" si="1"/>
        <v>5639.25</v>
      </c>
      <c r="I26" s="46">
        <v>5735</v>
      </c>
      <c r="J26" s="45">
        <v>5745</v>
      </c>
      <c r="K26" s="44">
        <f t="shared" si="2"/>
        <v>5740</v>
      </c>
      <c r="L26" s="46">
        <v>5790</v>
      </c>
      <c r="M26" s="45">
        <v>5800</v>
      </c>
      <c r="N26" s="44">
        <f t="shared" si="3"/>
        <v>5795</v>
      </c>
      <c r="O26" s="46">
        <v>5840</v>
      </c>
      <c r="P26" s="45">
        <v>5850</v>
      </c>
      <c r="Q26" s="44">
        <f t="shared" si="4"/>
        <v>5845</v>
      </c>
      <c r="R26" s="52">
        <v>5614</v>
      </c>
      <c r="S26" s="51">
        <v>1.2927999999999999</v>
      </c>
      <c r="T26" s="51">
        <v>1.0869</v>
      </c>
      <c r="U26" s="50">
        <v>110.48</v>
      </c>
      <c r="V26" s="43">
        <v>4342.51</v>
      </c>
      <c r="W26" s="43">
        <v>4351.8</v>
      </c>
      <c r="X26" s="49">
        <f t="shared" si="5"/>
        <v>5165.1485877265623</v>
      </c>
      <c r="Y26" s="48">
        <v>1.2959000000000001</v>
      </c>
    </row>
    <row r="27" spans="2:25" x14ac:dyDescent="0.2">
      <c r="B27" s="47">
        <v>43888</v>
      </c>
      <c r="C27" s="46">
        <v>5617.5</v>
      </c>
      <c r="D27" s="45">
        <v>5618</v>
      </c>
      <c r="E27" s="44">
        <f t="shared" si="0"/>
        <v>5617.75</v>
      </c>
      <c r="F27" s="46">
        <v>5638</v>
      </c>
      <c r="G27" s="45">
        <v>5640</v>
      </c>
      <c r="H27" s="44">
        <f t="shared" si="1"/>
        <v>5639</v>
      </c>
      <c r="I27" s="46">
        <v>5735</v>
      </c>
      <c r="J27" s="45">
        <v>5745</v>
      </c>
      <c r="K27" s="44">
        <f t="shared" si="2"/>
        <v>5740</v>
      </c>
      <c r="L27" s="46">
        <v>5790</v>
      </c>
      <c r="M27" s="45">
        <v>5800</v>
      </c>
      <c r="N27" s="44">
        <f t="shared" si="3"/>
        <v>5795</v>
      </c>
      <c r="O27" s="46">
        <v>5840</v>
      </c>
      <c r="P27" s="45">
        <v>5850</v>
      </c>
      <c r="Q27" s="44">
        <f t="shared" si="4"/>
        <v>5845</v>
      </c>
      <c r="R27" s="52">
        <v>5618</v>
      </c>
      <c r="S27" s="51">
        <v>1.2892999999999999</v>
      </c>
      <c r="T27" s="51">
        <v>1.0964</v>
      </c>
      <c r="U27" s="50">
        <v>109.88</v>
      </c>
      <c r="V27" s="43">
        <v>4357.3999999999996</v>
      </c>
      <c r="W27" s="43">
        <v>4364.3100000000004</v>
      </c>
      <c r="X27" s="49">
        <f t="shared" si="5"/>
        <v>5124.0423203210503</v>
      </c>
      <c r="Y27" s="48">
        <v>1.2923</v>
      </c>
    </row>
    <row r="28" spans="2:25" x14ac:dyDescent="0.2">
      <c r="B28" s="47">
        <v>43889</v>
      </c>
      <c r="C28" s="46">
        <v>5571</v>
      </c>
      <c r="D28" s="45">
        <v>5573</v>
      </c>
      <c r="E28" s="44">
        <f t="shared" si="0"/>
        <v>5572</v>
      </c>
      <c r="F28" s="46">
        <v>5595</v>
      </c>
      <c r="G28" s="45">
        <v>5597</v>
      </c>
      <c r="H28" s="44">
        <f t="shared" si="1"/>
        <v>5596</v>
      </c>
      <c r="I28" s="46">
        <v>5695</v>
      </c>
      <c r="J28" s="45">
        <v>5705</v>
      </c>
      <c r="K28" s="44">
        <f t="shared" si="2"/>
        <v>5700</v>
      </c>
      <c r="L28" s="46">
        <v>5750</v>
      </c>
      <c r="M28" s="45">
        <v>5760</v>
      </c>
      <c r="N28" s="44">
        <f t="shared" si="3"/>
        <v>5755</v>
      </c>
      <c r="O28" s="46">
        <v>5800</v>
      </c>
      <c r="P28" s="45">
        <v>5810</v>
      </c>
      <c r="Q28" s="44">
        <f t="shared" si="4"/>
        <v>5805</v>
      </c>
      <c r="R28" s="52">
        <v>5573</v>
      </c>
      <c r="S28" s="51">
        <v>1.2875000000000001</v>
      </c>
      <c r="T28" s="51">
        <v>1.0987</v>
      </c>
      <c r="U28" s="50">
        <v>108.69</v>
      </c>
      <c r="V28" s="43">
        <v>4328.54</v>
      </c>
      <c r="W28" s="43">
        <v>4337.08</v>
      </c>
      <c r="X28" s="49">
        <f t="shared" si="5"/>
        <v>5072.358241558205</v>
      </c>
      <c r="Y28" s="48">
        <v>1.2905</v>
      </c>
    </row>
    <row r="29" spans="2:25" s="10" customFormat="1" x14ac:dyDescent="0.2">
      <c r="B29" s="42" t="s">
        <v>11</v>
      </c>
      <c r="C29" s="41">
        <f>ROUND(AVERAGE(C9:C28),2)</f>
        <v>5685.3</v>
      </c>
      <c r="D29" s="40">
        <f>ROUND(AVERAGE(D9:D28),2)</f>
        <v>5686.45</v>
      </c>
      <c r="E29" s="39">
        <f>ROUND(AVERAGE(C29:D29),2)</f>
        <v>5685.88</v>
      </c>
      <c r="F29" s="41">
        <f>ROUND(AVERAGE(F9:F28),2)</f>
        <v>5703.2</v>
      </c>
      <c r="G29" s="40">
        <f>ROUND(AVERAGE(G9:G28),2)</f>
        <v>5705.43</v>
      </c>
      <c r="H29" s="39">
        <f>ROUND(AVERAGE(F29:G29),2)</f>
        <v>5704.32</v>
      </c>
      <c r="I29" s="41">
        <f>ROUND(AVERAGE(I9:I28),2)</f>
        <v>5798</v>
      </c>
      <c r="J29" s="40">
        <f>ROUND(AVERAGE(J9:J28),2)</f>
        <v>5808</v>
      </c>
      <c r="K29" s="39">
        <f>ROUND(AVERAGE(I29:J29),2)</f>
        <v>5803</v>
      </c>
      <c r="L29" s="41">
        <f>ROUND(AVERAGE(L9:L28),2)</f>
        <v>5852.75</v>
      </c>
      <c r="M29" s="40">
        <f>ROUND(AVERAGE(M9:M28),2)</f>
        <v>5862.75</v>
      </c>
      <c r="N29" s="39">
        <f>ROUND(AVERAGE(L29:M29),2)</f>
        <v>5857.75</v>
      </c>
      <c r="O29" s="41">
        <f>ROUND(AVERAGE(O9:O28),2)</f>
        <v>5905.5</v>
      </c>
      <c r="P29" s="40">
        <f>ROUND(AVERAGE(P9:P28),2)</f>
        <v>5915.5</v>
      </c>
      <c r="Q29" s="39">
        <f>ROUND(AVERAGE(O29:P29),2)</f>
        <v>5910.5</v>
      </c>
      <c r="R29" s="38">
        <f>ROUND(AVERAGE(R9:R28),2)</f>
        <v>5686.45</v>
      </c>
      <c r="S29" s="37">
        <f>ROUND(AVERAGE(S9:S28),4)</f>
        <v>1.2968</v>
      </c>
      <c r="T29" s="36">
        <f>ROUND(AVERAGE(T9:T28),4)</f>
        <v>1.0905</v>
      </c>
      <c r="U29" s="175">
        <f>ROUND(AVERAGE(U9:U28),2)</f>
        <v>110.07</v>
      </c>
      <c r="V29" s="35">
        <f>AVERAGE(V9:V28)</f>
        <v>4385.164499999999</v>
      </c>
      <c r="W29" s="35">
        <f>AVERAGE(W9:W28)</f>
        <v>4389.3245000000006</v>
      </c>
      <c r="X29" s="35">
        <f>AVERAGE(X9:X28)</f>
        <v>5215.3209182744831</v>
      </c>
      <c r="Y29" s="34">
        <f>AVERAGE(Y9:Y28)</f>
        <v>1.2998450000000001</v>
      </c>
    </row>
    <row r="30" spans="2:25" s="5" customFormat="1" x14ac:dyDescent="0.2">
      <c r="B30" s="33" t="s">
        <v>12</v>
      </c>
      <c r="C30" s="32">
        <f t="shared" ref="C30:Y30" si="6">MAX(C9:C28)</f>
        <v>5800</v>
      </c>
      <c r="D30" s="31">
        <f t="shared" si="6"/>
        <v>5802</v>
      </c>
      <c r="E30" s="30">
        <f t="shared" si="6"/>
        <v>5801</v>
      </c>
      <c r="F30" s="32">
        <f t="shared" si="6"/>
        <v>5810</v>
      </c>
      <c r="G30" s="31">
        <f t="shared" si="6"/>
        <v>5811</v>
      </c>
      <c r="H30" s="30">
        <f t="shared" si="6"/>
        <v>5810.5</v>
      </c>
      <c r="I30" s="32">
        <f t="shared" si="6"/>
        <v>5900</v>
      </c>
      <c r="J30" s="31">
        <f t="shared" si="6"/>
        <v>5910</v>
      </c>
      <c r="K30" s="30">
        <f t="shared" si="6"/>
        <v>5905</v>
      </c>
      <c r="L30" s="32">
        <f t="shared" si="6"/>
        <v>5955</v>
      </c>
      <c r="M30" s="31">
        <f t="shared" si="6"/>
        <v>5965</v>
      </c>
      <c r="N30" s="30">
        <f t="shared" si="6"/>
        <v>5960</v>
      </c>
      <c r="O30" s="32">
        <f t="shared" si="6"/>
        <v>6010</v>
      </c>
      <c r="P30" s="31">
        <f t="shared" si="6"/>
        <v>6020</v>
      </c>
      <c r="Q30" s="30">
        <f t="shared" si="6"/>
        <v>6015</v>
      </c>
      <c r="R30" s="29">
        <f t="shared" si="6"/>
        <v>5802</v>
      </c>
      <c r="S30" s="28">
        <f t="shared" si="6"/>
        <v>1.3056000000000001</v>
      </c>
      <c r="T30" s="27">
        <f t="shared" si="6"/>
        <v>1.1067</v>
      </c>
      <c r="U30" s="26">
        <f t="shared" si="6"/>
        <v>111.99</v>
      </c>
      <c r="V30" s="25">
        <f t="shared" si="6"/>
        <v>4458.28</v>
      </c>
      <c r="W30" s="25">
        <f t="shared" si="6"/>
        <v>4454.95</v>
      </c>
      <c r="X30" s="25">
        <f t="shared" si="6"/>
        <v>5353.8802251545621</v>
      </c>
      <c r="Y30" s="24">
        <f t="shared" si="6"/>
        <v>1.3087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5571</v>
      </c>
      <c r="D31" s="21">
        <f t="shared" si="7"/>
        <v>5573</v>
      </c>
      <c r="E31" s="20">
        <f t="shared" si="7"/>
        <v>5572</v>
      </c>
      <c r="F31" s="22">
        <f t="shared" si="7"/>
        <v>5595</v>
      </c>
      <c r="G31" s="21">
        <f t="shared" si="7"/>
        <v>5597</v>
      </c>
      <c r="H31" s="20">
        <f t="shared" si="7"/>
        <v>5596</v>
      </c>
      <c r="I31" s="22">
        <f t="shared" si="7"/>
        <v>5690</v>
      </c>
      <c r="J31" s="21">
        <f t="shared" si="7"/>
        <v>5700</v>
      </c>
      <c r="K31" s="20">
        <f t="shared" si="7"/>
        <v>5695</v>
      </c>
      <c r="L31" s="22">
        <f t="shared" si="7"/>
        <v>5745</v>
      </c>
      <c r="M31" s="21">
        <f t="shared" si="7"/>
        <v>5755</v>
      </c>
      <c r="N31" s="20">
        <f t="shared" si="7"/>
        <v>5750</v>
      </c>
      <c r="O31" s="22">
        <f t="shared" si="7"/>
        <v>5790</v>
      </c>
      <c r="P31" s="21">
        <f t="shared" si="7"/>
        <v>5800</v>
      </c>
      <c r="Q31" s="20">
        <f t="shared" si="7"/>
        <v>5795</v>
      </c>
      <c r="R31" s="19">
        <f t="shared" si="7"/>
        <v>5573</v>
      </c>
      <c r="S31" s="18">
        <f t="shared" si="7"/>
        <v>1.2866</v>
      </c>
      <c r="T31" s="17">
        <f t="shared" si="7"/>
        <v>1.0789</v>
      </c>
      <c r="U31" s="16">
        <f t="shared" si="7"/>
        <v>108.52</v>
      </c>
      <c r="V31" s="15">
        <f t="shared" si="7"/>
        <v>4285.3900000000003</v>
      </c>
      <c r="W31" s="15">
        <f t="shared" si="7"/>
        <v>4280.58</v>
      </c>
      <c r="X31" s="15">
        <f t="shared" si="7"/>
        <v>5055.570615342911</v>
      </c>
      <c r="Y31" s="14">
        <f t="shared" si="7"/>
        <v>1.2898000000000001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43864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43864</v>
      </c>
      <c r="C9" s="46">
        <v>1370</v>
      </c>
      <c r="D9" s="45">
        <v>1380</v>
      </c>
      <c r="E9" s="44">
        <f t="shared" ref="E9:E28" si="0">AVERAGE(C9:D9)</f>
        <v>1375</v>
      </c>
      <c r="F9" s="46">
        <v>1380</v>
      </c>
      <c r="G9" s="45">
        <v>1390</v>
      </c>
      <c r="H9" s="44">
        <f t="shared" ref="H9:H28" si="1">AVERAGE(F9:G9)</f>
        <v>1385</v>
      </c>
      <c r="I9" s="46">
        <v>1385</v>
      </c>
      <c r="J9" s="45">
        <v>1395</v>
      </c>
      <c r="K9" s="44">
        <f t="shared" ref="K9:K28" si="2">AVERAGE(I9:J9)</f>
        <v>1390</v>
      </c>
      <c r="L9" s="52">
        <v>1380</v>
      </c>
      <c r="M9" s="51">
        <v>1.3056000000000001</v>
      </c>
      <c r="N9" s="53">
        <v>1.1067</v>
      </c>
      <c r="O9" s="50">
        <v>108.52</v>
      </c>
      <c r="P9" s="43">
        <v>1056.99</v>
      </c>
      <c r="Q9" s="43">
        <v>1062.1199999999999</v>
      </c>
      <c r="R9" s="49">
        <f t="shared" ref="R9:R28" si="3">L9/N9</f>
        <v>1246.9503930604499</v>
      </c>
      <c r="S9" s="48">
        <v>1.3087</v>
      </c>
    </row>
    <row r="10" spans="1:19" x14ac:dyDescent="0.2">
      <c r="B10" s="47">
        <v>43865</v>
      </c>
      <c r="C10" s="46">
        <v>1355</v>
      </c>
      <c r="D10" s="45">
        <v>1365</v>
      </c>
      <c r="E10" s="44">
        <f t="shared" si="0"/>
        <v>1360</v>
      </c>
      <c r="F10" s="46">
        <v>1365</v>
      </c>
      <c r="G10" s="45">
        <v>1375</v>
      </c>
      <c r="H10" s="44">
        <f t="shared" si="1"/>
        <v>1370</v>
      </c>
      <c r="I10" s="46">
        <v>1370</v>
      </c>
      <c r="J10" s="45">
        <v>1380</v>
      </c>
      <c r="K10" s="44">
        <f t="shared" si="2"/>
        <v>1375</v>
      </c>
      <c r="L10" s="52">
        <v>1365</v>
      </c>
      <c r="M10" s="51">
        <v>1.3011999999999999</v>
      </c>
      <c r="N10" s="51">
        <v>1.1044</v>
      </c>
      <c r="O10" s="50">
        <v>109.14</v>
      </c>
      <c r="P10" s="43">
        <v>1049.03</v>
      </c>
      <c r="Q10" s="43">
        <v>1054.21</v>
      </c>
      <c r="R10" s="49">
        <f t="shared" si="3"/>
        <v>1235.9652299891343</v>
      </c>
      <c r="S10" s="48">
        <v>1.3043</v>
      </c>
    </row>
    <row r="11" spans="1:19" x14ac:dyDescent="0.2">
      <c r="B11" s="47">
        <v>43866</v>
      </c>
      <c r="C11" s="46">
        <v>1360</v>
      </c>
      <c r="D11" s="45">
        <v>1370</v>
      </c>
      <c r="E11" s="44">
        <f t="shared" si="0"/>
        <v>1365</v>
      </c>
      <c r="F11" s="46">
        <v>1370</v>
      </c>
      <c r="G11" s="45">
        <v>1380</v>
      </c>
      <c r="H11" s="44">
        <f t="shared" si="1"/>
        <v>1375</v>
      </c>
      <c r="I11" s="46">
        <v>1375</v>
      </c>
      <c r="J11" s="45">
        <v>1385</v>
      </c>
      <c r="K11" s="44">
        <f t="shared" si="2"/>
        <v>1380</v>
      </c>
      <c r="L11" s="52">
        <v>1370</v>
      </c>
      <c r="M11" s="51">
        <v>1.3047</v>
      </c>
      <c r="N11" s="51">
        <v>1.1023000000000001</v>
      </c>
      <c r="O11" s="50">
        <v>109.69</v>
      </c>
      <c r="P11" s="43">
        <v>1050.05</v>
      </c>
      <c r="Q11" s="43">
        <v>1055.21</v>
      </c>
      <c r="R11" s="49">
        <f t="shared" si="3"/>
        <v>1242.8558468656445</v>
      </c>
      <c r="S11" s="48">
        <v>1.3078000000000001</v>
      </c>
    </row>
    <row r="12" spans="1:19" x14ac:dyDescent="0.2">
      <c r="B12" s="47">
        <v>43867</v>
      </c>
      <c r="C12" s="46">
        <v>1350</v>
      </c>
      <c r="D12" s="45">
        <v>1360</v>
      </c>
      <c r="E12" s="44">
        <f t="shared" si="0"/>
        <v>1355</v>
      </c>
      <c r="F12" s="46">
        <v>1360</v>
      </c>
      <c r="G12" s="45">
        <v>1370</v>
      </c>
      <c r="H12" s="44">
        <f t="shared" si="1"/>
        <v>1365</v>
      </c>
      <c r="I12" s="46">
        <v>1365</v>
      </c>
      <c r="J12" s="45">
        <v>1375</v>
      </c>
      <c r="K12" s="44">
        <f t="shared" si="2"/>
        <v>1370</v>
      </c>
      <c r="L12" s="52">
        <v>1360</v>
      </c>
      <c r="M12" s="51">
        <v>1.2974000000000001</v>
      </c>
      <c r="N12" s="51">
        <v>1.1002000000000001</v>
      </c>
      <c r="O12" s="50">
        <v>109.86</v>
      </c>
      <c r="P12" s="43">
        <v>1048.25</v>
      </c>
      <c r="Q12" s="43">
        <v>1053.44</v>
      </c>
      <c r="R12" s="49">
        <f t="shared" si="3"/>
        <v>1236.1388838393018</v>
      </c>
      <c r="S12" s="48">
        <v>1.3005</v>
      </c>
    </row>
    <row r="13" spans="1:19" x14ac:dyDescent="0.2">
      <c r="B13" s="47">
        <v>43868</v>
      </c>
      <c r="C13" s="46">
        <v>1340</v>
      </c>
      <c r="D13" s="45">
        <v>1350</v>
      </c>
      <c r="E13" s="44">
        <f t="shared" si="0"/>
        <v>1345</v>
      </c>
      <c r="F13" s="46">
        <v>1355</v>
      </c>
      <c r="G13" s="45">
        <v>1365</v>
      </c>
      <c r="H13" s="44">
        <f t="shared" si="1"/>
        <v>1360</v>
      </c>
      <c r="I13" s="46">
        <v>1360</v>
      </c>
      <c r="J13" s="45">
        <v>1370</v>
      </c>
      <c r="K13" s="44">
        <f t="shared" si="2"/>
        <v>1365</v>
      </c>
      <c r="L13" s="52">
        <v>1350</v>
      </c>
      <c r="M13" s="51">
        <v>1.2947</v>
      </c>
      <c r="N13" s="51">
        <v>1.0965</v>
      </c>
      <c r="O13" s="50">
        <v>109.88</v>
      </c>
      <c r="P13" s="43">
        <v>1042.71</v>
      </c>
      <c r="Q13" s="43">
        <v>1051.78</v>
      </c>
      <c r="R13" s="49">
        <f t="shared" si="3"/>
        <v>1231.1901504787961</v>
      </c>
      <c r="S13" s="48">
        <v>1.2978000000000001</v>
      </c>
    </row>
    <row r="14" spans="1:19" x14ac:dyDescent="0.2">
      <c r="B14" s="47">
        <v>43871</v>
      </c>
      <c r="C14" s="46">
        <v>1300</v>
      </c>
      <c r="D14" s="45">
        <v>1305</v>
      </c>
      <c r="E14" s="44">
        <f t="shared" si="0"/>
        <v>1302.5</v>
      </c>
      <c r="F14" s="46">
        <v>1320</v>
      </c>
      <c r="G14" s="45">
        <v>1330</v>
      </c>
      <c r="H14" s="44">
        <f t="shared" si="1"/>
        <v>1325</v>
      </c>
      <c r="I14" s="46">
        <v>1325</v>
      </c>
      <c r="J14" s="45">
        <v>1335</v>
      </c>
      <c r="K14" s="44">
        <f t="shared" si="2"/>
        <v>1330</v>
      </c>
      <c r="L14" s="52">
        <v>1305</v>
      </c>
      <c r="M14" s="51">
        <v>1.2932999999999999</v>
      </c>
      <c r="N14" s="51">
        <v>1.0949</v>
      </c>
      <c r="O14" s="50">
        <v>109.75</v>
      </c>
      <c r="P14" s="43">
        <v>1009.05</v>
      </c>
      <c r="Q14" s="43">
        <v>1025.92</v>
      </c>
      <c r="R14" s="49">
        <f t="shared" si="3"/>
        <v>1191.8896702895242</v>
      </c>
      <c r="S14" s="48">
        <v>1.2964</v>
      </c>
    </row>
    <row r="15" spans="1:19" x14ac:dyDescent="0.2">
      <c r="B15" s="47">
        <v>43872</v>
      </c>
      <c r="C15" s="46">
        <v>1311</v>
      </c>
      <c r="D15" s="45">
        <v>1313</v>
      </c>
      <c r="E15" s="44">
        <f t="shared" si="0"/>
        <v>1312</v>
      </c>
      <c r="F15" s="46">
        <v>1335</v>
      </c>
      <c r="G15" s="45">
        <v>1345</v>
      </c>
      <c r="H15" s="44">
        <f t="shared" si="1"/>
        <v>1340</v>
      </c>
      <c r="I15" s="46">
        <v>1340</v>
      </c>
      <c r="J15" s="45">
        <v>1350</v>
      </c>
      <c r="K15" s="44">
        <f t="shared" si="2"/>
        <v>1345</v>
      </c>
      <c r="L15" s="52">
        <v>1313</v>
      </c>
      <c r="M15" s="51">
        <v>1.2934000000000001</v>
      </c>
      <c r="N15" s="51">
        <v>1.0909</v>
      </c>
      <c r="O15" s="50">
        <v>109.85</v>
      </c>
      <c r="P15" s="43">
        <v>1015.15</v>
      </c>
      <c r="Q15" s="43">
        <v>1037.4100000000001</v>
      </c>
      <c r="R15" s="49">
        <f t="shared" si="3"/>
        <v>1203.5933632780273</v>
      </c>
      <c r="S15" s="48">
        <v>1.2965</v>
      </c>
    </row>
    <row r="16" spans="1:19" x14ac:dyDescent="0.2">
      <c r="B16" s="47">
        <v>43873</v>
      </c>
      <c r="C16" s="46">
        <v>1335</v>
      </c>
      <c r="D16" s="45">
        <v>1345</v>
      </c>
      <c r="E16" s="44">
        <f t="shared" si="0"/>
        <v>1340</v>
      </c>
      <c r="F16" s="46">
        <v>1350</v>
      </c>
      <c r="G16" s="45">
        <v>1360</v>
      </c>
      <c r="H16" s="44">
        <f t="shared" si="1"/>
        <v>1355</v>
      </c>
      <c r="I16" s="46">
        <v>1355</v>
      </c>
      <c r="J16" s="45">
        <v>1365</v>
      </c>
      <c r="K16" s="44">
        <f t="shared" si="2"/>
        <v>1360</v>
      </c>
      <c r="L16" s="52">
        <v>1345</v>
      </c>
      <c r="M16" s="51">
        <v>1.2986</v>
      </c>
      <c r="N16" s="51">
        <v>1.0912999999999999</v>
      </c>
      <c r="O16" s="50">
        <v>109.96</v>
      </c>
      <c r="P16" s="43">
        <v>1035.73</v>
      </c>
      <c r="Q16" s="43">
        <v>1044.79</v>
      </c>
      <c r="R16" s="49">
        <f t="shared" si="3"/>
        <v>1232.4750297809953</v>
      </c>
      <c r="S16" s="48">
        <v>1.3017000000000001</v>
      </c>
    </row>
    <row r="17" spans="2:19" x14ac:dyDescent="0.2">
      <c r="B17" s="47">
        <v>43874</v>
      </c>
      <c r="C17" s="46">
        <v>1350</v>
      </c>
      <c r="D17" s="45">
        <v>1355</v>
      </c>
      <c r="E17" s="44">
        <f t="shared" si="0"/>
        <v>1352.5</v>
      </c>
      <c r="F17" s="46">
        <v>1360</v>
      </c>
      <c r="G17" s="45">
        <v>1370</v>
      </c>
      <c r="H17" s="44">
        <f t="shared" si="1"/>
        <v>1365</v>
      </c>
      <c r="I17" s="46">
        <v>1365</v>
      </c>
      <c r="J17" s="45">
        <v>1375</v>
      </c>
      <c r="K17" s="44">
        <f t="shared" si="2"/>
        <v>1370</v>
      </c>
      <c r="L17" s="52">
        <v>1355</v>
      </c>
      <c r="M17" s="51">
        <v>1.3031999999999999</v>
      </c>
      <c r="N17" s="51">
        <v>1.0864</v>
      </c>
      <c r="O17" s="50">
        <v>109.73</v>
      </c>
      <c r="P17" s="43">
        <v>1039.75</v>
      </c>
      <c r="Q17" s="43">
        <v>1048.76</v>
      </c>
      <c r="R17" s="49">
        <f t="shared" si="3"/>
        <v>1247.238586156112</v>
      </c>
      <c r="S17" s="48">
        <v>1.3063</v>
      </c>
    </row>
    <row r="18" spans="2:19" x14ac:dyDescent="0.2">
      <c r="B18" s="47">
        <v>43875</v>
      </c>
      <c r="C18" s="46">
        <v>1370</v>
      </c>
      <c r="D18" s="45">
        <v>1380</v>
      </c>
      <c r="E18" s="44">
        <f t="shared" si="0"/>
        <v>1375</v>
      </c>
      <c r="F18" s="46">
        <v>1380</v>
      </c>
      <c r="G18" s="45">
        <v>1390</v>
      </c>
      <c r="H18" s="44">
        <f t="shared" si="1"/>
        <v>1385</v>
      </c>
      <c r="I18" s="46">
        <v>1385</v>
      </c>
      <c r="J18" s="45">
        <v>1395</v>
      </c>
      <c r="K18" s="44">
        <f t="shared" si="2"/>
        <v>1390</v>
      </c>
      <c r="L18" s="52">
        <v>1380</v>
      </c>
      <c r="M18" s="51">
        <v>1.3028999999999999</v>
      </c>
      <c r="N18" s="51">
        <v>1.0840000000000001</v>
      </c>
      <c r="O18" s="50">
        <v>109.86</v>
      </c>
      <c r="P18" s="43">
        <v>1059.18</v>
      </c>
      <c r="Q18" s="43">
        <v>1064.32</v>
      </c>
      <c r="R18" s="49">
        <f t="shared" si="3"/>
        <v>1273.0627306273061</v>
      </c>
      <c r="S18" s="48">
        <v>1.306</v>
      </c>
    </row>
    <row r="19" spans="2:19" x14ac:dyDescent="0.2">
      <c r="B19" s="47">
        <v>43878</v>
      </c>
      <c r="C19" s="46">
        <v>1365</v>
      </c>
      <c r="D19" s="45">
        <v>1375</v>
      </c>
      <c r="E19" s="44">
        <f t="shared" si="0"/>
        <v>1370</v>
      </c>
      <c r="F19" s="46">
        <v>1375</v>
      </c>
      <c r="G19" s="45">
        <v>1385</v>
      </c>
      <c r="H19" s="44">
        <f t="shared" si="1"/>
        <v>1380</v>
      </c>
      <c r="I19" s="46">
        <v>1380</v>
      </c>
      <c r="J19" s="45">
        <v>1390</v>
      </c>
      <c r="K19" s="44">
        <f t="shared" si="2"/>
        <v>1385</v>
      </c>
      <c r="L19" s="52">
        <v>1375</v>
      </c>
      <c r="M19" s="51">
        <v>1.3013999999999999</v>
      </c>
      <c r="N19" s="51">
        <v>1.0837000000000001</v>
      </c>
      <c r="O19" s="50">
        <v>109.88</v>
      </c>
      <c r="P19" s="43">
        <v>1056.55</v>
      </c>
      <c r="Q19" s="43">
        <v>1061.71</v>
      </c>
      <c r="R19" s="49">
        <f t="shared" si="3"/>
        <v>1268.8013287810279</v>
      </c>
      <c r="S19" s="48">
        <v>1.3045</v>
      </c>
    </row>
    <row r="20" spans="2:19" x14ac:dyDescent="0.2">
      <c r="B20" s="47">
        <v>43879</v>
      </c>
      <c r="C20" s="46">
        <v>1370</v>
      </c>
      <c r="D20" s="45">
        <v>1380</v>
      </c>
      <c r="E20" s="44">
        <f t="shared" si="0"/>
        <v>1375</v>
      </c>
      <c r="F20" s="46">
        <v>1375</v>
      </c>
      <c r="G20" s="45">
        <v>1385</v>
      </c>
      <c r="H20" s="44">
        <f t="shared" si="1"/>
        <v>1380</v>
      </c>
      <c r="I20" s="46">
        <v>1380</v>
      </c>
      <c r="J20" s="45">
        <v>1390</v>
      </c>
      <c r="K20" s="44">
        <f t="shared" si="2"/>
        <v>1385</v>
      </c>
      <c r="L20" s="52">
        <v>1380</v>
      </c>
      <c r="M20" s="51">
        <v>1.3031999999999999</v>
      </c>
      <c r="N20" s="51">
        <v>1.0814999999999999</v>
      </c>
      <c r="O20" s="50">
        <v>109.78</v>
      </c>
      <c r="P20" s="43">
        <v>1058.93</v>
      </c>
      <c r="Q20" s="43">
        <v>1060.25</v>
      </c>
      <c r="R20" s="49">
        <f t="shared" si="3"/>
        <v>1276.0055478502081</v>
      </c>
      <c r="S20" s="48">
        <v>1.3063</v>
      </c>
    </row>
    <row r="21" spans="2:19" x14ac:dyDescent="0.2">
      <c r="B21" s="47">
        <v>43880</v>
      </c>
      <c r="C21" s="46">
        <v>1360</v>
      </c>
      <c r="D21" s="45">
        <v>1370</v>
      </c>
      <c r="E21" s="44">
        <f t="shared" si="0"/>
        <v>1365</v>
      </c>
      <c r="F21" s="46">
        <v>1380</v>
      </c>
      <c r="G21" s="45">
        <v>1390</v>
      </c>
      <c r="H21" s="44">
        <f t="shared" si="1"/>
        <v>1385</v>
      </c>
      <c r="I21" s="46">
        <v>1390</v>
      </c>
      <c r="J21" s="45">
        <v>1400</v>
      </c>
      <c r="K21" s="44">
        <f t="shared" si="2"/>
        <v>1395</v>
      </c>
      <c r="L21" s="52">
        <v>1370</v>
      </c>
      <c r="M21" s="51">
        <v>1.2990999999999999</v>
      </c>
      <c r="N21" s="51">
        <v>1.0801000000000001</v>
      </c>
      <c r="O21" s="50">
        <v>110.49</v>
      </c>
      <c r="P21" s="43">
        <v>1054.58</v>
      </c>
      <c r="Q21" s="43">
        <v>1067.42</v>
      </c>
      <c r="R21" s="49">
        <f t="shared" si="3"/>
        <v>1268.4010739746318</v>
      </c>
      <c r="S21" s="48">
        <v>1.3022</v>
      </c>
    </row>
    <row r="22" spans="2:19" x14ac:dyDescent="0.2">
      <c r="B22" s="47">
        <v>43881</v>
      </c>
      <c r="C22" s="46">
        <v>1360</v>
      </c>
      <c r="D22" s="45">
        <v>1365</v>
      </c>
      <c r="E22" s="44">
        <f t="shared" si="0"/>
        <v>1362.5</v>
      </c>
      <c r="F22" s="46">
        <v>1385</v>
      </c>
      <c r="G22" s="45">
        <v>1395</v>
      </c>
      <c r="H22" s="44">
        <f t="shared" si="1"/>
        <v>1390</v>
      </c>
      <c r="I22" s="46">
        <v>1400</v>
      </c>
      <c r="J22" s="45">
        <v>1410</v>
      </c>
      <c r="K22" s="44">
        <f t="shared" si="2"/>
        <v>1405</v>
      </c>
      <c r="L22" s="52">
        <v>1365</v>
      </c>
      <c r="M22" s="51">
        <v>1.2866</v>
      </c>
      <c r="N22" s="51">
        <v>1.0789</v>
      </c>
      <c r="O22" s="50">
        <v>111.97</v>
      </c>
      <c r="P22" s="43">
        <v>1060.94</v>
      </c>
      <c r="Q22" s="43">
        <v>1081.56</v>
      </c>
      <c r="R22" s="49">
        <f t="shared" si="3"/>
        <v>1265.1774955973676</v>
      </c>
      <c r="S22" s="48">
        <v>1.2898000000000001</v>
      </c>
    </row>
    <row r="23" spans="2:19" x14ac:dyDescent="0.2">
      <c r="B23" s="47">
        <v>43882</v>
      </c>
      <c r="C23" s="46">
        <v>1355</v>
      </c>
      <c r="D23" s="45">
        <v>1365</v>
      </c>
      <c r="E23" s="44">
        <f t="shared" si="0"/>
        <v>1360</v>
      </c>
      <c r="F23" s="46">
        <v>1385</v>
      </c>
      <c r="G23" s="45">
        <v>1395</v>
      </c>
      <c r="H23" s="44">
        <f t="shared" si="1"/>
        <v>1390</v>
      </c>
      <c r="I23" s="46">
        <v>1400</v>
      </c>
      <c r="J23" s="45">
        <v>1410</v>
      </c>
      <c r="K23" s="44">
        <f t="shared" si="2"/>
        <v>1405</v>
      </c>
      <c r="L23" s="52">
        <v>1365</v>
      </c>
      <c r="M23" s="51">
        <v>1.2927</v>
      </c>
      <c r="N23" s="51">
        <v>1.0797000000000001</v>
      </c>
      <c r="O23" s="50">
        <v>111.99</v>
      </c>
      <c r="P23" s="43">
        <v>1055.93</v>
      </c>
      <c r="Q23" s="43">
        <v>1076.56</v>
      </c>
      <c r="R23" s="49">
        <f t="shared" si="3"/>
        <v>1264.2400666851902</v>
      </c>
      <c r="S23" s="48">
        <v>1.2958000000000001</v>
      </c>
    </row>
    <row r="24" spans="2:19" x14ac:dyDescent="0.2">
      <c r="B24" s="47">
        <v>43885</v>
      </c>
      <c r="C24" s="46">
        <v>1350</v>
      </c>
      <c r="D24" s="45">
        <v>1360</v>
      </c>
      <c r="E24" s="44">
        <f t="shared" si="0"/>
        <v>1355</v>
      </c>
      <c r="F24" s="46">
        <v>1380</v>
      </c>
      <c r="G24" s="45">
        <v>1390</v>
      </c>
      <c r="H24" s="44">
        <f t="shared" si="1"/>
        <v>1385</v>
      </c>
      <c r="I24" s="46">
        <v>1390</v>
      </c>
      <c r="J24" s="45">
        <v>1400</v>
      </c>
      <c r="K24" s="44">
        <f t="shared" si="2"/>
        <v>1395</v>
      </c>
      <c r="L24" s="52">
        <v>1360</v>
      </c>
      <c r="M24" s="51">
        <v>1.292</v>
      </c>
      <c r="N24" s="51">
        <v>1.0819000000000001</v>
      </c>
      <c r="O24" s="50">
        <v>111.34</v>
      </c>
      <c r="P24" s="43">
        <v>1052.6300000000001</v>
      </c>
      <c r="Q24" s="43">
        <v>1073.28</v>
      </c>
      <c r="R24" s="49">
        <f t="shared" si="3"/>
        <v>1257.0477863018762</v>
      </c>
      <c r="S24" s="48">
        <v>1.2950999999999999</v>
      </c>
    </row>
    <row r="25" spans="2:19" x14ac:dyDescent="0.2">
      <c r="B25" s="47">
        <v>43886</v>
      </c>
      <c r="C25" s="46">
        <v>1345</v>
      </c>
      <c r="D25" s="45">
        <v>1355</v>
      </c>
      <c r="E25" s="44">
        <f t="shared" si="0"/>
        <v>1350</v>
      </c>
      <c r="F25" s="46">
        <v>1370</v>
      </c>
      <c r="G25" s="45">
        <v>1380</v>
      </c>
      <c r="H25" s="44">
        <f t="shared" si="1"/>
        <v>1375</v>
      </c>
      <c r="I25" s="46">
        <v>1380</v>
      </c>
      <c r="J25" s="45">
        <v>1390</v>
      </c>
      <c r="K25" s="44">
        <f t="shared" si="2"/>
        <v>1385</v>
      </c>
      <c r="L25" s="52">
        <v>1355</v>
      </c>
      <c r="M25" s="51">
        <v>1.2954000000000001</v>
      </c>
      <c r="N25" s="51">
        <v>1.0835999999999999</v>
      </c>
      <c r="O25" s="50">
        <v>110.68</v>
      </c>
      <c r="P25" s="43">
        <v>1046.01</v>
      </c>
      <c r="Q25" s="43">
        <v>1062.76</v>
      </c>
      <c r="R25" s="49">
        <f t="shared" si="3"/>
        <v>1250.4614248800297</v>
      </c>
      <c r="S25" s="48">
        <v>1.2985</v>
      </c>
    </row>
    <row r="26" spans="2:19" x14ac:dyDescent="0.2">
      <c r="B26" s="47">
        <v>43887</v>
      </c>
      <c r="C26" s="46">
        <v>1350</v>
      </c>
      <c r="D26" s="45">
        <v>1360</v>
      </c>
      <c r="E26" s="44">
        <f t="shared" si="0"/>
        <v>1355</v>
      </c>
      <c r="F26" s="46">
        <v>1370</v>
      </c>
      <c r="G26" s="45">
        <v>1380</v>
      </c>
      <c r="H26" s="44">
        <f t="shared" si="1"/>
        <v>1375</v>
      </c>
      <c r="I26" s="46">
        <v>1380</v>
      </c>
      <c r="J26" s="45">
        <v>1390</v>
      </c>
      <c r="K26" s="44">
        <f t="shared" si="2"/>
        <v>1385</v>
      </c>
      <c r="L26" s="52">
        <v>1360</v>
      </c>
      <c r="M26" s="51">
        <v>1.2927999999999999</v>
      </c>
      <c r="N26" s="51">
        <v>1.0869</v>
      </c>
      <c r="O26" s="50">
        <v>110.48</v>
      </c>
      <c r="P26" s="43">
        <v>1051.98</v>
      </c>
      <c r="Q26" s="43">
        <v>1064.9000000000001</v>
      </c>
      <c r="R26" s="49">
        <f t="shared" si="3"/>
        <v>1251.2650657834208</v>
      </c>
      <c r="S26" s="48">
        <v>1.2959000000000001</v>
      </c>
    </row>
    <row r="27" spans="2:19" x14ac:dyDescent="0.2">
      <c r="B27" s="47">
        <v>43888</v>
      </c>
      <c r="C27" s="46">
        <v>1360</v>
      </c>
      <c r="D27" s="45">
        <v>1370</v>
      </c>
      <c r="E27" s="44">
        <f t="shared" si="0"/>
        <v>1365</v>
      </c>
      <c r="F27" s="46">
        <v>1390</v>
      </c>
      <c r="G27" s="45">
        <v>1400</v>
      </c>
      <c r="H27" s="44">
        <f t="shared" si="1"/>
        <v>1395</v>
      </c>
      <c r="I27" s="46">
        <v>1400</v>
      </c>
      <c r="J27" s="45">
        <v>1410</v>
      </c>
      <c r="K27" s="44">
        <f t="shared" si="2"/>
        <v>1405</v>
      </c>
      <c r="L27" s="52">
        <v>1370</v>
      </c>
      <c r="M27" s="51">
        <v>1.2892999999999999</v>
      </c>
      <c r="N27" s="51">
        <v>1.0964</v>
      </c>
      <c r="O27" s="50">
        <v>109.88</v>
      </c>
      <c r="P27" s="43">
        <v>1062.5899999999999</v>
      </c>
      <c r="Q27" s="43">
        <v>1083.3399999999999</v>
      </c>
      <c r="R27" s="49">
        <f t="shared" si="3"/>
        <v>1249.5439620576431</v>
      </c>
      <c r="S27" s="48">
        <v>1.2923</v>
      </c>
    </row>
    <row r="28" spans="2:19" x14ac:dyDescent="0.2">
      <c r="B28" s="47">
        <v>43889</v>
      </c>
      <c r="C28" s="46">
        <v>1350.5</v>
      </c>
      <c r="D28" s="45">
        <v>1351.5</v>
      </c>
      <c r="E28" s="44">
        <f t="shared" si="0"/>
        <v>1351</v>
      </c>
      <c r="F28" s="46">
        <v>1380</v>
      </c>
      <c r="G28" s="45">
        <v>1390</v>
      </c>
      <c r="H28" s="44">
        <f t="shared" si="1"/>
        <v>1385</v>
      </c>
      <c r="I28" s="46">
        <v>1390</v>
      </c>
      <c r="J28" s="45">
        <v>1400</v>
      </c>
      <c r="K28" s="44">
        <f t="shared" si="2"/>
        <v>1395</v>
      </c>
      <c r="L28" s="52">
        <v>1351.5</v>
      </c>
      <c r="M28" s="51">
        <v>1.2875000000000001</v>
      </c>
      <c r="N28" s="51">
        <v>1.0987</v>
      </c>
      <c r="O28" s="50">
        <v>108.69</v>
      </c>
      <c r="P28" s="43">
        <v>1049.71</v>
      </c>
      <c r="Q28" s="43">
        <v>1077.0999999999999</v>
      </c>
      <c r="R28" s="49">
        <f t="shared" si="3"/>
        <v>1230.0901064894877</v>
      </c>
      <c r="S28" s="48">
        <v>1.2905</v>
      </c>
    </row>
    <row r="29" spans="2:19" s="10" customFormat="1" x14ac:dyDescent="0.2">
      <c r="B29" s="42" t="s">
        <v>11</v>
      </c>
      <c r="C29" s="41">
        <f>ROUND(AVERAGE(C9:C28),2)</f>
        <v>1350.33</v>
      </c>
      <c r="D29" s="40">
        <f>ROUND(AVERAGE(D9:D28),2)</f>
        <v>1358.73</v>
      </c>
      <c r="E29" s="39">
        <f>ROUND(AVERAGE(C29:D29),2)</f>
        <v>1354.53</v>
      </c>
      <c r="F29" s="41">
        <f>ROUND(AVERAGE(F9:F28),2)</f>
        <v>1368.25</v>
      </c>
      <c r="G29" s="40">
        <f>ROUND(AVERAGE(G9:G28),2)</f>
        <v>1378.25</v>
      </c>
      <c r="H29" s="39">
        <f>ROUND(AVERAGE(F29:G29),2)</f>
        <v>1373.25</v>
      </c>
      <c r="I29" s="41">
        <f>ROUND(AVERAGE(I9:I28),2)</f>
        <v>1375.75</v>
      </c>
      <c r="J29" s="40">
        <f>ROUND(AVERAGE(J9:J28),2)</f>
        <v>1385.75</v>
      </c>
      <c r="K29" s="39">
        <f>ROUND(AVERAGE(I29:J29),2)</f>
        <v>1380.75</v>
      </c>
      <c r="L29" s="38">
        <f>ROUND(AVERAGE(L9:L28),2)</f>
        <v>1358.73</v>
      </c>
      <c r="M29" s="37">
        <f>ROUND(AVERAGE(M9:M28),4)</f>
        <v>1.2968</v>
      </c>
      <c r="N29" s="36">
        <f>ROUND(AVERAGE(N9:N28),4)</f>
        <v>1.0905</v>
      </c>
      <c r="O29" s="175">
        <f>ROUND(AVERAGE(O9:O28),2)</f>
        <v>110.07</v>
      </c>
      <c r="P29" s="35">
        <f>AVERAGE(P9:P28)</f>
        <v>1047.7869999999998</v>
      </c>
      <c r="Q29" s="35">
        <f>AVERAGE(Q9:Q28)</f>
        <v>1060.3419999999999</v>
      </c>
      <c r="R29" s="35">
        <f>AVERAGE(R9:R28)</f>
        <v>1246.1196871383086</v>
      </c>
      <c r="S29" s="34">
        <f>AVERAGE(S9:S28)</f>
        <v>1.2998450000000001</v>
      </c>
    </row>
    <row r="30" spans="2:19" s="5" customFormat="1" x14ac:dyDescent="0.2">
      <c r="B30" s="33" t="s">
        <v>12</v>
      </c>
      <c r="C30" s="32">
        <f t="shared" ref="C30:S30" si="4">MAX(C9:C28)</f>
        <v>1370</v>
      </c>
      <c r="D30" s="31">
        <f t="shared" si="4"/>
        <v>1380</v>
      </c>
      <c r="E30" s="30">
        <f t="shared" si="4"/>
        <v>1375</v>
      </c>
      <c r="F30" s="32">
        <f t="shared" si="4"/>
        <v>1390</v>
      </c>
      <c r="G30" s="31">
        <f t="shared" si="4"/>
        <v>1400</v>
      </c>
      <c r="H30" s="30">
        <f t="shared" si="4"/>
        <v>1395</v>
      </c>
      <c r="I30" s="32">
        <f t="shared" si="4"/>
        <v>1400</v>
      </c>
      <c r="J30" s="31">
        <f t="shared" si="4"/>
        <v>1410</v>
      </c>
      <c r="K30" s="30">
        <f t="shared" si="4"/>
        <v>1405</v>
      </c>
      <c r="L30" s="29">
        <f t="shared" si="4"/>
        <v>1380</v>
      </c>
      <c r="M30" s="28">
        <f t="shared" si="4"/>
        <v>1.3056000000000001</v>
      </c>
      <c r="N30" s="27">
        <f t="shared" si="4"/>
        <v>1.1067</v>
      </c>
      <c r="O30" s="26">
        <f t="shared" si="4"/>
        <v>111.99</v>
      </c>
      <c r="P30" s="25">
        <f t="shared" si="4"/>
        <v>1062.5899999999999</v>
      </c>
      <c r="Q30" s="25">
        <f t="shared" si="4"/>
        <v>1083.3399999999999</v>
      </c>
      <c r="R30" s="25">
        <f t="shared" si="4"/>
        <v>1276.0055478502081</v>
      </c>
      <c r="S30" s="24">
        <f t="shared" si="4"/>
        <v>1.3087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1300</v>
      </c>
      <c r="D31" s="21">
        <f t="shared" si="5"/>
        <v>1305</v>
      </c>
      <c r="E31" s="20">
        <f t="shared" si="5"/>
        <v>1302.5</v>
      </c>
      <c r="F31" s="22">
        <f t="shared" si="5"/>
        <v>1320</v>
      </c>
      <c r="G31" s="21">
        <f t="shared" si="5"/>
        <v>1330</v>
      </c>
      <c r="H31" s="20">
        <f t="shared" si="5"/>
        <v>1325</v>
      </c>
      <c r="I31" s="22">
        <f t="shared" si="5"/>
        <v>1325</v>
      </c>
      <c r="J31" s="21">
        <f t="shared" si="5"/>
        <v>1335</v>
      </c>
      <c r="K31" s="20">
        <f t="shared" si="5"/>
        <v>1330</v>
      </c>
      <c r="L31" s="19">
        <f t="shared" si="5"/>
        <v>1305</v>
      </c>
      <c r="M31" s="18">
        <f t="shared" si="5"/>
        <v>1.2866</v>
      </c>
      <c r="N31" s="17">
        <f t="shared" si="5"/>
        <v>1.0789</v>
      </c>
      <c r="O31" s="16">
        <f t="shared" si="5"/>
        <v>108.52</v>
      </c>
      <c r="P31" s="15">
        <f t="shared" si="5"/>
        <v>1009.05</v>
      </c>
      <c r="Q31" s="15">
        <f t="shared" si="5"/>
        <v>1025.92</v>
      </c>
      <c r="R31" s="15">
        <f t="shared" si="5"/>
        <v>1191.8896702895242</v>
      </c>
      <c r="S31" s="14">
        <f t="shared" si="5"/>
        <v>1.2898000000000001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43864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43864</v>
      </c>
      <c r="C9" s="46">
        <v>1245</v>
      </c>
      <c r="D9" s="45">
        <v>1255</v>
      </c>
      <c r="E9" s="44">
        <f t="shared" ref="E9:E28" si="0">AVERAGE(C9:D9)</f>
        <v>1250</v>
      </c>
      <c r="F9" s="46">
        <v>1260</v>
      </c>
      <c r="G9" s="45">
        <v>1270</v>
      </c>
      <c r="H9" s="44">
        <f t="shared" ref="H9:H28" si="1">AVERAGE(F9:G9)</f>
        <v>1265</v>
      </c>
      <c r="I9" s="46">
        <v>1275</v>
      </c>
      <c r="J9" s="45">
        <v>1285</v>
      </c>
      <c r="K9" s="44">
        <f t="shared" ref="K9:K28" si="2">AVERAGE(I9:J9)</f>
        <v>1280</v>
      </c>
      <c r="L9" s="52">
        <v>1255</v>
      </c>
      <c r="M9" s="51">
        <v>1.3056000000000001</v>
      </c>
      <c r="N9" s="53">
        <v>1.1067</v>
      </c>
      <c r="O9" s="50">
        <v>108.52</v>
      </c>
      <c r="P9" s="43">
        <v>961.24</v>
      </c>
      <c r="Q9" s="43">
        <v>970.43</v>
      </c>
      <c r="R9" s="49">
        <f t="shared" ref="R9:R28" si="3">L9/N9</f>
        <v>1134.0019878919309</v>
      </c>
      <c r="S9" s="48">
        <v>1.3087</v>
      </c>
    </row>
    <row r="10" spans="1:19" x14ac:dyDescent="0.2">
      <c r="B10" s="47">
        <v>43865</v>
      </c>
      <c r="C10" s="46">
        <v>1240</v>
      </c>
      <c r="D10" s="45">
        <v>1250</v>
      </c>
      <c r="E10" s="44">
        <f t="shared" si="0"/>
        <v>1245</v>
      </c>
      <c r="F10" s="46">
        <v>1255</v>
      </c>
      <c r="G10" s="45">
        <v>1265</v>
      </c>
      <c r="H10" s="44">
        <f t="shared" si="1"/>
        <v>1260</v>
      </c>
      <c r="I10" s="46">
        <v>1270</v>
      </c>
      <c r="J10" s="45">
        <v>1280</v>
      </c>
      <c r="K10" s="44">
        <f t="shared" si="2"/>
        <v>1275</v>
      </c>
      <c r="L10" s="52">
        <v>1250</v>
      </c>
      <c r="M10" s="51">
        <v>1.3011999999999999</v>
      </c>
      <c r="N10" s="51">
        <v>1.1044</v>
      </c>
      <c r="O10" s="50">
        <v>109.14</v>
      </c>
      <c r="P10" s="43">
        <v>960.65</v>
      </c>
      <c r="Q10" s="43">
        <v>969.87</v>
      </c>
      <c r="R10" s="49">
        <f t="shared" si="3"/>
        <v>1131.8362911988409</v>
      </c>
      <c r="S10" s="48">
        <v>1.3043</v>
      </c>
    </row>
    <row r="11" spans="1:19" x14ac:dyDescent="0.2">
      <c r="B11" s="47">
        <v>43866</v>
      </c>
      <c r="C11" s="46">
        <v>1235</v>
      </c>
      <c r="D11" s="45">
        <v>1245</v>
      </c>
      <c r="E11" s="44">
        <f t="shared" si="0"/>
        <v>1240</v>
      </c>
      <c r="F11" s="46">
        <v>1250</v>
      </c>
      <c r="G11" s="45">
        <v>1260</v>
      </c>
      <c r="H11" s="44">
        <f t="shared" si="1"/>
        <v>1255</v>
      </c>
      <c r="I11" s="46">
        <v>1265</v>
      </c>
      <c r="J11" s="45">
        <v>1275</v>
      </c>
      <c r="K11" s="44">
        <f t="shared" si="2"/>
        <v>1270</v>
      </c>
      <c r="L11" s="52">
        <v>1245</v>
      </c>
      <c r="M11" s="51">
        <v>1.3047</v>
      </c>
      <c r="N11" s="51">
        <v>1.1023000000000001</v>
      </c>
      <c r="O11" s="50">
        <v>109.69</v>
      </c>
      <c r="P11" s="43">
        <v>954.24</v>
      </c>
      <c r="Q11" s="43">
        <v>963.45</v>
      </c>
      <c r="R11" s="49">
        <f t="shared" si="3"/>
        <v>1129.4565907647645</v>
      </c>
      <c r="S11" s="48">
        <v>1.3078000000000001</v>
      </c>
    </row>
    <row r="12" spans="1:19" x14ac:dyDescent="0.2">
      <c r="B12" s="47">
        <v>43867</v>
      </c>
      <c r="C12" s="46">
        <v>1235</v>
      </c>
      <c r="D12" s="45">
        <v>1245</v>
      </c>
      <c r="E12" s="44">
        <f t="shared" si="0"/>
        <v>1240</v>
      </c>
      <c r="F12" s="46">
        <v>1250</v>
      </c>
      <c r="G12" s="45">
        <v>1260</v>
      </c>
      <c r="H12" s="44">
        <f t="shared" si="1"/>
        <v>1255</v>
      </c>
      <c r="I12" s="46">
        <v>1265</v>
      </c>
      <c r="J12" s="45">
        <v>1275</v>
      </c>
      <c r="K12" s="44">
        <f t="shared" si="2"/>
        <v>1270</v>
      </c>
      <c r="L12" s="52">
        <v>1245</v>
      </c>
      <c r="M12" s="51">
        <v>1.2974000000000001</v>
      </c>
      <c r="N12" s="51">
        <v>1.1002000000000001</v>
      </c>
      <c r="O12" s="50">
        <v>109.86</v>
      </c>
      <c r="P12" s="43">
        <v>959.61</v>
      </c>
      <c r="Q12" s="43">
        <v>968.86</v>
      </c>
      <c r="R12" s="49">
        <f t="shared" si="3"/>
        <v>1131.6124341028903</v>
      </c>
      <c r="S12" s="48">
        <v>1.3005</v>
      </c>
    </row>
    <row r="13" spans="1:19" x14ac:dyDescent="0.2">
      <c r="B13" s="47">
        <v>43868</v>
      </c>
      <c r="C13" s="46">
        <v>1240</v>
      </c>
      <c r="D13" s="45">
        <v>1250</v>
      </c>
      <c r="E13" s="44">
        <f t="shared" si="0"/>
        <v>1245</v>
      </c>
      <c r="F13" s="46">
        <v>1255</v>
      </c>
      <c r="G13" s="45">
        <v>1265</v>
      </c>
      <c r="H13" s="44">
        <f t="shared" si="1"/>
        <v>1260</v>
      </c>
      <c r="I13" s="46">
        <v>1270</v>
      </c>
      <c r="J13" s="45">
        <v>1280</v>
      </c>
      <c r="K13" s="44">
        <f t="shared" si="2"/>
        <v>1275</v>
      </c>
      <c r="L13" s="52">
        <v>1250</v>
      </c>
      <c r="M13" s="51">
        <v>1.2947</v>
      </c>
      <c r="N13" s="51">
        <v>1.0965</v>
      </c>
      <c r="O13" s="50">
        <v>109.88</v>
      </c>
      <c r="P13" s="43">
        <v>965.47</v>
      </c>
      <c r="Q13" s="43">
        <v>974.73</v>
      </c>
      <c r="R13" s="49">
        <f t="shared" si="3"/>
        <v>1139.9908800729595</v>
      </c>
      <c r="S13" s="48">
        <v>1.2978000000000001</v>
      </c>
    </row>
    <row r="14" spans="1:19" x14ac:dyDescent="0.2">
      <c r="B14" s="47">
        <v>43871</v>
      </c>
      <c r="C14" s="46">
        <v>1200</v>
      </c>
      <c r="D14" s="45">
        <v>1205</v>
      </c>
      <c r="E14" s="44">
        <f t="shared" si="0"/>
        <v>1202.5</v>
      </c>
      <c r="F14" s="46">
        <v>1225</v>
      </c>
      <c r="G14" s="45">
        <v>1235</v>
      </c>
      <c r="H14" s="44">
        <f t="shared" si="1"/>
        <v>1230</v>
      </c>
      <c r="I14" s="46">
        <v>1240</v>
      </c>
      <c r="J14" s="45">
        <v>1250</v>
      </c>
      <c r="K14" s="44">
        <f t="shared" si="2"/>
        <v>1245</v>
      </c>
      <c r="L14" s="52">
        <v>1205</v>
      </c>
      <c r="M14" s="51">
        <v>1.2932999999999999</v>
      </c>
      <c r="N14" s="51">
        <v>1.0949</v>
      </c>
      <c r="O14" s="50">
        <v>109.75</v>
      </c>
      <c r="P14" s="43">
        <v>931.73</v>
      </c>
      <c r="Q14" s="43">
        <v>952.64</v>
      </c>
      <c r="R14" s="49">
        <f t="shared" si="3"/>
        <v>1100.5571285048864</v>
      </c>
      <c r="S14" s="48">
        <v>1.2964</v>
      </c>
    </row>
    <row r="15" spans="1:19" x14ac:dyDescent="0.2">
      <c r="B15" s="47">
        <v>43872</v>
      </c>
      <c r="C15" s="46">
        <v>1220</v>
      </c>
      <c r="D15" s="45">
        <v>1230</v>
      </c>
      <c r="E15" s="44">
        <f t="shared" si="0"/>
        <v>1225</v>
      </c>
      <c r="F15" s="46">
        <v>1235</v>
      </c>
      <c r="G15" s="45">
        <v>1245</v>
      </c>
      <c r="H15" s="44">
        <f t="shared" si="1"/>
        <v>1240</v>
      </c>
      <c r="I15" s="46">
        <v>1250</v>
      </c>
      <c r="J15" s="45">
        <v>1260</v>
      </c>
      <c r="K15" s="44">
        <f t="shared" si="2"/>
        <v>1255</v>
      </c>
      <c r="L15" s="52">
        <v>1230</v>
      </c>
      <c r="M15" s="51">
        <v>1.2934000000000001</v>
      </c>
      <c r="N15" s="51">
        <v>1.0909</v>
      </c>
      <c r="O15" s="50">
        <v>109.85</v>
      </c>
      <c r="P15" s="43">
        <v>950.98</v>
      </c>
      <c r="Q15" s="43">
        <v>960.28</v>
      </c>
      <c r="R15" s="49">
        <f t="shared" si="3"/>
        <v>1127.5093959116325</v>
      </c>
      <c r="S15" s="48">
        <v>1.2965</v>
      </c>
    </row>
    <row r="16" spans="1:19" x14ac:dyDescent="0.2">
      <c r="B16" s="47">
        <v>43873</v>
      </c>
      <c r="C16" s="46">
        <v>1230</v>
      </c>
      <c r="D16" s="45">
        <v>1240</v>
      </c>
      <c r="E16" s="44">
        <f t="shared" si="0"/>
        <v>1235</v>
      </c>
      <c r="F16" s="46">
        <v>1245</v>
      </c>
      <c r="G16" s="45">
        <v>1255</v>
      </c>
      <c r="H16" s="44">
        <f t="shared" si="1"/>
        <v>1250</v>
      </c>
      <c r="I16" s="46">
        <v>1260</v>
      </c>
      <c r="J16" s="45">
        <v>1270</v>
      </c>
      <c r="K16" s="44">
        <f t="shared" si="2"/>
        <v>1265</v>
      </c>
      <c r="L16" s="52">
        <v>1240</v>
      </c>
      <c r="M16" s="51">
        <v>1.2986</v>
      </c>
      <c r="N16" s="51">
        <v>1.0912999999999999</v>
      </c>
      <c r="O16" s="50">
        <v>109.96</v>
      </c>
      <c r="P16" s="43">
        <v>954.87</v>
      </c>
      <c r="Q16" s="43">
        <v>964.12</v>
      </c>
      <c r="R16" s="49">
        <f t="shared" si="3"/>
        <v>1136.2595070099881</v>
      </c>
      <c r="S16" s="48">
        <v>1.3017000000000001</v>
      </c>
    </row>
    <row r="17" spans="2:19" x14ac:dyDescent="0.2">
      <c r="B17" s="47">
        <v>43874</v>
      </c>
      <c r="C17" s="46">
        <v>1250</v>
      </c>
      <c r="D17" s="45">
        <v>1260</v>
      </c>
      <c r="E17" s="44">
        <f t="shared" si="0"/>
        <v>1255</v>
      </c>
      <c r="F17" s="46">
        <v>1265</v>
      </c>
      <c r="G17" s="45">
        <v>1275</v>
      </c>
      <c r="H17" s="44">
        <f t="shared" si="1"/>
        <v>1270</v>
      </c>
      <c r="I17" s="46">
        <v>1280</v>
      </c>
      <c r="J17" s="45">
        <v>1290</v>
      </c>
      <c r="K17" s="44">
        <f t="shared" si="2"/>
        <v>1285</v>
      </c>
      <c r="L17" s="52">
        <v>1260</v>
      </c>
      <c r="M17" s="51">
        <v>1.3031999999999999</v>
      </c>
      <c r="N17" s="51">
        <v>1.0864</v>
      </c>
      <c r="O17" s="50">
        <v>109.73</v>
      </c>
      <c r="P17" s="43">
        <v>966.85</v>
      </c>
      <c r="Q17" s="43">
        <v>976.04</v>
      </c>
      <c r="R17" s="49">
        <f t="shared" si="3"/>
        <v>1159.7938144329896</v>
      </c>
      <c r="S17" s="48">
        <v>1.3063</v>
      </c>
    </row>
    <row r="18" spans="2:19" x14ac:dyDescent="0.2">
      <c r="B18" s="47">
        <v>43875</v>
      </c>
      <c r="C18" s="46">
        <v>1255</v>
      </c>
      <c r="D18" s="45">
        <v>1265</v>
      </c>
      <c r="E18" s="44">
        <f t="shared" si="0"/>
        <v>1260</v>
      </c>
      <c r="F18" s="46">
        <v>1270</v>
      </c>
      <c r="G18" s="45">
        <v>1280</v>
      </c>
      <c r="H18" s="44">
        <f t="shared" si="1"/>
        <v>1275</v>
      </c>
      <c r="I18" s="46">
        <v>1285</v>
      </c>
      <c r="J18" s="45">
        <v>1295</v>
      </c>
      <c r="K18" s="44">
        <f t="shared" si="2"/>
        <v>1290</v>
      </c>
      <c r="L18" s="52">
        <v>1265</v>
      </c>
      <c r="M18" s="51">
        <v>1.3028999999999999</v>
      </c>
      <c r="N18" s="51">
        <v>1.0840000000000001</v>
      </c>
      <c r="O18" s="50">
        <v>109.86</v>
      </c>
      <c r="P18" s="43">
        <v>970.91</v>
      </c>
      <c r="Q18" s="43">
        <v>980.09</v>
      </c>
      <c r="R18" s="49">
        <f t="shared" si="3"/>
        <v>1166.9741697416973</v>
      </c>
      <c r="S18" s="48">
        <v>1.306</v>
      </c>
    </row>
    <row r="19" spans="2:19" x14ac:dyDescent="0.2">
      <c r="B19" s="47">
        <v>43878</v>
      </c>
      <c r="C19" s="46">
        <v>1260</v>
      </c>
      <c r="D19" s="45">
        <v>1265</v>
      </c>
      <c r="E19" s="44">
        <f t="shared" si="0"/>
        <v>1262.5</v>
      </c>
      <c r="F19" s="46">
        <v>1275</v>
      </c>
      <c r="G19" s="45">
        <v>1285</v>
      </c>
      <c r="H19" s="44">
        <f t="shared" si="1"/>
        <v>1280</v>
      </c>
      <c r="I19" s="46">
        <v>1290</v>
      </c>
      <c r="J19" s="45">
        <v>1300</v>
      </c>
      <c r="K19" s="44">
        <f t="shared" si="2"/>
        <v>1295</v>
      </c>
      <c r="L19" s="52">
        <v>1265</v>
      </c>
      <c r="M19" s="51">
        <v>1.3013999999999999</v>
      </c>
      <c r="N19" s="51">
        <v>1.0837000000000001</v>
      </c>
      <c r="O19" s="50">
        <v>109.88</v>
      </c>
      <c r="P19" s="43">
        <v>972.03</v>
      </c>
      <c r="Q19" s="43">
        <v>985.05</v>
      </c>
      <c r="R19" s="49">
        <f t="shared" si="3"/>
        <v>1167.2972224785456</v>
      </c>
      <c r="S19" s="48">
        <v>1.3045</v>
      </c>
    </row>
    <row r="20" spans="2:19" x14ac:dyDescent="0.2">
      <c r="B20" s="47">
        <v>43879</v>
      </c>
      <c r="C20" s="46">
        <v>1260</v>
      </c>
      <c r="D20" s="45">
        <v>1270</v>
      </c>
      <c r="E20" s="44">
        <f t="shared" si="0"/>
        <v>1265</v>
      </c>
      <c r="F20" s="46">
        <v>1275</v>
      </c>
      <c r="G20" s="45">
        <v>1285</v>
      </c>
      <c r="H20" s="44">
        <f t="shared" si="1"/>
        <v>1280</v>
      </c>
      <c r="I20" s="46">
        <v>1290</v>
      </c>
      <c r="J20" s="45">
        <v>1300</v>
      </c>
      <c r="K20" s="44">
        <f t="shared" si="2"/>
        <v>1295</v>
      </c>
      <c r="L20" s="52">
        <v>1270</v>
      </c>
      <c r="M20" s="51">
        <v>1.3031999999999999</v>
      </c>
      <c r="N20" s="51">
        <v>1.0814999999999999</v>
      </c>
      <c r="O20" s="50">
        <v>109.78</v>
      </c>
      <c r="P20" s="43">
        <v>974.52</v>
      </c>
      <c r="Q20" s="43">
        <v>983.69</v>
      </c>
      <c r="R20" s="49">
        <f t="shared" si="3"/>
        <v>1174.2949607027278</v>
      </c>
      <c r="S20" s="48">
        <v>1.3063</v>
      </c>
    </row>
    <row r="21" spans="2:19" x14ac:dyDescent="0.2">
      <c r="B21" s="47">
        <v>43880</v>
      </c>
      <c r="C21" s="46">
        <v>1255</v>
      </c>
      <c r="D21" s="45">
        <v>1265</v>
      </c>
      <c r="E21" s="44">
        <f t="shared" si="0"/>
        <v>1260</v>
      </c>
      <c r="F21" s="46">
        <v>1270</v>
      </c>
      <c r="G21" s="45">
        <v>1280</v>
      </c>
      <c r="H21" s="44">
        <f t="shared" si="1"/>
        <v>1275</v>
      </c>
      <c r="I21" s="46">
        <v>1285</v>
      </c>
      <c r="J21" s="45">
        <v>1295</v>
      </c>
      <c r="K21" s="44">
        <f t="shared" si="2"/>
        <v>1290</v>
      </c>
      <c r="L21" s="52">
        <v>1265</v>
      </c>
      <c r="M21" s="51">
        <v>1.2990999999999999</v>
      </c>
      <c r="N21" s="51">
        <v>1.0801000000000001</v>
      </c>
      <c r="O21" s="50">
        <v>110.49</v>
      </c>
      <c r="P21" s="43">
        <v>973.75</v>
      </c>
      <c r="Q21" s="43">
        <v>982.95</v>
      </c>
      <c r="R21" s="49">
        <f t="shared" si="3"/>
        <v>1171.1878529765761</v>
      </c>
      <c r="S21" s="48">
        <v>1.3022</v>
      </c>
    </row>
    <row r="22" spans="2:19" x14ac:dyDescent="0.2">
      <c r="B22" s="47">
        <v>43881</v>
      </c>
      <c r="C22" s="46">
        <v>1255</v>
      </c>
      <c r="D22" s="45">
        <v>1270</v>
      </c>
      <c r="E22" s="44">
        <f t="shared" si="0"/>
        <v>1262.5</v>
      </c>
      <c r="F22" s="46">
        <v>1265</v>
      </c>
      <c r="G22" s="45">
        <v>1280</v>
      </c>
      <c r="H22" s="44">
        <f t="shared" si="1"/>
        <v>1272.5</v>
      </c>
      <c r="I22" s="46">
        <v>1280</v>
      </c>
      <c r="J22" s="45">
        <v>1290</v>
      </c>
      <c r="K22" s="44">
        <f t="shared" si="2"/>
        <v>1285</v>
      </c>
      <c r="L22" s="52">
        <v>1270</v>
      </c>
      <c r="M22" s="51">
        <v>1.2866</v>
      </c>
      <c r="N22" s="51">
        <v>1.0789</v>
      </c>
      <c r="O22" s="50">
        <v>111.97</v>
      </c>
      <c r="P22" s="43">
        <v>987.1</v>
      </c>
      <c r="Q22" s="43">
        <v>992.4</v>
      </c>
      <c r="R22" s="49">
        <f t="shared" si="3"/>
        <v>1177.1248493836315</v>
      </c>
      <c r="S22" s="48">
        <v>1.2898000000000001</v>
      </c>
    </row>
    <row r="23" spans="2:19" x14ac:dyDescent="0.2">
      <c r="B23" s="47">
        <v>43882</v>
      </c>
      <c r="C23" s="46">
        <v>1255</v>
      </c>
      <c r="D23" s="45">
        <v>1265</v>
      </c>
      <c r="E23" s="44">
        <f t="shared" si="0"/>
        <v>1260</v>
      </c>
      <c r="F23" s="46">
        <v>1270</v>
      </c>
      <c r="G23" s="45">
        <v>1280</v>
      </c>
      <c r="H23" s="44">
        <f t="shared" si="1"/>
        <v>1275</v>
      </c>
      <c r="I23" s="46">
        <v>1285</v>
      </c>
      <c r="J23" s="45">
        <v>1295</v>
      </c>
      <c r="K23" s="44">
        <f t="shared" si="2"/>
        <v>1290</v>
      </c>
      <c r="L23" s="52">
        <v>1265</v>
      </c>
      <c r="M23" s="51">
        <v>1.2927</v>
      </c>
      <c r="N23" s="51">
        <v>1.0797000000000001</v>
      </c>
      <c r="O23" s="50">
        <v>111.99</v>
      </c>
      <c r="P23" s="43">
        <v>978.57</v>
      </c>
      <c r="Q23" s="43">
        <v>987.81</v>
      </c>
      <c r="R23" s="49">
        <f t="shared" si="3"/>
        <v>1171.6217467815134</v>
      </c>
      <c r="S23" s="48">
        <v>1.2958000000000001</v>
      </c>
    </row>
    <row r="24" spans="2:19" x14ac:dyDescent="0.2">
      <c r="B24" s="47">
        <v>43885</v>
      </c>
      <c r="C24" s="46">
        <v>1250</v>
      </c>
      <c r="D24" s="45">
        <v>1260</v>
      </c>
      <c r="E24" s="44">
        <f t="shared" si="0"/>
        <v>1255</v>
      </c>
      <c r="F24" s="46">
        <v>1265</v>
      </c>
      <c r="G24" s="45">
        <v>1275</v>
      </c>
      <c r="H24" s="44">
        <f t="shared" si="1"/>
        <v>1270</v>
      </c>
      <c r="I24" s="46">
        <v>1280</v>
      </c>
      <c r="J24" s="45">
        <v>1290</v>
      </c>
      <c r="K24" s="44">
        <f t="shared" si="2"/>
        <v>1285</v>
      </c>
      <c r="L24" s="52">
        <v>1260</v>
      </c>
      <c r="M24" s="51">
        <v>1.292</v>
      </c>
      <c r="N24" s="51">
        <v>1.0819000000000001</v>
      </c>
      <c r="O24" s="50">
        <v>111.34</v>
      </c>
      <c r="P24" s="43">
        <v>975.23</v>
      </c>
      <c r="Q24" s="43">
        <v>984.48</v>
      </c>
      <c r="R24" s="49">
        <f t="shared" si="3"/>
        <v>1164.6178020149737</v>
      </c>
      <c r="S24" s="48">
        <v>1.2950999999999999</v>
      </c>
    </row>
    <row r="25" spans="2:19" x14ac:dyDescent="0.2">
      <c r="B25" s="47">
        <v>43886</v>
      </c>
      <c r="C25" s="46">
        <v>1240</v>
      </c>
      <c r="D25" s="45">
        <v>1250</v>
      </c>
      <c r="E25" s="44">
        <f t="shared" si="0"/>
        <v>1245</v>
      </c>
      <c r="F25" s="46">
        <v>1255</v>
      </c>
      <c r="G25" s="45">
        <v>1265</v>
      </c>
      <c r="H25" s="44">
        <f t="shared" si="1"/>
        <v>1260</v>
      </c>
      <c r="I25" s="46">
        <v>1270</v>
      </c>
      <c r="J25" s="45">
        <v>1280</v>
      </c>
      <c r="K25" s="44">
        <f t="shared" si="2"/>
        <v>1275</v>
      </c>
      <c r="L25" s="52">
        <v>1250</v>
      </c>
      <c r="M25" s="51">
        <v>1.2954000000000001</v>
      </c>
      <c r="N25" s="51">
        <v>1.0835999999999999</v>
      </c>
      <c r="O25" s="50">
        <v>110.68</v>
      </c>
      <c r="P25" s="43">
        <v>964.95</v>
      </c>
      <c r="Q25" s="43">
        <v>974.2</v>
      </c>
      <c r="R25" s="49">
        <f t="shared" si="3"/>
        <v>1153.5622000738281</v>
      </c>
      <c r="S25" s="48">
        <v>1.2985</v>
      </c>
    </row>
    <row r="26" spans="2:19" x14ac:dyDescent="0.2">
      <c r="B26" s="47">
        <v>43887</v>
      </c>
      <c r="C26" s="46">
        <v>1235</v>
      </c>
      <c r="D26" s="45">
        <v>1245</v>
      </c>
      <c r="E26" s="44">
        <f t="shared" si="0"/>
        <v>1240</v>
      </c>
      <c r="F26" s="46">
        <v>1250</v>
      </c>
      <c r="G26" s="45">
        <v>1260</v>
      </c>
      <c r="H26" s="44">
        <f t="shared" si="1"/>
        <v>1255</v>
      </c>
      <c r="I26" s="46">
        <v>1265</v>
      </c>
      <c r="J26" s="45">
        <v>1275</v>
      </c>
      <c r="K26" s="44">
        <f t="shared" si="2"/>
        <v>1270</v>
      </c>
      <c r="L26" s="52">
        <v>1245</v>
      </c>
      <c r="M26" s="51">
        <v>1.2927999999999999</v>
      </c>
      <c r="N26" s="51">
        <v>1.0869</v>
      </c>
      <c r="O26" s="50">
        <v>110.48</v>
      </c>
      <c r="P26" s="43">
        <v>963.03</v>
      </c>
      <c r="Q26" s="43">
        <v>972.3</v>
      </c>
      <c r="R26" s="49">
        <f t="shared" si="3"/>
        <v>1145.4595638973226</v>
      </c>
      <c r="S26" s="48">
        <v>1.2959000000000001</v>
      </c>
    </row>
    <row r="27" spans="2:19" x14ac:dyDescent="0.2">
      <c r="B27" s="47">
        <v>43888</v>
      </c>
      <c r="C27" s="46">
        <v>1245</v>
      </c>
      <c r="D27" s="45">
        <v>1255</v>
      </c>
      <c r="E27" s="44">
        <f t="shared" si="0"/>
        <v>1250</v>
      </c>
      <c r="F27" s="46">
        <v>1260</v>
      </c>
      <c r="G27" s="45">
        <v>1270</v>
      </c>
      <c r="H27" s="44">
        <f t="shared" si="1"/>
        <v>1265</v>
      </c>
      <c r="I27" s="46">
        <v>1275</v>
      </c>
      <c r="J27" s="45">
        <v>1285</v>
      </c>
      <c r="K27" s="44">
        <f t="shared" si="2"/>
        <v>1280</v>
      </c>
      <c r="L27" s="52">
        <v>1255</v>
      </c>
      <c r="M27" s="51">
        <v>1.2892999999999999</v>
      </c>
      <c r="N27" s="51">
        <v>1.0964</v>
      </c>
      <c r="O27" s="50">
        <v>109.88</v>
      </c>
      <c r="P27" s="43">
        <v>973.4</v>
      </c>
      <c r="Q27" s="43">
        <v>982.74</v>
      </c>
      <c r="R27" s="49">
        <f t="shared" si="3"/>
        <v>1144.6552353155782</v>
      </c>
      <c r="S27" s="48">
        <v>1.2923</v>
      </c>
    </row>
    <row r="28" spans="2:19" x14ac:dyDescent="0.2">
      <c r="B28" s="47">
        <v>43889</v>
      </c>
      <c r="C28" s="46">
        <v>1235</v>
      </c>
      <c r="D28" s="45">
        <v>1245</v>
      </c>
      <c r="E28" s="44">
        <f t="shared" si="0"/>
        <v>1240</v>
      </c>
      <c r="F28" s="46">
        <v>1250</v>
      </c>
      <c r="G28" s="45">
        <v>1260</v>
      </c>
      <c r="H28" s="44">
        <f t="shared" si="1"/>
        <v>1255</v>
      </c>
      <c r="I28" s="46">
        <v>1265</v>
      </c>
      <c r="J28" s="45">
        <v>1275</v>
      </c>
      <c r="K28" s="44">
        <f t="shared" si="2"/>
        <v>1270</v>
      </c>
      <c r="L28" s="52">
        <v>1245</v>
      </c>
      <c r="M28" s="51">
        <v>1.2875000000000001</v>
      </c>
      <c r="N28" s="51">
        <v>1.0987</v>
      </c>
      <c r="O28" s="50">
        <v>108.69</v>
      </c>
      <c r="P28" s="43">
        <v>966.99</v>
      </c>
      <c r="Q28" s="43">
        <v>976.37</v>
      </c>
      <c r="R28" s="49">
        <f t="shared" si="3"/>
        <v>1133.1573677983072</v>
      </c>
      <c r="S28" s="48">
        <v>1.2905</v>
      </c>
    </row>
    <row r="29" spans="2:19" s="10" customFormat="1" x14ac:dyDescent="0.2">
      <c r="B29" s="42" t="s">
        <v>11</v>
      </c>
      <c r="C29" s="41">
        <f>ROUND(AVERAGE(C9:C28),2)</f>
        <v>1242</v>
      </c>
      <c r="D29" s="40">
        <f>ROUND(AVERAGE(D9:D28),2)</f>
        <v>1251.75</v>
      </c>
      <c r="E29" s="39">
        <f>ROUND(AVERAGE(C29:D29),2)</f>
        <v>1246.8800000000001</v>
      </c>
      <c r="F29" s="41">
        <f>ROUND(AVERAGE(F9:F28),2)</f>
        <v>1257.25</v>
      </c>
      <c r="G29" s="40">
        <f>ROUND(AVERAGE(G9:G28),2)</f>
        <v>1267.5</v>
      </c>
      <c r="H29" s="39">
        <f>ROUND(AVERAGE(F29:G29),2)</f>
        <v>1262.3800000000001</v>
      </c>
      <c r="I29" s="41">
        <f>ROUND(AVERAGE(I9:I28),2)</f>
        <v>1272.25</v>
      </c>
      <c r="J29" s="40">
        <f>ROUND(AVERAGE(J9:J28),2)</f>
        <v>1282.25</v>
      </c>
      <c r="K29" s="39">
        <f>ROUND(AVERAGE(I29:J29),2)</f>
        <v>1277.25</v>
      </c>
      <c r="L29" s="38">
        <f>ROUND(AVERAGE(L9:L28),2)</f>
        <v>1251.75</v>
      </c>
      <c r="M29" s="37">
        <f>ROUND(AVERAGE(M9:M28),4)</f>
        <v>1.2968</v>
      </c>
      <c r="N29" s="36">
        <f>ROUND(AVERAGE(N9:N28),4)</f>
        <v>1.0905</v>
      </c>
      <c r="O29" s="175">
        <f>ROUND(AVERAGE(O9:O28),2)</f>
        <v>110.07</v>
      </c>
      <c r="P29" s="35">
        <f>AVERAGE(P9:P28)</f>
        <v>965.30600000000015</v>
      </c>
      <c r="Q29" s="35">
        <f>AVERAGE(Q9:Q28)</f>
        <v>975.125</v>
      </c>
      <c r="R29" s="35">
        <f>AVERAGE(R9:R28)</f>
        <v>1148.0485500527795</v>
      </c>
      <c r="S29" s="34">
        <f>AVERAGE(S9:S28)</f>
        <v>1.2998450000000001</v>
      </c>
    </row>
    <row r="30" spans="2:19" s="5" customFormat="1" x14ac:dyDescent="0.2">
      <c r="B30" s="33" t="s">
        <v>12</v>
      </c>
      <c r="C30" s="32">
        <f t="shared" ref="C30:S30" si="4">MAX(C9:C28)</f>
        <v>1260</v>
      </c>
      <c r="D30" s="31">
        <f t="shared" si="4"/>
        <v>1270</v>
      </c>
      <c r="E30" s="30">
        <f t="shared" si="4"/>
        <v>1265</v>
      </c>
      <c r="F30" s="32">
        <f t="shared" si="4"/>
        <v>1275</v>
      </c>
      <c r="G30" s="31">
        <f t="shared" si="4"/>
        <v>1285</v>
      </c>
      <c r="H30" s="30">
        <f t="shared" si="4"/>
        <v>1280</v>
      </c>
      <c r="I30" s="32">
        <f t="shared" si="4"/>
        <v>1290</v>
      </c>
      <c r="J30" s="31">
        <f t="shared" si="4"/>
        <v>1300</v>
      </c>
      <c r="K30" s="30">
        <f t="shared" si="4"/>
        <v>1295</v>
      </c>
      <c r="L30" s="29">
        <f t="shared" si="4"/>
        <v>1270</v>
      </c>
      <c r="M30" s="28">
        <f t="shared" si="4"/>
        <v>1.3056000000000001</v>
      </c>
      <c r="N30" s="27">
        <f t="shared" si="4"/>
        <v>1.1067</v>
      </c>
      <c r="O30" s="26">
        <f t="shared" si="4"/>
        <v>111.99</v>
      </c>
      <c r="P30" s="25">
        <f t="shared" si="4"/>
        <v>987.1</v>
      </c>
      <c r="Q30" s="25">
        <f t="shared" si="4"/>
        <v>992.4</v>
      </c>
      <c r="R30" s="25">
        <f t="shared" si="4"/>
        <v>1177.1248493836315</v>
      </c>
      <c r="S30" s="24">
        <f t="shared" si="4"/>
        <v>1.3087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1200</v>
      </c>
      <c r="D31" s="21">
        <f t="shared" si="5"/>
        <v>1205</v>
      </c>
      <c r="E31" s="20">
        <f t="shared" si="5"/>
        <v>1202.5</v>
      </c>
      <c r="F31" s="22">
        <f t="shared" si="5"/>
        <v>1225</v>
      </c>
      <c r="G31" s="21">
        <f t="shared" si="5"/>
        <v>1235</v>
      </c>
      <c r="H31" s="20">
        <f t="shared" si="5"/>
        <v>1230</v>
      </c>
      <c r="I31" s="22">
        <f t="shared" si="5"/>
        <v>1240</v>
      </c>
      <c r="J31" s="21">
        <f t="shared" si="5"/>
        <v>1250</v>
      </c>
      <c r="K31" s="20">
        <f t="shared" si="5"/>
        <v>1245</v>
      </c>
      <c r="L31" s="19">
        <f t="shared" si="5"/>
        <v>1205</v>
      </c>
      <c r="M31" s="18">
        <f t="shared" si="5"/>
        <v>1.2866</v>
      </c>
      <c r="N31" s="17">
        <f t="shared" si="5"/>
        <v>1.0789</v>
      </c>
      <c r="O31" s="16">
        <f t="shared" si="5"/>
        <v>108.52</v>
      </c>
      <c r="P31" s="15">
        <f t="shared" si="5"/>
        <v>931.73</v>
      </c>
      <c r="Q31" s="15">
        <f t="shared" si="5"/>
        <v>952.64</v>
      </c>
      <c r="R31" s="15">
        <f t="shared" si="5"/>
        <v>1100.5571285048864</v>
      </c>
      <c r="S31" s="14">
        <f t="shared" si="5"/>
        <v>1.2898000000000001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43864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43864</v>
      </c>
      <c r="C9" s="46">
        <v>1693.5</v>
      </c>
      <c r="D9" s="45">
        <v>1694.5</v>
      </c>
      <c r="E9" s="44">
        <f t="shared" ref="E9:E28" si="0">AVERAGE(C9:D9)</f>
        <v>1694</v>
      </c>
      <c r="F9" s="46">
        <v>1718</v>
      </c>
      <c r="G9" s="45">
        <v>1719</v>
      </c>
      <c r="H9" s="44">
        <f t="shared" ref="H9:H28" si="1">AVERAGE(F9:G9)</f>
        <v>1718.5</v>
      </c>
      <c r="I9" s="46">
        <v>1850</v>
      </c>
      <c r="J9" s="45">
        <v>1855</v>
      </c>
      <c r="K9" s="44">
        <f t="shared" ref="K9:K28" si="2">AVERAGE(I9:J9)</f>
        <v>1852.5</v>
      </c>
      <c r="L9" s="46">
        <v>1933</v>
      </c>
      <c r="M9" s="45">
        <v>1938</v>
      </c>
      <c r="N9" s="44">
        <f t="shared" ref="N9:N28" si="3">AVERAGE(L9:M9)</f>
        <v>1935.5</v>
      </c>
      <c r="O9" s="46">
        <v>2015</v>
      </c>
      <c r="P9" s="45">
        <v>2020</v>
      </c>
      <c r="Q9" s="44">
        <f t="shared" ref="Q9:Q28" si="4">AVERAGE(O9:P9)</f>
        <v>2017.5</v>
      </c>
      <c r="R9" s="52">
        <v>1694.5</v>
      </c>
      <c r="S9" s="51">
        <v>1.3056000000000001</v>
      </c>
      <c r="T9" s="53">
        <v>1.1067</v>
      </c>
      <c r="U9" s="50">
        <v>108.52</v>
      </c>
      <c r="V9" s="43">
        <v>1297.8699999999999</v>
      </c>
      <c r="W9" s="43">
        <v>1313.52</v>
      </c>
      <c r="X9" s="49">
        <f t="shared" ref="X9:X28" si="5">R9/T9</f>
        <v>1531.1285804644438</v>
      </c>
      <c r="Y9" s="48">
        <v>1.3087</v>
      </c>
    </row>
    <row r="10" spans="1:25" x14ac:dyDescent="0.2">
      <c r="B10" s="47">
        <v>43865</v>
      </c>
      <c r="C10" s="46">
        <v>1686.5</v>
      </c>
      <c r="D10" s="45">
        <v>1687</v>
      </c>
      <c r="E10" s="44">
        <f t="shared" si="0"/>
        <v>1686.75</v>
      </c>
      <c r="F10" s="46">
        <v>1712</v>
      </c>
      <c r="G10" s="45">
        <v>1713</v>
      </c>
      <c r="H10" s="44">
        <f t="shared" si="1"/>
        <v>1712.5</v>
      </c>
      <c r="I10" s="46">
        <v>1845</v>
      </c>
      <c r="J10" s="45">
        <v>1850</v>
      </c>
      <c r="K10" s="44">
        <f t="shared" si="2"/>
        <v>1847.5</v>
      </c>
      <c r="L10" s="46">
        <v>1928</v>
      </c>
      <c r="M10" s="45">
        <v>1933</v>
      </c>
      <c r="N10" s="44">
        <f t="shared" si="3"/>
        <v>1930.5</v>
      </c>
      <c r="O10" s="46">
        <v>2013</v>
      </c>
      <c r="P10" s="45">
        <v>2018</v>
      </c>
      <c r="Q10" s="44">
        <f t="shared" si="4"/>
        <v>2015.5</v>
      </c>
      <c r="R10" s="52">
        <v>1687</v>
      </c>
      <c r="S10" s="51">
        <v>1.3011999999999999</v>
      </c>
      <c r="T10" s="51">
        <v>1.1044</v>
      </c>
      <c r="U10" s="50">
        <v>109.14</v>
      </c>
      <c r="V10" s="43">
        <v>1296.5</v>
      </c>
      <c r="W10" s="43">
        <v>1313.35</v>
      </c>
      <c r="X10" s="49">
        <f t="shared" si="5"/>
        <v>1527.5262586019558</v>
      </c>
      <c r="Y10" s="48">
        <v>1.3043</v>
      </c>
    </row>
    <row r="11" spans="1:25" x14ac:dyDescent="0.2">
      <c r="B11" s="47">
        <v>43866</v>
      </c>
      <c r="C11" s="46">
        <v>1687.5</v>
      </c>
      <c r="D11" s="45">
        <v>1688</v>
      </c>
      <c r="E11" s="44">
        <f t="shared" si="0"/>
        <v>1687.75</v>
      </c>
      <c r="F11" s="46">
        <v>1715.5</v>
      </c>
      <c r="G11" s="45">
        <v>1716</v>
      </c>
      <c r="H11" s="44">
        <f t="shared" si="1"/>
        <v>1715.75</v>
      </c>
      <c r="I11" s="46">
        <v>1848</v>
      </c>
      <c r="J11" s="45">
        <v>1853</v>
      </c>
      <c r="K11" s="44">
        <f t="shared" si="2"/>
        <v>1850.5</v>
      </c>
      <c r="L11" s="46">
        <v>1930</v>
      </c>
      <c r="M11" s="45">
        <v>1935</v>
      </c>
      <c r="N11" s="44">
        <f t="shared" si="3"/>
        <v>1932.5</v>
      </c>
      <c r="O11" s="46">
        <v>2015</v>
      </c>
      <c r="P11" s="45">
        <v>2020</v>
      </c>
      <c r="Q11" s="44">
        <f t="shared" si="4"/>
        <v>2017.5</v>
      </c>
      <c r="R11" s="52">
        <v>1688</v>
      </c>
      <c r="S11" s="51">
        <v>1.3047</v>
      </c>
      <c r="T11" s="51">
        <v>1.1023000000000001</v>
      </c>
      <c r="U11" s="50">
        <v>109.69</v>
      </c>
      <c r="V11" s="43">
        <v>1293.78</v>
      </c>
      <c r="W11" s="43">
        <v>1312.13</v>
      </c>
      <c r="X11" s="49">
        <f t="shared" si="5"/>
        <v>1531.3435543862831</v>
      </c>
      <c r="Y11" s="48">
        <v>1.3078000000000001</v>
      </c>
    </row>
    <row r="12" spans="1:25" x14ac:dyDescent="0.2">
      <c r="B12" s="47">
        <v>43867</v>
      </c>
      <c r="C12" s="46">
        <v>1697</v>
      </c>
      <c r="D12" s="45">
        <v>1698</v>
      </c>
      <c r="E12" s="44">
        <f t="shared" si="0"/>
        <v>1697.5</v>
      </c>
      <c r="F12" s="46">
        <v>1722.5</v>
      </c>
      <c r="G12" s="45">
        <v>1723.5</v>
      </c>
      <c r="H12" s="44">
        <f t="shared" si="1"/>
        <v>1723</v>
      </c>
      <c r="I12" s="46">
        <v>1853</v>
      </c>
      <c r="J12" s="45">
        <v>1858</v>
      </c>
      <c r="K12" s="44">
        <f t="shared" si="2"/>
        <v>1855.5</v>
      </c>
      <c r="L12" s="46">
        <v>1935</v>
      </c>
      <c r="M12" s="45">
        <v>1940</v>
      </c>
      <c r="N12" s="44">
        <f t="shared" si="3"/>
        <v>1937.5</v>
      </c>
      <c r="O12" s="46">
        <v>2020</v>
      </c>
      <c r="P12" s="45">
        <v>2025</v>
      </c>
      <c r="Q12" s="44">
        <f t="shared" si="4"/>
        <v>2022.5</v>
      </c>
      <c r="R12" s="52">
        <v>1698</v>
      </c>
      <c r="S12" s="51">
        <v>1.2974000000000001</v>
      </c>
      <c r="T12" s="51">
        <v>1.1002000000000001</v>
      </c>
      <c r="U12" s="50">
        <v>109.86</v>
      </c>
      <c r="V12" s="43">
        <v>1308.77</v>
      </c>
      <c r="W12" s="43">
        <v>1325.26</v>
      </c>
      <c r="X12" s="49">
        <f t="shared" si="5"/>
        <v>1543.3557534993636</v>
      </c>
      <c r="Y12" s="48">
        <v>1.3005</v>
      </c>
    </row>
    <row r="13" spans="1:25" x14ac:dyDescent="0.2">
      <c r="B13" s="47">
        <v>43868</v>
      </c>
      <c r="C13" s="46">
        <v>1693</v>
      </c>
      <c r="D13" s="45">
        <v>1693.5</v>
      </c>
      <c r="E13" s="44">
        <f t="shared" si="0"/>
        <v>1693.25</v>
      </c>
      <c r="F13" s="46">
        <v>1720.5</v>
      </c>
      <c r="G13" s="45">
        <v>1721</v>
      </c>
      <c r="H13" s="44">
        <f t="shared" si="1"/>
        <v>1720.75</v>
      </c>
      <c r="I13" s="46">
        <v>1850</v>
      </c>
      <c r="J13" s="45">
        <v>1855</v>
      </c>
      <c r="K13" s="44">
        <f t="shared" si="2"/>
        <v>1852.5</v>
      </c>
      <c r="L13" s="46">
        <v>1933</v>
      </c>
      <c r="M13" s="45">
        <v>1938</v>
      </c>
      <c r="N13" s="44">
        <f t="shared" si="3"/>
        <v>1935.5</v>
      </c>
      <c r="O13" s="46">
        <v>2018</v>
      </c>
      <c r="P13" s="45">
        <v>2023</v>
      </c>
      <c r="Q13" s="44">
        <f t="shared" si="4"/>
        <v>2020.5</v>
      </c>
      <c r="R13" s="52">
        <v>1693.5</v>
      </c>
      <c r="S13" s="51">
        <v>1.2947</v>
      </c>
      <c r="T13" s="51">
        <v>1.0965</v>
      </c>
      <c r="U13" s="50">
        <v>109.88</v>
      </c>
      <c r="V13" s="43">
        <v>1308.03</v>
      </c>
      <c r="W13" s="43">
        <v>1326.09</v>
      </c>
      <c r="X13" s="49">
        <f t="shared" si="5"/>
        <v>1544.4596443228454</v>
      </c>
      <c r="Y13" s="48">
        <v>1.2978000000000001</v>
      </c>
    </row>
    <row r="14" spans="1:25" x14ac:dyDescent="0.2">
      <c r="B14" s="47">
        <v>43871</v>
      </c>
      <c r="C14" s="46">
        <v>1675.5</v>
      </c>
      <c r="D14" s="45">
        <v>1676</v>
      </c>
      <c r="E14" s="44">
        <f t="shared" si="0"/>
        <v>1675.75</v>
      </c>
      <c r="F14" s="46">
        <v>1704</v>
      </c>
      <c r="G14" s="45">
        <v>1705</v>
      </c>
      <c r="H14" s="44">
        <f t="shared" si="1"/>
        <v>1704.5</v>
      </c>
      <c r="I14" s="46">
        <v>1835</v>
      </c>
      <c r="J14" s="45">
        <v>1840</v>
      </c>
      <c r="K14" s="44">
        <f t="shared" si="2"/>
        <v>1837.5</v>
      </c>
      <c r="L14" s="46">
        <v>1920</v>
      </c>
      <c r="M14" s="45">
        <v>1925</v>
      </c>
      <c r="N14" s="44">
        <f t="shared" si="3"/>
        <v>1922.5</v>
      </c>
      <c r="O14" s="46">
        <v>2003</v>
      </c>
      <c r="P14" s="45">
        <v>2008</v>
      </c>
      <c r="Q14" s="44">
        <f t="shared" si="4"/>
        <v>2005.5</v>
      </c>
      <c r="R14" s="52">
        <v>1676</v>
      </c>
      <c r="S14" s="51">
        <v>1.2932999999999999</v>
      </c>
      <c r="T14" s="51">
        <v>1.0949</v>
      </c>
      <c r="U14" s="50">
        <v>109.75</v>
      </c>
      <c r="V14" s="43">
        <v>1295.9100000000001</v>
      </c>
      <c r="W14" s="43">
        <v>1315.18</v>
      </c>
      <c r="X14" s="49">
        <f t="shared" si="5"/>
        <v>1530.7334003105307</v>
      </c>
      <c r="Y14" s="48">
        <v>1.2964</v>
      </c>
    </row>
    <row r="15" spans="1:25" x14ac:dyDescent="0.2">
      <c r="B15" s="47">
        <v>43872</v>
      </c>
      <c r="C15" s="46">
        <v>1689</v>
      </c>
      <c r="D15" s="45">
        <v>1689.5</v>
      </c>
      <c r="E15" s="44">
        <f t="shared" si="0"/>
        <v>1689.25</v>
      </c>
      <c r="F15" s="46">
        <v>1716.5</v>
      </c>
      <c r="G15" s="45">
        <v>1717</v>
      </c>
      <c r="H15" s="44">
        <f t="shared" si="1"/>
        <v>1716.75</v>
      </c>
      <c r="I15" s="46">
        <v>1848</v>
      </c>
      <c r="J15" s="45">
        <v>1853</v>
      </c>
      <c r="K15" s="44">
        <f t="shared" si="2"/>
        <v>1850.5</v>
      </c>
      <c r="L15" s="46">
        <v>1933</v>
      </c>
      <c r="M15" s="45">
        <v>1938</v>
      </c>
      <c r="N15" s="44">
        <f t="shared" si="3"/>
        <v>1935.5</v>
      </c>
      <c r="O15" s="46">
        <v>2017</v>
      </c>
      <c r="P15" s="45">
        <v>2022</v>
      </c>
      <c r="Q15" s="44">
        <f t="shared" si="4"/>
        <v>2019.5</v>
      </c>
      <c r="R15" s="52">
        <v>1689.5</v>
      </c>
      <c r="S15" s="51">
        <v>1.2934000000000001</v>
      </c>
      <c r="T15" s="51">
        <v>1.0909</v>
      </c>
      <c r="U15" s="50">
        <v>109.85</v>
      </c>
      <c r="V15" s="43">
        <v>1306.25</v>
      </c>
      <c r="W15" s="43">
        <v>1324.33</v>
      </c>
      <c r="X15" s="49">
        <f t="shared" si="5"/>
        <v>1548.7212393436612</v>
      </c>
      <c r="Y15" s="48">
        <v>1.2965</v>
      </c>
    </row>
    <row r="16" spans="1:25" x14ac:dyDescent="0.2">
      <c r="B16" s="47">
        <v>43873</v>
      </c>
      <c r="C16" s="46">
        <v>1706.5</v>
      </c>
      <c r="D16" s="45">
        <v>1707</v>
      </c>
      <c r="E16" s="44">
        <f t="shared" si="0"/>
        <v>1706.75</v>
      </c>
      <c r="F16" s="46">
        <v>1731</v>
      </c>
      <c r="G16" s="45">
        <v>1733</v>
      </c>
      <c r="H16" s="44">
        <f t="shared" si="1"/>
        <v>1732</v>
      </c>
      <c r="I16" s="46">
        <v>1860</v>
      </c>
      <c r="J16" s="45">
        <v>1865</v>
      </c>
      <c r="K16" s="44">
        <f t="shared" si="2"/>
        <v>1862.5</v>
      </c>
      <c r="L16" s="46">
        <v>1945</v>
      </c>
      <c r="M16" s="45">
        <v>1950</v>
      </c>
      <c r="N16" s="44">
        <f t="shared" si="3"/>
        <v>1947.5</v>
      </c>
      <c r="O16" s="46">
        <v>2028</v>
      </c>
      <c r="P16" s="45">
        <v>2033</v>
      </c>
      <c r="Q16" s="44">
        <f t="shared" si="4"/>
        <v>2030.5</v>
      </c>
      <c r="R16" s="52">
        <v>1707</v>
      </c>
      <c r="S16" s="51">
        <v>1.2986</v>
      </c>
      <c r="T16" s="51">
        <v>1.0912999999999999</v>
      </c>
      <c r="U16" s="50">
        <v>109.96</v>
      </c>
      <c r="V16" s="43">
        <v>1314.49</v>
      </c>
      <c r="W16" s="43">
        <v>1331.34</v>
      </c>
      <c r="X16" s="49">
        <f t="shared" si="5"/>
        <v>1564.1894987629435</v>
      </c>
      <c r="Y16" s="48">
        <v>1.3017000000000001</v>
      </c>
    </row>
    <row r="17" spans="2:25" x14ac:dyDescent="0.2">
      <c r="B17" s="47">
        <v>43874</v>
      </c>
      <c r="C17" s="46">
        <v>1701</v>
      </c>
      <c r="D17" s="45">
        <v>1701.5</v>
      </c>
      <c r="E17" s="44">
        <f t="shared" si="0"/>
        <v>1701.25</v>
      </c>
      <c r="F17" s="46">
        <v>1727</v>
      </c>
      <c r="G17" s="45">
        <v>1727.5</v>
      </c>
      <c r="H17" s="44">
        <f t="shared" si="1"/>
        <v>1727.25</v>
      </c>
      <c r="I17" s="46">
        <v>1858</v>
      </c>
      <c r="J17" s="45">
        <v>1863</v>
      </c>
      <c r="K17" s="44">
        <f t="shared" si="2"/>
        <v>1860.5</v>
      </c>
      <c r="L17" s="46">
        <v>1942</v>
      </c>
      <c r="M17" s="45">
        <v>1947</v>
      </c>
      <c r="N17" s="44">
        <f t="shared" si="3"/>
        <v>1944.5</v>
      </c>
      <c r="O17" s="46">
        <v>2025</v>
      </c>
      <c r="P17" s="45">
        <v>2030</v>
      </c>
      <c r="Q17" s="44">
        <f t="shared" si="4"/>
        <v>2027.5</v>
      </c>
      <c r="R17" s="52">
        <v>1701.5</v>
      </c>
      <c r="S17" s="51">
        <v>1.3031999999999999</v>
      </c>
      <c r="T17" s="51">
        <v>1.0864</v>
      </c>
      <c r="U17" s="50">
        <v>109.73</v>
      </c>
      <c r="V17" s="43">
        <v>1305.6300000000001</v>
      </c>
      <c r="W17" s="43">
        <v>1322.44</v>
      </c>
      <c r="X17" s="49">
        <f t="shared" si="5"/>
        <v>1566.181885125184</v>
      </c>
      <c r="Y17" s="48">
        <v>1.3063</v>
      </c>
    </row>
    <row r="18" spans="2:25" x14ac:dyDescent="0.2">
      <c r="B18" s="47">
        <v>43875</v>
      </c>
      <c r="C18" s="46">
        <v>1704</v>
      </c>
      <c r="D18" s="45">
        <v>1704.5</v>
      </c>
      <c r="E18" s="44">
        <f t="shared" si="0"/>
        <v>1704.25</v>
      </c>
      <c r="F18" s="46">
        <v>1733</v>
      </c>
      <c r="G18" s="45">
        <v>1734</v>
      </c>
      <c r="H18" s="44">
        <f t="shared" si="1"/>
        <v>1733.5</v>
      </c>
      <c r="I18" s="46">
        <v>1863</v>
      </c>
      <c r="J18" s="45">
        <v>1868</v>
      </c>
      <c r="K18" s="44">
        <f t="shared" si="2"/>
        <v>1865.5</v>
      </c>
      <c r="L18" s="46">
        <v>1948</v>
      </c>
      <c r="M18" s="45">
        <v>1953</v>
      </c>
      <c r="N18" s="44">
        <f t="shared" si="3"/>
        <v>1950.5</v>
      </c>
      <c r="O18" s="46">
        <v>2032</v>
      </c>
      <c r="P18" s="45">
        <v>2037</v>
      </c>
      <c r="Q18" s="44">
        <f t="shared" si="4"/>
        <v>2034.5</v>
      </c>
      <c r="R18" s="52">
        <v>1704.5</v>
      </c>
      <c r="S18" s="51">
        <v>1.3028999999999999</v>
      </c>
      <c r="T18" s="51">
        <v>1.0840000000000001</v>
      </c>
      <c r="U18" s="50">
        <v>109.86</v>
      </c>
      <c r="V18" s="43">
        <v>1308.24</v>
      </c>
      <c r="W18" s="43">
        <v>1327.72</v>
      </c>
      <c r="X18" s="49">
        <f t="shared" si="5"/>
        <v>1572.4169741697415</v>
      </c>
      <c r="Y18" s="48">
        <v>1.306</v>
      </c>
    </row>
    <row r="19" spans="2:25" x14ac:dyDescent="0.2">
      <c r="B19" s="47">
        <v>43878</v>
      </c>
      <c r="C19" s="46">
        <v>1678</v>
      </c>
      <c r="D19" s="45">
        <v>1678.5</v>
      </c>
      <c r="E19" s="44">
        <f t="shared" si="0"/>
        <v>1678.25</v>
      </c>
      <c r="F19" s="46">
        <v>1711</v>
      </c>
      <c r="G19" s="45">
        <v>1712</v>
      </c>
      <c r="H19" s="44">
        <f t="shared" si="1"/>
        <v>1711.5</v>
      </c>
      <c r="I19" s="46">
        <v>1842</v>
      </c>
      <c r="J19" s="45">
        <v>1847</v>
      </c>
      <c r="K19" s="44">
        <f t="shared" si="2"/>
        <v>1844.5</v>
      </c>
      <c r="L19" s="46">
        <v>1925</v>
      </c>
      <c r="M19" s="45">
        <v>1930</v>
      </c>
      <c r="N19" s="44">
        <f t="shared" si="3"/>
        <v>1927.5</v>
      </c>
      <c r="O19" s="46">
        <v>2010</v>
      </c>
      <c r="P19" s="45">
        <v>2015</v>
      </c>
      <c r="Q19" s="44">
        <f t="shared" si="4"/>
        <v>2012.5</v>
      </c>
      <c r="R19" s="52">
        <v>1678.5</v>
      </c>
      <c r="S19" s="51">
        <v>1.3013999999999999</v>
      </c>
      <c r="T19" s="51">
        <v>1.0837000000000001</v>
      </c>
      <c r="U19" s="50">
        <v>109.88</v>
      </c>
      <c r="V19" s="43">
        <v>1289.76</v>
      </c>
      <c r="W19" s="43">
        <v>1312.38</v>
      </c>
      <c r="X19" s="49">
        <f t="shared" si="5"/>
        <v>1548.8603857156038</v>
      </c>
      <c r="Y19" s="48">
        <v>1.3045</v>
      </c>
    </row>
    <row r="20" spans="2:25" x14ac:dyDescent="0.2">
      <c r="B20" s="47">
        <v>43879</v>
      </c>
      <c r="C20" s="46">
        <v>1680.5</v>
      </c>
      <c r="D20" s="45">
        <v>1681</v>
      </c>
      <c r="E20" s="44">
        <f t="shared" si="0"/>
        <v>1680.75</v>
      </c>
      <c r="F20" s="46">
        <v>1708</v>
      </c>
      <c r="G20" s="45">
        <v>1708.5</v>
      </c>
      <c r="H20" s="44">
        <f t="shared" si="1"/>
        <v>1708.25</v>
      </c>
      <c r="I20" s="46">
        <v>1835</v>
      </c>
      <c r="J20" s="45">
        <v>1840</v>
      </c>
      <c r="K20" s="44">
        <f t="shared" si="2"/>
        <v>1837.5</v>
      </c>
      <c r="L20" s="46">
        <v>1920</v>
      </c>
      <c r="M20" s="45">
        <v>1925</v>
      </c>
      <c r="N20" s="44">
        <f t="shared" si="3"/>
        <v>1922.5</v>
      </c>
      <c r="O20" s="46">
        <v>2003</v>
      </c>
      <c r="P20" s="45">
        <v>2008</v>
      </c>
      <c r="Q20" s="44">
        <f t="shared" si="4"/>
        <v>2005.5</v>
      </c>
      <c r="R20" s="52">
        <v>1681</v>
      </c>
      <c r="S20" s="51">
        <v>1.3031999999999999</v>
      </c>
      <c r="T20" s="51">
        <v>1.0814999999999999</v>
      </c>
      <c r="U20" s="50">
        <v>109.78</v>
      </c>
      <c r="V20" s="43">
        <v>1289.9000000000001</v>
      </c>
      <c r="W20" s="43">
        <v>1307.8900000000001</v>
      </c>
      <c r="X20" s="49">
        <f t="shared" si="5"/>
        <v>1554.3226999537681</v>
      </c>
      <c r="Y20" s="48">
        <v>1.3063</v>
      </c>
    </row>
    <row r="21" spans="2:25" x14ac:dyDescent="0.2">
      <c r="B21" s="47">
        <v>43880</v>
      </c>
      <c r="C21" s="46">
        <v>1684</v>
      </c>
      <c r="D21" s="45">
        <v>1686</v>
      </c>
      <c r="E21" s="44">
        <f t="shared" si="0"/>
        <v>1685</v>
      </c>
      <c r="F21" s="46">
        <v>1712</v>
      </c>
      <c r="G21" s="45">
        <v>1712.5</v>
      </c>
      <c r="H21" s="44">
        <f t="shared" si="1"/>
        <v>1712.25</v>
      </c>
      <c r="I21" s="46">
        <v>1840</v>
      </c>
      <c r="J21" s="45">
        <v>1845</v>
      </c>
      <c r="K21" s="44">
        <f t="shared" si="2"/>
        <v>1842.5</v>
      </c>
      <c r="L21" s="46">
        <v>1925</v>
      </c>
      <c r="M21" s="45">
        <v>1930</v>
      </c>
      <c r="N21" s="44">
        <f t="shared" si="3"/>
        <v>1927.5</v>
      </c>
      <c r="O21" s="46">
        <v>2008</v>
      </c>
      <c r="P21" s="45">
        <v>2013</v>
      </c>
      <c r="Q21" s="44">
        <f t="shared" si="4"/>
        <v>2010.5</v>
      </c>
      <c r="R21" s="52">
        <v>1686</v>
      </c>
      <c r="S21" s="51">
        <v>1.2990999999999999</v>
      </c>
      <c r="T21" s="51">
        <v>1.0801000000000001</v>
      </c>
      <c r="U21" s="50">
        <v>110.49</v>
      </c>
      <c r="V21" s="43">
        <v>1297.82</v>
      </c>
      <c r="W21" s="43">
        <v>1315.08</v>
      </c>
      <c r="X21" s="49">
        <f t="shared" si="5"/>
        <v>1560.9665771687805</v>
      </c>
      <c r="Y21" s="48">
        <v>1.3022</v>
      </c>
    </row>
    <row r="22" spans="2:25" x14ac:dyDescent="0.2">
      <c r="B22" s="47">
        <v>43881</v>
      </c>
      <c r="C22" s="46">
        <v>1686</v>
      </c>
      <c r="D22" s="45">
        <v>1687</v>
      </c>
      <c r="E22" s="44">
        <f t="shared" si="0"/>
        <v>1686.5</v>
      </c>
      <c r="F22" s="46">
        <v>1713</v>
      </c>
      <c r="G22" s="45">
        <v>1715</v>
      </c>
      <c r="H22" s="44">
        <f t="shared" si="1"/>
        <v>1714</v>
      </c>
      <c r="I22" s="46">
        <v>1843</v>
      </c>
      <c r="J22" s="45">
        <v>1848</v>
      </c>
      <c r="K22" s="44">
        <f t="shared" si="2"/>
        <v>1845.5</v>
      </c>
      <c r="L22" s="46">
        <v>1928</v>
      </c>
      <c r="M22" s="45">
        <v>1933</v>
      </c>
      <c r="N22" s="44">
        <f t="shared" si="3"/>
        <v>1930.5</v>
      </c>
      <c r="O22" s="46">
        <v>2012</v>
      </c>
      <c r="P22" s="45">
        <v>2017</v>
      </c>
      <c r="Q22" s="44">
        <f t="shared" si="4"/>
        <v>2014.5</v>
      </c>
      <c r="R22" s="52">
        <v>1687</v>
      </c>
      <c r="S22" s="51">
        <v>1.2866</v>
      </c>
      <c r="T22" s="51">
        <v>1.0789</v>
      </c>
      <c r="U22" s="50">
        <v>111.97</v>
      </c>
      <c r="V22" s="43">
        <v>1311.21</v>
      </c>
      <c r="W22" s="43">
        <v>1329.66</v>
      </c>
      <c r="X22" s="49">
        <f t="shared" si="5"/>
        <v>1563.6296227639264</v>
      </c>
      <c r="Y22" s="48">
        <v>1.2898000000000001</v>
      </c>
    </row>
    <row r="23" spans="2:25" x14ac:dyDescent="0.2">
      <c r="B23" s="47">
        <v>43882</v>
      </c>
      <c r="C23" s="46">
        <v>1676</v>
      </c>
      <c r="D23" s="45">
        <v>1677</v>
      </c>
      <c r="E23" s="44">
        <f t="shared" si="0"/>
        <v>1676.5</v>
      </c>
      <c r="F23" s="46">
        <v>1702.5</v>
      </c>
      <c r="G23" s="45">
        <v>1703</v>
      </c>
      <c r="H23" s="44">
        <f t="shared" si="1"/>
        <v>1702.75</v>
      </c>
      <c r="I23" s="46">
        <v>1833</v>
      </c>
      <c r="J23" s="45">
        <v>1838</v>
      </c>
      <c r="K23" s="44">
        <f t="shared" si="2"/>
        <v>1835.5</v>
      </c>
      <c r="L23" s="46">
        <v>1915</v>
      </c>
      <c r="M23" s="45">
        <v>1920</v>
      </c>
      <c r="N23" s="44">
        <f t="shared" si="3"/>
        <v>1917.5</v>
      </c>
      <c r="O23" s="46">
        <v>2000</v>
      </c>
      <c r="P23" s="45">
        <v>2005</v>
      </c>
      <c r="Q23" s="44">
        <f t="shared" si="4"/>
        <v>2002.5</v>
      </c>
      <c r="R23" s="52">
        <v>1677</v>
      </c>
      <c r="S23" s="51">
        <v>1.2927</v>
      </c>
      <c r="T23" s="51">
        <v>1.0797000000000001</v>
      </c>
      <c r="U23" s="50">
        <v>111.99</v>
      </c>
      <c r="V23" s="43">
        <v>1297.28</v>
      </c>
      <c r="W23" s="43">
        <v>1314.25</v>
      </c>
      <c r="X23" s="49">
        <f t="shared" si="5"/>
        <v>1553.2092247846622</v>
      </c>
      <c r="Y23" s="48">
        <v>1.2958000000000001</v>
      </c>
    </row>
    <row r="24" spans="2:25" x14ac:dyDescent="0.2">
      <c r="B24" s="47">
        <v>43885</v>
      </c>
      <c r="C24" s="46">
        <v>1671.5</v>
      </c>
      <c r="D24" s="45">
        <v>1672.5</v>
      </c>
      <c r="E24" s="44">
        <f t="shared" si="0"/>
        <v>1672</v>
      </c>
      <c r="F24" s="46">
        <v>1696</v>
      </c>
      <c r="G24" s="45">
        <v>1698</v>
      </c>
      <c r="H24" s="44">
        <f t="shared" si="1"/>
        <v>1697</v>
      </c>
      <c r="I24" s="46">
        <v>1825</v>
      </c>
      <c r="J24" s="45">
        <v>1830</v>
      </c>
      <c r="K24" s="44">
        <f t="shared" si="2"/>
        <v>1827.5</v>
      </c>
      <c r="L24" s="46">
        <v>1910</v>
      </c>
      <c r="M24" s="45">
        <v>1915</v>
      </c>
      <c r="N24" s="44">
        <f t="shared" si="3"/>
        <v>1912.5</v>
      </c>
      <c r="O24" s="46">
        <v>1993</v>
      </c>
      <c r="P24" s="45">
        <v>1998</v>
      </c>
      <c r="Q24" s="44">
        <f t="shared" si="4"/>
        <v>1995.5</v>
      </c>
      <c r="R24" s="52">
        <v>1672.5</v>
      </c>
      <c r="S24" s="51">
        <v>1.292</v>
      </c>
      <c r="T24" s="51">
        <v>1.0819000000000001</v>
      </c>
      <c r="U24" s="50">
        <v>111.34</v>
      </c>
      <c r="V24" s="43">
        <v>1294.5</v>
      </c>
      <c r="W24" s="43">
        <v>1311.1</v>
      </c>
      <c r="X24" s="49">
        <f t="shared" si="5"/>
        <v>1545.8914871984471</v>
      </c>
      <c r="Y24" s="48">
        <v>1.2950999999999999</v>
      </c>
    </row>
    <row r="25" spans="2:25" x14ac:dyDescent="0.2">
      <c r="B25" s="47">
        <v>43886</v>
      </c>
      <c r="C25" s="46">
        <v>1683</v>
      </c>
      <c r="D25" s="45">
        <v>1685</v>
      </c>
      <c r="E25" s="44">
        <f t="shared" si="0"/>
        <v>1684</v>
      </c>
      <c r="F25" s="46">
        <v>1704</v>
      </c>
      <c r="G25" s="45">
        <v>1705</v>
      </c>
      <c r="H25" s="44">
        <f t="shared" si="1"/>
        <v>1704.5</v>
      </c>
      <c r="I25" s="46">
        <v>1835</v>
      </c>
      <c r="J25" s="45">
        <v>1840</v>
      </c>
      <c r="K25" s="44">
        <f t="shared" si="2"/>
        <v>1837.5</v>
      </c>
      <c r="L25" s="46">
        <v>1920</v>
      </c>
      <c r="M25" s="45">
        <v>1925</v>
      </c>
      <c r="N25" s="44">
        <f t="shared" si="3"/>
        <v>1922.5</v>
      </c>
      <c r="O25" s="46">
        <v>2003</v>
      </c>
      <c r="P25" s="45">
        <v>2008</v>
      </c>
      <c r="Q25" s="44">
        <f t="shared" si="4"/>
        <v>2005.5</v>
      </c>
      <c r="R25" s="52">
        <v>1685</v>
      </c>
      <c r="S25" s="51">
        <v>1.2954000000000001</v>
      </c>
      <c r="T25" s="51">
        <v>1.0835999999999999</v>
      </c>
      <c r="U25" s="50">
        <v>110.68</v>
      </c>
      <c r="V25" s="43">
        <v>1300.76</v>
      </c>
      <c r="W25" s="43">
        <v>1313.05</v>
      </c>
      <c r="X25" s="49">
        <f t="shared" si="5"/>
        <v>1555.0018456995203</v>
      </c>
      <c r="Y25" s="48">
        <v>1.2985</v>
      </c>
    </row>
    <row r="26" spans="2:25" x14ac:dyDescent="0.2">
      <c r="B26" s="47">
        <v>43887</v>
      </c>
      <c r="C26" s="46">
        <v>1676</v>
      </c>
      <c r="D26" s="45">
        <v>1676.5</v>
      </c>
      <c r="E26" s="44">
        <f t="shared" si="0"/>
        <v>1676.25</v>
      </c>
      <c r="F26" s="46">
        <v>1696</v>
      </c>
      <c r="G26" s="45">
        <v>1698</v>
      </c>
      <c r="H26" s="44">
        <f t="shared" si="1"/>
        <v>1697</v>
      </c>
      <c r="I26" s="46">
        <v>1825</v>
      </c>
      <c r="J26" s="45">
        <v>1830</v>
      </c>
      <c r="K26" s="44">
        <f t="shared" si="2"/>
        <v>1827.5</v>
      </c>
      <c r="L26" s="46">
        <v>1910</v>
      </c>
      <c r="M26" s="45">
        <v>1915</v>
      </c>
      <c r="N26" s="44">
        <f t="shared" si="3"/>
        <v>1912.5</v>
      </c>
      <c r="O26" s="46">
        <v>1993</v>
      </c>
      <c r="P26" s="45">
        <v>1998</v>
      </c>
      <c r="Q26" s="44">
        <f t="shared" si="4"/>
        <v>1995.5</v>
      </c>
      <c r="R26" s="52">
        <v>1676.5</v>
      </c>
      <c r="S26" s="51">
        <v>1.2927999999999999</v>
      </c>
      <c r="T26" s="51">
        <v>1.0869</v>
      </c>
      <c r="U26" s="50">
        <v>110.48</v>
      </c>
      <c r="V26" s="43">
        <v>1296.8</v>
      </c>
      <c r="W26" s="43">
        <v>1310.29</v>
      </c>
      <c r="X26" s="49">
        <f t="shared" si="5"/>
        <v>1542.4602079308124</v>
      </c>
      <c r="Y26" s="48">
        <v>1.2959000000000001</v>
      </c>
    </row>
    <row r="27" spans="2:25" x14ac:dyDescent="0.2">
      <c r="B27" s="47">
        <v>43888</v>
      </c>
      <c r="C27" s="46">
        <v>1670.5</v>
      </c>
      <c r="D27" s="45">
        <v>1671</v>
      </c>
      <c r="E27" s="44">
        <f t="shared" si="0"/>
        <v>1670.75</v>
      </c>
      <c r="F27" s="46">
        <v>1690</v>
      </c>
      <c r="G27" s="45">
        <v>1690.5</v>
      </c>
      <c r="H27" s="44">
        <f t="shared" si="1"/>
        <v>1690.25</v>
      </c>
      <c r="I27" s="46">
        <v>1818</v>
      </c>
      <c r="J27" s="45">
        <v>1823</v>
      </c>
      <c r="K27" s="44">
        <f t="shared" si="2"/>
        <v>1820.5</v>
      </c>
      <c r="L27" s="46">
        <v>1903</v>
      </c>
      <c r="M27" s="45">
        <v>1908</v>
      </c>
      <c r="N27" s="44">
        <f t="shared" si="3"/>
        <v>1905.5</v>
      </c>
      <c r="O27" s="46">
        <v>1987</v>
      </c>
      <c r="P27" s="45">
        <v>1992</v>
      </c>
      <c r="Q27" s="44">
        <f t="shared" si="4"/>
        <v>1989.5</v>
      </c>
      <c r="R27" s="52">
        <v>1671</v>
      </c>
      <c r="S27" s="51">
        <v>1.2892999999999999</v>
      </c>
      <c r="T27" s="51">
        <v>1.0964</v>
      </c>
      <c r="U27" s="50">
        <v>109.88</v>
      </c>
      <c r="V27" s="43">
        <v>1296.05</v>
      </c>
      <c r="W27" s="43">
        <v>1308.1300000000001</v>
      </c>
      <c r="X27" s="49">
        <f t="shared" si="5"/>
        <v>1524.0788033564393</v>
      </c>
      <c r="Y27" s="48">
        <v>1.2923</v>
      </c>
    </row>
    <row r="28" spans="2:25" x14ac:dyDescent="0.2">
      <c r="B28" s="47">
        <v>43889</v>
      </c>
      <c r="C28" s="46">
        <v>1662.5</v>
      </c>
      <c r="D28" s="45">
        <v>1663</v>
      </c>
      <c r="E28" s="44">
        <f t="shared" si="0"/>
        <v>1662.75</v>
      </c>
      <c r="F28" s="46">
        <v>1679</v>
      </c>
      <c r="G28" s="45">
        <v>1680</v>
      </c>
      <c r="H28" s="44">
        <f t="shared" si="1"/>
        <v>1679.5</v>
      </c>
      <c r="I28" s="46">
        <v>1808</v>
      </c>
      <c r="J28" s="45">
        <v>1813</v>
      </c>
      <c r="K28" s="44">
        <f t="shared" si="2"/>
        <v>1810.5</v>
      </c>
      <c r="L28" s="46">
        <v>1893</v>
      </c>
      <c r="M28" s="45">
        <v>1898</v>
      </c>
      <c r="N28" s="44">
        <f t="shared" si="3"/>
        <v>1895.5</v>
      </c>
      <c r="O28" s="46">
        <v>1978</v>
      </c>
      <c r="P28" s="45">
        <v>1983</v>
      </c>
      <c r="Q28" s="44">
        <f t="shared" si="4"/>
        <v>1980.5</v>
      </c>
      <c r="R28" s="52">
        <v>1663</v>
      </c>
      <c r="S28" s="51">
        <v>1.2875000000000001</v>
      </c>
      <c r="T28" s="51">
        <v>1.0987</v>
      </c>
      <c r="U28" s="50">
        <v>108.69</v>
      </c>
      <c r="V28" s="43">
        <v>1291.6500000000001</v>
      </c>
      <c r="W28" s="43">
        <v>1301.82</v>
      </c>
      <c r="X28" s="49">
        <f t="shared" si="5"/>
        <v>1513.6069900791845</v>
      </c>
      <c r="Y28" s="48">
        <v>1.2905</v>
      </c>
    </row>
    <row r="29" spans="2:25" s="10" customFormat="1" x14ac:dyDescent="0.2">
      <c r="B29" s="42" t="s">
        <v>11</v>
      </c>
      <c r="C29" s="41">
        <f>ROUND(AVERAGE(C9:C28),2)</f>
        <v>1685.08</v>
      </c>
      <c r="D29" s="40">
        <f>ROUND(AVERAGE(D9:D28),2)</f>
        <v>1685.85</v>
      </c>
      <c r="E29" s="39">
        <f>ROUND(AVERAGE(C29:D29),2)</f>
        <v>1685.47</v>
      </c>
      <c r="F29" s="41">
        <f>ROUND(AVERAGE(F9:F28),2)</f>
        <v>1710.58</v>
      </c>
      <c r="G29" s="40">
        <f>ROUND(AVERAGE(G9:G28),2)</f>
        <v>1711.58</v>
      </c>
      <c r="H29" s="39">
        <f>ROUND(AVERAGE(F29:G29),2)</f>
        <v>1711.08</v>
      </c>
      <c r="I29" s="41">
        <f>ROUND(AVERAGE(I9:I28),2)</f>
        <v>1840.7</v>
      </c>
      <c r="J29" s="40">
        <f>ROUND(AVERAGE(J9:J28),2)</f>
        <v>1845.7</v>
      </c>
      <c r="K29" s="39">
        <f>ROUND(AVERAGE(I29:J29),2)</f>
        <v>1843.2</v>
      </c>
      <c r="L29" s="41">
        <f>ROUND(AVERAGE(L9:L28),2)</f>
        <v>1924.8</v>
      </c>
      <c r="M29" s="40">
        <f>ROUND(AVERAGE(M9:M28),2)</f>
        <v>1929.8</v>
      </c>
      <c r="N29" s="39">
        <f>ROUND(AVERAGE(L29:M29),2)</f>
        <v>1927.3</v>
      </c>
      <c r="O29" s="41">
        <f>ROUND(AVERAGE(O9:O28),2)</f>
        <v>2008.65</v>
      </c>
      <c r="P29" s="40">
        <f>ROUND(AVERAGE(P9:P28),2)</f>
        <v>2013.65</v>
      </c>
      <c r="Q29" s="39">
        <f>ROUND(AVERAGE(O29:P29),2)</f>
        <v>2011.15</v>
      </c>
      <c r="R29" s="38">
        <f>ROUND(AVERAGE(R9:R28),2)</f>
        <v>1685.85</v>
      </c>
      <c r="S29" s="37">
        <f>ROUND(AVERAGE(S9:S28),4)</f>
        <v>1.2968</v>
      </c>
      <c r="T29" s="36">
        <f>ROUND(AVERAGE(T9:T28),4)</f>
        <v>1.0905</v>
      </c>
      <c r="U29" s="175">
        <f>ROUND(AVERAGE(U9:U28),2)</f>
        <v>110.07</v>
      </c>
      <c r="V29" s="35">
        <f>AVERAGE(V9:V28)</f>
        <v>1300.06</v>
      </c>
      <c r="W29" s="35">
        <f>AVERAGE(W9:W28)</f>
        <v>1316.7504999999999</v>
      </c>
      <c r="X29" s="35">
        <f>AVERAGE(X9:X28)</f>
        <v>1546.104231681905</v>
      </c>
      <c r="Y29" s="34">
        <f>AVERAGE(Y9:Y28)</f>
        <v>1.2998450000000001</v>
      </c>
    </row>
    <row r="30" spans="2:25" s="5" customFormat="1" x14ac:dyDescent="0.2">
      <c r="B30" s="33" t="s">
        <v>12</v>
      </c>
      <c r="C30" s="32">
        <f t="shared" ref="C30:Y30" si="6">MAX(C9:C28)</f>
        <v>1706.5</v>
      </c>
      <c r="D30" s="31">
        <f t="shared" si="6"/>
        <v>1707</v>
      </c>
      <c r="E30" s="30">
        <f t="shared" si="6"/>
        <v>1706.75</v>
      </c>
      <c r="F30" s="32">
        <f t="shared" si="6"/>
        <v>1733</v>
      </c>
      <c r="G30" s="31">
        <f t="shared" si="6"/>
        <v>1734</v>
      </c>
      <c r="H30" s="30">
        <f t="shared" si="6"/>
        <v>1733.5</v>
      </c>
      <c r="I30" s="32">
        <f t="shared" si="6"/>
        <v>1863</v>
      </c>
      <c r="J30" s="31">
        <f t="shared" si="6"/>
        <v>1868</v>
      </c>
      <c r="K30" s="30">
        <f t="shared" si="6"/>
        <v>1865.5</v>
      </c>
      <c r="L30" s="32">
        <f t="shared" si="6"/>
        <v>1948</v>
      </c>
      <c r="M30" s="31">
        <f t="shared" si="6"/>
        <v>1953</v>
      </c>
      <c r="N30" s="30">
        <f t="shared" si="6"/>
        <v>1950.5</v>
      </c>
      <c r="O30" s="32">
        <f t="shared" si="6"/>
        <v>2032</v>
      </c>
      <c r="P30" s="31">
        <f t="shared" si="6"/>
        <v>2037</v>
      </c>
      <c r="Q30" s="30">
        <f t="shared" si="6"/>
        <v>2034.5</v>
      </c>
      <c r="R30" s="29">
        <f t="shared" si="6"/>
        <v>1707</v>
      </c>
      <c r="S30" s="28">
        <f t="shared" si="6"/>
        <v>1.3056000000000001</v>
      </c>
      <c r="T30" s="27">
        <f t="shared" si="6"/>
        <v>1.1067</v>
      </c>
      <c r="U30" s="26">
        <f t="shared" si="6"/>
        <v>111.99</v>
      </c>
      <c r="V30" s="25">
        <f t="shared" si="6"/>
        <v>1314.49</v>
      </c>
      <c r="W30" s="25">
        <f t="shared" si="6"/>
        <v>1331.34</v>
      </c>
      <c r="X30" s="25">
        <f t="shared" si="6"/>
        <v>1572.4169741697415</v>
      </c>
      <c r="Y30" s="24">
        <f t="shared" si="6"/>
        <v>1.3087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1662.5</v>
      </c>
      <c r="D31" s="21">
        <f t="shared" si="7"/>
        <v>1663</v>
      </c>
      <c r="E31" s="20">
        <f t="shared" si="7"/>
        <v>1662.75</v>
      </c>
      <c r="F31" s="22">
        <f t="shared" si="7"/>
        <v>1679</v>
      </c>
      <c r="G31" s="21">
        <f t="shared" si="7"/>
        <v>1680</v>
      </c>
      <c r="H31" s="20">
        <f t="shared" si="7"/>
        <v>1679.5</v>
      </c>
      <c r="I31" s="22">
        <f t="shared" si="7"/>
        <v>1808</v>
      </c>
      <c r="J31" s="21">
        <f t="shared" si="7"/>
        <v>1813</v>
      </c>
      <c r="K31" s="20">
        <f t="shared" si="7"/>
        <v>1810.5</v>
      </c>
      <c r="L31" s="22">
        <f t="shared" si="7"/>
        <v>1893</v>
      </c>
      <c r="M31" s="21">
        <f t="shared" si="7"/>
        <v>1898</v>
      </c>
      <c r="N31" s="20">
        <f t="shared" si="7"/>
        <v>1895.5</v>
      </c>
      <c r="O31" s="22">
        <f t="shared" si="7"/>
        <v>1978</v>
      </c>
      <c r="P31" s="21">
        <f t="shared" si="7"/>
        <v>1983</v>
      </c>
      <c r="Q31" s="20">
        <f t="shared" si="7"/>
        <v>1980.5</v>
      </c>
      <c r="R31" s="19">
        <f t="shared" si="7"/>
        <v>1663</v>
      </c>
      <c r="S31" s="18">
        <f t="shared" si="7"/>
        <v>1.2866</v>
      </c>
      <c r="T31" s="17">
        <f t="shared" si="7"/>
        <v>1.0789</v>
      </c>
      <c r="U31" s="16">
        <f t="shared" si="7"/>
        <v>108.52</v>
      </c>
      <c r="V31" s="15">
        <f t="shared" si="7"/>
        <v>1289.76</v>
      </c>
      <c r="W31" s="15">
        <f t="shared" si="7"/>
        <v>1301.82</v>
      </c>
      <c r="X31" s="15">
        <f t="shared" si="7"/>
        <v>1513.6069900791845</v>
      </c>
      <c r="Y31" s="14">
        <f t="shared" si="7"/>
        <v>1.2898000000000001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43864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43864</v>
      </c>
      <c r="C9" s="46">
        <v>2198</v>
      </c>
      <c r="D9" s="45">
        <v>2200</v>
      </c>
      <c r="E9" s="44">
        <f t="shared" ref="E9:E28" si="0">AVERAGE(C9:D9)</f>
        <v>2199</v>
      </c>
      <c r="F9" s="46">
        <v>2187</v>
      </c>
      <c r="G9" s="45">
        <v>2187.5</v>
      </c>
      <c r="H9" s="44">
        <f t="shared" ref="H9:H28" si="1">AVERAGE(F9:G9)</f>
        <v>2187.25</v>
      </c>
      <c r="I9" s="46">
        <v>2168</v>
      </c>
      <c r="J9" s="45">
        <v>2173</v>
      </c>
      <c r="K9" s="44">
        <f t="shared" ref="K9:K28" si="2">AVERAGE(I9:J9)</f>
        <v>2170.5</v>
      </c>
      <c r="L9" s="46">
        <v>2168</v>
      </c>
      <c r="M9" s="45">
        <v>2173</v>
      </c>
      <c r="N9" s="44">
        <f t="shared" ref="N9:N28" si="3">AVERAGE(L9:M9)</f>
        <v>2170.5</v>
      </c>
      <c r="O9" s="46">
        <v>2168</v>
      </c>
      <c r="P9" s="45">
        <v>2173</v>
      </c>
      <c r="Q9" s="44">
        <f t="shared" ref="Q9:Q28" si="4">AVERAGE(O9:P9)</f>
        <v>2170.5</v>
      </c>
      <c r="R9" s="52">
        <v>2200</v>
      </c>
      <c r="S9" s="51">
        <v>1.3056000000000001</v>
      </c>
      <c r="T9" s="53">
        <v>1.1067</v>
      </c>
      <c r="U9" s="50">
        <v>108.52</v>
      </c>
      <c r="V9" s="43">
        <v>1685.05</v>
      </c>
      <c r="W9" s="43">
        <v>1671.51</v>
      </c>
      <c r="X9" s="49">
        <f t="shared" ref="X9:X28" si="5">R9/T9</f>
        <v>1987.8919309659348</v>
      </c>
      <c r="Y9" s="48">
        <v>1.3087</v>
      </c>
    </row>
    <row r="10" spans="1:25" x14ac:dyDescent="0.2">
      <c r="B10" s="47">
        <v>43865</v>
      </c>
      <c r="C10" s="46">
        <v>2217</v>
      </c>
      <c r="D10" s="45">
        <v>2217.5</v>
      </c>
      <c r="E10" s="44">
        <f t="shared" si="0"/>
        <v>2217.25</v>
      </c>
      <c r="F10" s="46">
        <v>2211</v>
      </c>
      <c r="G10" s="45">
        <v>2212</v>
      </c>
      <c r="H10" s="44">
        <f t="shared" si="1"/>
        <v>2211.5</v>
      </c>
      <c r="I10" s="46">
        <v>2195</v>
      </c>
      <c r="J10" s="45">
        <v>2200</v>
      </c>
      <c r="K10" s="44">
        <f t="shared" si="2"/>
        <v>2197.5</v>
      </c>
      <c r="L10" s="46">
        <v>2195</v>
      </c>
      <c r="M10" s="45">
        <v>2200</v>
      </c>
      <c r="N10" s="44">
        <f t="shared" si="3"/>
        <v>2197.5</v>
      </c>
      <c r="O10" s="46">
        <v>2195</v>
      </c>
      <c r="P10" s="45">
        <v>2200</v>
      </c>
      <c r="Q10" s="44">
        <f t="shared" si="4"/>
        <v>2197.5</v>
      </c>
      <c r="R10" s="52">
        <v>2217.5</v>
      </c>
      <c r="S10" s="51">
        <v>1.3011999999999999</v>
      </c>
      <c r="T10" s="51">
        <v>1.1044</v>
      </c>
      <c r="U10" s="50">
        <v>109.14</v>
      </c>
      <c r="V10" s="43">
        <v>1704.2</v>
      </c>
      <c r="W10" s="43">
        <v>1695.93</v>
      </c>
      <c r="X10" s="49">
        <f t="shared" si="5"/>
        <v>2007.8775805867438</v>
      </c>
      <c r="Y10" s="48">
        <v>1.3043</v>
      </c>
    </row>
    <row r="11" spans="1:25" x14ac:dyDescent="0.2">
      <c r="B11" s="47">
        <v>43866</v>
      </c>
      <c r="C11" s="46">
        <v>2222</v>
      </c>
      <c r="D11" s="45">
        <v>2222.5</v>
      </c>
      <c r="E11" s="44">
        <f t="shared" si="0"/>
        <v>2222.25</v>
      </c>
      <c r="F11" s="46">
        <v>2214.5</v>
      </c>
      <c r="G11" s="45">
        <v>2215</v>
      </c>
      <c r="H11" s="44">
        <f t="shared" si="1"/>
        <v>2214.75</v>
      </c>
      <c r="I11" s="46">
        <v>2198</v>
      </c>
      <c r="J11" s="45">
        <v>2203</v>
      </c>
      <c r="K11" s="44">
        <f t="shared" si="2"/>
        <v>2200.5</v>
      </c>
      <c r="L11" s="46">
        <v>2198</v>
      </c>
      <c r="M11" s="45">
        <v>2203</v>
      </c>
      <c r="N11" s="44">
        <f t="shared" si="3"/>
        <v>2200.5</v>
      </c>
      <c r="O11" s="46">
        <v>2198</v>
      </c>
      <c r="P11" s="45">
        <v>2203</v>
      </c>
      <c r="Q11" s="44">
        <f t="shared" si="4"/>
        <v>2200.5</v>
      </c>
      <c r="R11" s="52">
        <v>2222.5</v>
      </c>
      <c r="S11" s="51">
        <v>1.3047</v>
      </c>
      <c r="T11" s="51">
        <v>1.1023000000000001</v>
      </c>
      <c r="U11" s="50">
        <v>109.69</v>
      </c>
      <c r="V11" s="43">
        <v>1703.46</v>
      </c>
      <c r="W11" s="43">
        <v>1693.68</v>
      </c>
      <c r="X11" s="49">
        <f t="shared" si="5"/>
        <v>2016.238773473646</v>
      </c>
      <c r="Y11" s="48">
        <v>1.3078000000000001</v>
      </c>
    </row>
    <row r="12" spans="1:25" x14ac:dyDescent="0.2">
      <c r="B12" s="47">
        <v>43867</v>
      </c>
      <c r="C12" s="46">
        <v>2204</v>
      </c>
      <c r="D12" s="45">
        <v>2206</v>
      </c>
      <c r="E12" s="44">
        <f t="shared" si="0"/>
        <v>2205</v>
      </c>
      <c r="F12" s="46">
        <v>2203</v>
      </c>
      <c r="G12" s="45">
        <v>2204</v>
      </c>
      <c r="H12" s="44">
        <f t="shared" si="1"/>
        <v>2203.5</v>
      </c>
      <c r="I12" s="46">
        <v>2187</v>
      </c>
      <c r="J12" s="45">
        <v>2192</v>
      </c>
      <c r="K12" s="44">
        <f t="shared" si="2"/>
        <v>2189.5</v>
      </c>
      <c r="L12" s="46">
        <v>2187</v>
      </c>
      <c r="M12" s="45">
        <v>2192</v>
      </c>
      <c r="N12" s="44">
        <f t="shared" si="3"/>
        <v>2189.5</v>
      </c>
      <c r="O12" s="46">
        <v>2187</v>
      </c>
      <c r="P12" s="45">
        <v>2192</v>
      </c>
      <c r="Q12" s="44">
        <f t="shared" si="4"/>
        <v>2189.5</v>
      </c>
      <c r="R12" s="52">
        <v>2206</v>
      </c>
      <c r="S12" s="51">
        <v>1.2974000000000001</v>
      </c>
      <c r="T12" s="51">
        <v>1.1002000000000001</v>
      </c>
      <c r="U12" s="50">
        <v>109.86</v>
      </c>
      <c r="V12" s="43">
        <v>1700.32</v>
      </c>
      <c r="W12" s="43">
        <v>1694.73</v>
      </c>
      <c r="X12" s="49">
        <f t="shared" si="5"/>
        <v>2005.0899836393382</v>
      </c>
      <c r="Y12" s="48">
        <v>1.3005</v>
      </c>
    </row>
    <row r="13" spans="1:25" x14ac:dyDescent="0.2">
      <c r="B13" s="47">
        <v>43868</v>
      </c>
      <c r="C13" s="46">
        <v>2152</v>
      </c>
      <c r="D13" s="45">
        <v>2152.5</v>
      </c>
      <c r="E13" s="44">
        <f t="shared" si="0"/>
        <v>2152.25</v>
      </c>
      <c r="F13" s="46">
        <v>2153</v>
      </c>
      <c r="G13" s="45">
        <v>2154</v>
      </c>
      <c r="H13" s="44">
        <f t="shared" si="1"/>
        <v>2153.5</v>
      </c>
      <c r="I13" s="46">
        <v>2165</v>
      </c>
      <c r="J13" s="45">
        <v>2170</v>
      </c>
      <c r="K13" s="44">
        <f t="shared" si="2"/>
        <v>2167.5</v>
      </c>
      <c r="L13" s="46">
        <v>2170</v>
      </c>
      <c r="M13" s="45">
        <v>2175</v>
      </c>
      <c r="N13" s="44">
        <f t="shared" si="3"/>
        <v>2172.5</v>
      </c>
      <c r="O13" s="46">
        <v>2170</v>
      </c>
      <c r="P13" s="45">
        <v>2175</v>
      </c>
      <c r="Q13" s="44">
        <f t="shared" si="4"/>
        <v>2172.5</v>
      </c>
      <c r="R13" s="52">
        <v>2152.5</v>
      </c>
      <c r="S13" s="51">
        <v>1.2947</v>
      </c>
      <c r="T13" s="51">
        <v>1.0965</v>
      </c>
      <c r="U13" s="50">
        <v>109.88</v>
      </c>
      <c r="V13" s="43">
        <v>1662.55</v>
      </c>
      <c r="W13" s="43">
        <v>1659.73</v>
      </c>
      <c r="X13" s="49">
        <f t="shared" si="5"/>
        <v>1963.064295485636</v>
      </c>
      <c r="Y13" s="48">
        <v>1.2978000000000001</v>
      </c>
    </row>
    <row r="14" spans="1:25" x14ac:dyDescent="0.2">
      <c r="B14" s="47">
        <v>43871</v>
      </c>
      <c r="C14" s="46">
        <v>2126</v>
      </c>
      <c r="D14" s="45">
        <v>2128</v>
      </c>
      <c r="E14" s="44">
        <f t="shared" si="0"/>
        <v>2127</v>
      </c>
      <c r="F14" s="46">
        <v>2131</v>
      </c>
      <c r="G14" s="45">
        <v>2133</v>
      </c>
      <c r="H14" s="44">
        <f t="shared" si="1"/>
        <v>2132</v>
      </c>
      <c r="I14" s="46">
        <v>2153</v>
      </c>
      <c r="J14" s="45">
        <v>2158</v>
      </c>
      <c r="K14" s="44">
        <f t="shared" si="2"/>
        <v>2155.5</v>
      </c>
      <c r="L14" s="46">
        <v>2163</v>
      </c>
      <c r="M14" s="45">
        <v>2168</v>
      </c>
      <c r="N14" s="44">
        <f t="shared" si="3"/>
        <v>2165.5</v>
      </c>
      <c r="O14" s="46">
        <v>2163</v>
      </c>
      <c r="P14" s="45">
        <v>2168</v>
      </c>
      <c r="Q14" s="44">
        <f t="shared" si="4"/>
        <v>2165.5</v>
      </c>
      <c r="R14" s="52">
        <v>2128</v>
      </c>
      <c r="S14" s="51">
        <v>1.2932999999999999</v>
      </c>
      <c r="T14" s="51">
        <v>1.0949</v>
      </c>
      <c r="U14" s="50">
        <v>109.75</v>
      </c>
      <c r="V14" s="43">
        <v>1645.4</v>
      </c>
      <c r="W14" s="43">
        <v>1645.33</v>
      </c>
      <c r="X14" s="49">
        <f t="shared" si="5"/>
        <v>1943.5564891770939</v>
      </c>
      <c r="Y14" s="48">
        <v>1.2964</v>
      </c>
    </row>
    <row r="15" spans="1:25" x14ac:dyDescent="0.2">
      <c r="B15" s="47">
        <v>43872</v>
      </c>
      <c r="C15" s="46">
        <v>2144</v>
      </c>
      <c r="D15" s="45">
        <v>2145</v>
      </c>
      <c r="E15" s="44">
        <f t="shared" si="0"/>
        <v>2144.5</v>
      </c>
      <c r="F15" s="46">
        <v>2149</v>
      </c>
      <c r="G15" s="45">
        <v>2150</v>
      </c>
      <c r="H15" s="44">
        <f t="shared" si="1"/>
        <v>2149.5</v>
      </c>
      <c r="I15" s="46">
        <v>2170</v>
      </c>
      <c r="J15" s="45">
        <v>2175</v>
      </c>
      <c r="K15" s="44">
        <f t="shared" si="2"/>
        <v>2172.5</v>
      </c>
      <c r="L15" s="46">
        <v>2180</v>
      </c>
      <c r="M15" s="45">
        <v>2185</v>
      </c>
      <c r="N15" s="44">
        <f t="shared" si="3"/>
        <v>2182.5</v>
      </c>
      <c r="O15" s="46">
        <v>2180</v>
      </c>
      <c r="P15" s="45">
        <v>2185</v>
      </c>
      <c r="Q15" s="44">
        <f t="shared" si="4"/>
        <v>2182.5</v>
      </c>
      <c r="R15" s="52">
        <v>2145</v>
      </c>
      <c r="S15" s="51">
        <v>1.2934000000000001</v>
      </c>
      <c r="T15" s="51">
        <v>1.0909</v>
      </c>
      <c r="U15" s="50">
        <v>109.85</v>
      </c>
      <c r="V15" s="43">
        <v>1658.42</v>
      </c>
      <c r="W15" s="43">
        <v>1658.31</v>
      </c>
      <c r="X15" s="49">
        <f t="shared" si="5"/>
        <v>1966.266385553213</v>
      </c>
      <c r="Y15" s="48">
        <v>1.2965</v>
      </c>
    </row>
    <row r="16" spans="1:25" x14ac:dyDescent="0.2">
      <c r="B16" s="47">
        <v>43873</v>
      </c>
      <c r="C16" s="46">
        <v>2139.5</v>
      </c>
      <c r="D16" s="45">
        <v>2140</v>
      </c>
      <c r="E16" s="44">
        <f t="shared" si="0"/>
        <v>2139.75</v>
      </c>
      <c r="F16" s="46">
        <v>2147</v>
      </c>
      <c r="G16" s="45">
        <v>2148</v>
      </c>
      <c r="H16" s="44">
        <f t="shared" si="1"/>
        <v>2147.5</v>
      </c>
      <c r="I16" s="46">
        <v>2162</v>
      </c>
      <c r="J16" s="45">
        <v>2167</v>
      </c>
      <c r="K16" s="44">
        <f t="shared" si="2"/>
        <v>2164.5</v>
      </c>
      <c r="L16" s="46">
        <v>2172</v>
      </c>
      <c r="M16" s="45">
        <v>2177</v>
      </c>
      <c r="N16" s="44">
        <f t="shared" si="3"/>
        <v>2174.5</v>
      </c>
      <c r="O16" s="46">
        <v>2172</v>
      </c>
      <c r="P16" s="45">
        <v>2177</v>
      </c>
      <c r="Q16" s="44">
        <f t="shared" si="4"/>
        <v>2174.5</v>
      </c>
      <c r="R16" s="52">
        <v>2140</v>
      </c>
      <c r="S16" s="51">
        <v>1.2986</v>
      </c>
      <c r="T16" s="51">
        <v>1.0912999999999999</v>
      </c>
      <c r="U16" s="50">
        <v>109.96</v>
      </c>
      <c r="V16" s="43">
        <v>1647.93</v>
      </c>
      <c r="W16" s="43">
        <v>1650.15</v>
      </c>
      <c r="X16" s="49">
        <f t="shared" si="5"/>
        <v>1960.9639879043343</v>
      </c>
      <c r="Y16" s="48">
        <v>1.3017000000000001</v>
      </c>
    </row>
    <row r="17" spans="2:25" x14ac:dyDescent="0.2">
      <c r="B17" s="47">
        <v>43874</v>
      </c>
      <c r="C17" s="46">
        <v>2155</v>
      </c>
      <c r="D17" s="45">
        <v>2157</v>
      </c>
      <c r="E17" s="44">
        <f t="shared" si="0"/>
        <v>2156</v>
      </c>
      <c r="F17" s="46">
        <v>2165</v>
      </c>
      <c r="G17" s="45">
        <v>2167</v>
      </c>
      <c r="H17" s="44">
        <f t="shared" si="1"/>
        <v>2166</v>
      </c>
      <c r="I17" s="46">
        <v>2180</v>
      </c>
      <c r="J17" s="45">
        <v>2185</v>
      </c>
      <c r="K17" s="44">
        <f t="shared" si="2"/>
        <v>2182.5</v>
      </c>
      <c r="L17" s="46">
        <v>2190</v>
      </c>
      <c r="M17" s="45">
        <v>2195</v>
      </c>
      <c r="N17" s="44">
        <f t="shared" si="3"/>
        <v>2192.5</v>
      </c>
      <c r="O17" s="46">
        <v>2190</v>
      </c>
      <c r="P17" s="45">
        <v>2195</v>
      </c>
      <c r="Q17" s="44">
        <f t="shared" si="4"/>
        <v>2192.5</v>
      </c>
      <c r="R17" s="52">
        <v>2157</v>
      </c>
      <c r="S17" s="51">
        <v>1.3031999999999999</v>
      </c>
      <c r="T17" s="51">
        <v>1.0864</v>
      </c>
      <c r="U17" s="50">
        <v>109.73</v>
      </c>
      <c r="V17" s="43">
        <v>1655.16</v>
      </c>
      <c r="W17" s="43">
        <v>1658.88</v>
      </c>
      <c r="X17" s="49">
        <f t="shared" si="5"/>
        <v>1985.4565537555227</v>
      </c>
      <c r="Y17" s="48">
        <v>1.3063</v>
      </c>
    </row>
    <row r="18" spans="2:25" x14ac:dyDescent="0.2">
      <c r="B18" s="47">
        <v>43875</v>
      </c>
      <c r="C18" s="46">
        <v>2136</v>
      </c>
      <c r="D18" s="45">
        <v>2138</v>
      </c>
      <c r="E18" s="44">
        <f t="shared" si="0"/>
        <v>2137</v>
      </c>
      <c r="F18" s="46">
        <v>2153</v>
      </c>
      <c r="G18" s="45">
        <v>2154</v>
      </c>
      <c r="H18" s="44">
        <f t="shared" si="1"/>
        <v>2153.5</v>
      </c>
      <c r="I18" s="46">
        <v>2185</v>
      </c>
      <c r="J18" s="45">
        <v>2190</v>
      </c>
      <c r="K18" s="44">
        <f t="shared" si="2"/>
        <v>2187.5</v>
      </c>
      <c r="L18" s="46">
        <v>2195</v>
      </c>
      <c r="M18" s="45">
        <v>2200</v>
      </c>
      <c r="N18" s="44">
        <f t="shared" si="3"/>
        <v>2197.5</v>
      </c>
      <c r="O18" s="46">
        <v>2195</v>
      </c>
      <c r="P18" s="45">
        <v>2200</v>
      </c>
      <c r="Q18" s="44">
        <f t="shared" si="4"/>
        <v>2197.5</v>
      </c>
      <c r="R18" s="52">
        <v>2138</v>
      </c>
      <c r="S18" s="51">
        <v>1.3028999999999999</v>
      </c>
      <c r="T18" s="51">
        <v>1.0840000000000001</v>
      </c>
      <c r="U18" s="50">
        <v>109.86</v>
      </c>
      <c r="V18" s="43">
        <v>1640.95</v>
      </c>
      <c r="W18" s="43">
        <v>1649.31</v>
      </c>
      <c r="X18" s="49">
        <f t="shared" si="5"/>
        <v>1972.3247232472324</v>
      </c>
      <c r="Y18" s="48">
        <v>1.306</v>
      </c>
    </row>
    <row r="19" spans="2:25" x14ac:dyDescent="0.2">
      <c r="B19" s="47">
        <v>43878</v>
      </c>
      <c r="C19" s="46">
        <v>2153</v>
      </c>
      <c r="D19" s="45">
        <v>2153.5</v>
      </c>
      <c r="E19" s="44">
        <f t="shared" si="0"/>
        <v>2153.25</v>
      </c>
      <c r="F19" s="46">
        <v>2167</v>
      </c>
      <c r="G19" s="45">
        <v>2169</v>
      </c>
      <c r="H19" s="44">
        <f t="shared" si="1"/>
        <v>2168</v>
      </c>
      <c r="I19" s="46">
        <v>2203</v>
      </c>
      <c r="J19" s="45">
        <v>2208</v>
      </c>
      <c r="K19" s="44">
        <f t="shared" si="2"/>
        <v>2205.5</v>
      </c>
      <c r="L19" s="46">
        <v>2213</v>
      </c>
      <c r="M19" s="45">
        <v>2218</v>
      </c>
      <c r="N19" s="44">
        <f t="shared" si="3"/>
        <v>2215.5</v>
      </c>
      <c r="O19" s="46">
        <v>2213</v>
      </c>
      <c r="P19" s="45">
        <v>2218</v>
      </c>
      <c r="Q19" s="44">
        <f t="shared" si="4"/>
        <v>2215.5</v>
      </c>
      <c r="R19" s="52">
        <v>2153.5</v>
      </c>
      <c r="S19" s="51">
        <v>1.3013999999999999</v>
      </c>
      <c r="T19" s="51">
        <v>1.0837000000000001</v>
      </c>
      <c r="U19" s="50">
        <v>109.88</v>
      </c>
      <c r="V19" s="43">
        <v>1654.76</v>
      </c>
      <c r="W19" s="43">
        <v>1662.71</v>
      </c>
      <c r="X19" s="49">
        <f t="shared" si="5"/>
        <v>1987.1735720217771</v>
      </c>
      <c r="Y19" s="48">
        <v>1.3045</v>
      </c>
    </row>
    <row r="20" spans="2:25" x14ac:dyDescent="0.2">
      <c r="B20" s="47">
        <v>43879</v>
      </c>
      <c r="C20" s="46">
        <v>2126</v>
      </c>
      <c r="D20" s="45">
        <v>2128</v>
      </c>
      <c r="E20" s="44">
        <f t="shared" si="0"/>
        <v>2127</v>
      </c>
      <c r="F20" s="46">
        <v>2142</v>
      </c>
      <c r="G20" s="45">
        <v>2143</v>
      </c>
      <c r="H20" s="44">
        <f t="shared" si="1"/>
        <v>2142.5</v>
      </c>
      <c r="I20" s="46">
        <v>2193</v>
      </c>
      <c r="J20" s="45">
        <v>2198</v>
      </c>
      <c r="K20" s="44">
        <f t="shared" si="2"/>
        <v>2195.5</v>
      </c>
      <c r="L20" s="46">
        <v>2208</v>
      </c>
      <c r="M20" s="45">
        <v>2213</v>
      </c>
      <c r="N20" s="44">
        <f t="shared" si="3"/>
        <v>2210.5</v>
      </c>
      <c r="O20" s="46">
        <v>2208</v>
      </c>
      <c r="P20" s="45">
        <v>2213</v>
      </c>
      <c r="Q20" s="44">
        <f t="shared" si="4"/>
        <v>2210.5</v>
      </c>
      <c r="R20" s="52">
        <v>2128</v>
      </c>
      <c r="S20" s="51">
        <v>1.3031999999999999</v>
      </c>
      <c r="T20" s="51">
        <v>1.0814999999999999</v>
      </c>
      <c r="U20" s="50">
        <v>109.78</v>
      </c>
      <c r="V20" s="43">
        <v>1632.9</v>
      </c>
      <c r="W20" s="43">
        <v>1640.51</v>
      </c>
      <c r="X20" s="49">
        <f t="shared" si="5"/>
        <v>1967.6375404530745</v>
      </c>
      <c r="Y20" s="48">
        <v>1.3063</v>
      </c>
    </row>
    <row r="21" spans="2:25" x14ac:dyDescent="0.2">
      <c r="B21" s="47">
        <v>43880</v>
      </c>
      <c r="C21" s="46">
        <v>2126</v>
      </c>
      <c r="D21" s="45">
        <v>2126.5</v>
      </c>
      <c r="E21" s="44">
        <f t="shared" si="0"/>
        <v>2126.25</v>
      </c>
      <c r="F21" s="46">
        <v>2143.5</v>
      </c>
      <c r="G21" s="45">
        <v>2144</v>
      </c>
      <c r="H21" s="44">
        <f t="shared" si="1"/>
        <v>2143.75</v>
      </c>
      <c r="I21" s="46">
        <v>2197</v>
      </c>
      <c r="J21" s="45">
        <v>2202</v>
      </c>
      <c r="K21" s="44">
        <f t="shared" si="2"/>
        <v>2199.5</v>
      </c>
      <c r="L21" s="46">
        <v>2232</v>
      </c>
      <c r="M21" s="45">
        <v>2237</v>
      </c>
      <c r="N21" s="44">
        <f t="shared" si="3"/>
        <v>2234.5</v>
      </c>
      <c r="O21" s="46">
        <v>2240</v>
      </c>
      <c r="P21" s="45">
        <v>2245</v>
      </c>
      <c r="Q21" s="44">
        <f t="shared" si="4"/>
        <v>2242.5</v>
      </c>
      <c r="R21" s="52">
        <v>2126.5</v>
      </c>
      <c r="S21" s="51">
        <v>1.2990999999999999</v>
      </c>
      <c r="T21" s="51">
        <v>1.0801000000000001</v>
      </c>
      <c r="U21" s="50">
        <v>110.49</v>
      </c>
      <c r="V21" s="43">
        <v>1636.9</v>
      </c>
      <c r="W21" s="43">
        <v>1646.44</v>
      </c>
      <c r="X21" s="49">
        <f t="shared" si="5"/>
        <v>1968.799185260624</v>
      </c>
      <c r="Y21" s="48">
        <v>1.3022</v>
      </c>
    </row>
    <row r="22" spans="2:25" x14ac:dyDescent="0.2">
      <c r="B22" s="47">
        <v>43881</v>
      </c>
      <c r="C22" s="46">
        <v>2098</v>
      </c>
      <c r="D22" s="45">
        <v>2100</v>
      </c>
      <c r="E22" s="44">
        <f t="shared" si="0"/>
        <v>2099</v>
      </c>
      <c r="F22" s="46">
        <v>2113</v>
      </c>
      <c r="G22" s="45">
        <v>2115</v>
      </c>
      <c r="H22" s="44">
        <f t="shared" si="1"/>
        <v>2114</v>
      </c>
      <c r="I22" s="46">
        <v>2163</v>
      </c>
      <c r="J22" s="45">
        <v>2168</v>
      </c>
      <c r="K22" s="44">
        <f t="shared" si="2"/>
        <v>2165.5</v>
      </c>
      <c r="L22" s="46">
        <v>2198</v>
      </c>
      <c r="M22" s="45">
        <v>2203</v>
      </c>
      <c r="N22" s="44">
        <f t="shared" si="3"/>
        <v>2200.5</v>
      </c>
      <c r="O22" s="46">
        <v>2205</v>
      </c>
      <c r="P22" s="45">
        <v>2210</v>
      </c>
      <c r="Q22" s="44">
        <f t="shared" si="4"/>
        <v>2207.5</v>
      </c>
      <c r="R22" s="52">
        <v>2100</v>
      </c>
      <c r="S22" s="51">
        <v>1.2866</v>
      </c>
      <c r="T22" s="51">
        <v>1.0789</v>
      </c>
      <c r="U22" s="50">
        <v>111.97</v>
      </c>
      <c r="V22" s="43">
        <v>1632.21</v>
      </c>
      <c r="W22" s="43">
        <v>1639.79</v>
      </c>
      <c r="X22" s="49">
        <f t="shared" si="5"/>
        <v>1946.4269163036427</v>
      </c>
      <c r="Y22" s="48">
        <v>1.2898000000000001</v>
      </c>
    </row>
    <row r="23" spans="2:25" x14ac:dyDescent="0.2">
      <c r="B23" s="47">
        <v>43882</v>
      </c>
      <c r="C23" s="46">
        <v>2086</v>
      </c>
      <c r="D23" s="45">
        <v>2086.5</v>
      </c>
      <c r="E23" s="44">
        <f t="shared" si="0"/>
        <v>2086.25</v>
      </c>
      <c r="F23" s="46">
        <v>2103</v>
      </c>
      <c r="G23" s="45">
        <v>2105</v>
      </c>
      <c r="H23" s="44">
        <f t="shared" si="1"/>
        <v>2104</v>
      </c>
      <c r="I23" s="46">
        <v>2153</v>
      </c>
      <c r="J23" s="45">
        <v>2158</v>
      </c>
      <c r="K23" s="44">
        <f t="shared" si="2"/>
        <v>2155.5</v>
      </c>
      <c r="L23" s="46">
        <v>2188</v>
      </c>
      <c r="M23" s="45">
        <v>2193</v>
      </c>
      <c r="N23" s="44">
        <f t="shared" si="3"/>
        <v>2190.5</v>
      </c>
      <c r="O23" s="46">
        <v>2197</v>
      </c>
      <c r="P23" s="45">
        <v>2202</v>
      </c>
      <c r="Q23" s="44">
        <f t="shared" si="4"/>
        <v>2199.5</v>
      </c>
      <c r="R23" s="52">
        <v>2086.5</v>
      </c>
      <c r="S23" s="51">
        <v>1.2927</v>
      </c>
      <c r="T23" s="51">
        <v>1.0797000000000001</v>
      </c>
      <c r="U23" s="50">
        <v>111.99</v>
      </c>
      <c r="V23" s="43">
        <v>1614.06</v>
      </c>
      <c r="W23" s="43">
        <v>1624.48</v>
      </c>
      <c r="X23" s="49">
        <f t="shared" si="5"/>
        <v>1932.4812447902193</v>
      </c>
      <c r="Y23" s="48">
        <v>1.2958000000000001</v>
      </c>
    </row>
    <row r="24" spans="2:25" x14ac:dyDescent="0.2">
      <c r="B24" s="47">
        <v>43885</v>
      </c>
      <c r="C24" s="46">
        <v>2038</v>
      </c>
      <c r="D24" s="45">
        <v>2039</v>
      </c>
      <c r="E24" s="44">
        <f t="shared" si="0"/>
        <v>2038.5</v>
      </c>
      <c r="F24" s="46">
        <v>2059.5</v>
      </c>
      <c r="G24" s="45">
        <v>2060.5</v>
      </c>
      <c r="H24" s="44">
        <f t="shared" si="1"/>
        <v>2060</v>
      </c>
      <c r="I24" s="46">
        <v>2117</v>
      </c>
      <c r="J24" s="45">
        <v>2122</v>
      </c>
      <c r="K24" s="44">
        <f t="shared" si="2"/>
        <v>2119.5</v>
      </c>
      <c r="L24" s="46">
        <v>2152</v>
      </c>
      <c r="M24" s="45">
        <v>2157</v>
      </c>
      <c r="N24" s="44">
        <f t="shared" si="3"/>
        <v>2154.5</v>
      </c>
      <c r="O24" s="46">
        <v>2160</v>
      </c>
      <c r="P24" s="45">
        <v>2165</v>
      </c>
      <c r="Q24" s="44">
        <f t="shared" si="4"/>
        <v>2162.5</v>
      </c>
      <c r="R24" s="52">
        <v>2039</v>
      </c>
      <c r="S24" s="51">
        <v>1.292</v>
      </c>
      <c r="T24" s="51">
        <v>1.0819000000000001</v>
      </c>
      <c r="U24" s="50">
        <v>111.34</v>
      </c>
      <c r="V24" s="43">
        <v>1578.17</v>
      </c>
      <c r="W24" s="43">
        <v>1591</v>
      </c>
      <c r="X24" s="49">
        <f t="shared" si="5"/>
        <v>1884.6473796099453</v>
      </c>
      <c r="Y24" s="48">
        <v>1.2950999999999999</v>
      </c>
    </row>
    <row r="25" spans="2:25" x14ac:dyDescent="0.2">
      <c r="B25" s="47">
        <v>43886</v>
      </c>
      <c r="C25" s="46">
        <v>2037</v>
      </c>
      <c r="D25" s="45">
        <v>2038</v>
      </c>
      <c r="E25" s="44">
        <f t="shared" si="0"/>
        <v>2037.5</v>
      </c>
      <c r="F25" s="46">
        <v>2061</v>
      </c>
      <c r="G25" s="45">
        <v>2062</v>
      </c>
      <c r="H25" s="44">
        <f t="shared" si="1"/>
        <v>2061.5</v>
      </c>
      <c r="I25" s="46">
        <v>2127</v>
      </c>
      <c r="J25" s="45">
        <v>2132</v>
      </c>
      <c r="K25" s="44">
        <f t="shared" si="2"/>
        <v>2129.5</v>
      </c>
      <c r="L25" s="46">
        <v>2162</v>
      </c>
      <c r="M25" s="45">
        <v>2167</v>
      </c>
      <c r="N25" s="44">
        <f t="shared" si="3"/>
        <v>2164.5</v>
      </c>
      <c r="O25" s="46">
        <v>2170</v>
      </c>
      <c r="P25" s="45">
        <v>2175</v>
      </c>
      <c r="Q25" s="44">
        <f t="shared" si="4"/>
        <v>2172.5</v>
      </c>
      <c r="R25" s="52">
        <v>2038</v>
      </c>
      <c r="S25" s="51">
        <v>1.2954000000000001</v>
      </c>
      <c r="T25" s="51">
        <v>1.0835999999999999</v>
      </c>
      <c r="U25" s="50">
        <v>110.68</v>
      </c>
      <c r="V25" s="43">
        <v>1573.26</v>
      </c>
      <c r="W25" s="43">
        <v>1587.99</v>
      </c>
      <c r="X25" s="49">
        <f t="shared" si="5"/>
        <v>1880.7678110003694</v>
      </c>
      <c r="Y25" s="48">
        <v>1.2985</v>
      </c>
    </row>
    <row r="26" spans="2:25" x14ac:dyDescent="0.2">
      <c r="B26" s="47">
        <v>43887</v>
      </c>
      <c r="C26" s="46">
        <v>2013</v>
      </c>
      <c r="D26" s="45">
        <v>2014</v>
      </c>
      <c r="E26" s="44">
        <f t="shared" si="0"/>
        <v>2013.5</v>
      </c>
      <c r="F26" s="46">
        <v>2034</v>
      </c>
      <c r="G26" s="45">
        <v>2036</v>
      </c>
      <c r="H26" s="44">
        <f t="shared" si="1"/>
        <v>2035</v>
      </c>
      <c r="I26" s="46">
        <v>2093</v>
      </c>
      <c r="J26" s="45">
        <v>2098</v>
      </c>
      <c r="K26" s="44">
        <f t="shared" si="2"/>
        <v>2095.5</v>
      </c>
      <c r="L26" s="46">
        <v>2128</v>
      </c>
      <c r="M26" s="45">
        <v>2133</v>
      </c>
      <c r="N26" s="44">
        <f t="shared" si="3"/>
        <v>2130.5</v>
      </c>
      <c r="O26" s="46">
        <v>2137</v>
      </c>
      <c r="P26" s="45">
        <v>2142</v>
      </c>
      <c r="Q26" s="44">
        <f t="shared" si="4"/>
        <v>2139.5</v>
      </c>
      <c r="R26" s="52">
        <v>2014</v>
      </c>
      <c r="S26" s="51">
        <v>1.2927999999999999</v>
      </c>
      <c r="T26" s="51">
        <v>1.0869</v>
      </c>
      <c r="U26" s="50">
        <v>110.48</v>
      </c>
      <c r="V26" s="43">
        <v>1557.86</v>
      </c>
      <c r="W26" s="43">
        <v>1571.11</v>
      </c>
      <c r="X26" s="49">
        <f t="shared" si="5"/>
        <v>1852.9763547704481</v>
      </c>
      <c r="Y26" s="48">
        <v>1.2959000000000001</v>
      </c>
    </row>
    <row r="27" spans="2:25" x14ac:dyDescent="0.2">
      <c r="B27" s="47">
        <v>43888</v>
      </c>
      <c r="C27" s="46">
        <v>1998</v>
      </c>
      <c r="D27" s="45">
        <v>1999</v>
      </c>
      <c r="E27" s="44">
        <f t="shared" si="0"/>
        <v>1998.5</v>
      </c>
      <c r="F27" s="46">
        <v>2019.5</v>
      </c>
      <c r="G27" s="45">
        <v>2020</v>
      </c>
      <c r="H27" s="44">
        <f t="shared" si="1"/>
        <v>2019.75</v>
      </c>
      <c r="I27" s="46">
        <v>2080</v>
      </c>
      <c r="J27" s="45">
        <v>2085</v>
      </c>
      <c r="K27" s="44">
        <f t="shared" si="2"/>
        <v>2082.5</v>
      </c>
      <c r="L27" s="46">
        <v>2115</v>
      </c>
      <c r="M27" s="45">
        <v>2120</v>
      </c>
      <c r="N27" s="44">
        <f t="shared" si="3"/>
        <v>2117.5</v>
      </c>
      <c r="O27" s="46">
        <v>2123</v>
      </c>
      <c r="P27" s="45">
        <v>2128</v>
      </c>
      <c r="Q27" s="44">
        <f t="shared" si="4"/>
        <v>2125.5</v>
      </c>
      <c r="R27" s="52">
        <v>1999</v>
      </c>
      <c r="S27" s="51">
        <v>1.2892999999999999</v>
      </c>
      <c r="T27" s="51">
        <v>1.0964</v>
      </c>
      <c r="U27" s="50">
        <v>109.88</v>
      </c>
      <c r="V27" s="43">
        <v>1550.45</v>
      </c>
      <c r="W27" s="43">
        <v>1563.1</v>
      </c>
      <c r="X27" s="49">
        <f t="shared" si="5"/>
        <v>1823.2396935425027</v>
      </c>
      <c r="Y27" s="48">
        <v>1.2923</v>
      </c>
    </row>
    <row r="28" spans="2:25" x14ac:dyDescent="0.2">
      <c r="B28" s="47">
        <v>43889</v>
      </c>
      <c r="C28" s="46">
        <v>2018</v>
      </c>
      <c r="D28" s="45">
        <v>2018.5</v>
      </c>
      <c r="E28" s="44">
        <f t="shared" si="0"/>
        <v>2018.25</v>
      </c>
      <c r="F28" s="46">
        <v>2020</v>
      </c>
      <c r="G28" s="45">
        <v>2022</v>
      </c>
      <c r="H28" s="44">
        <f t="shared" si="1"/>
        <v>2021</v>
      </c>
      <c r="I28" s="46">
        <v>2078</v>
      </c>
      <c r="J28" s="45">
        <v>2083</v>
      </c>
      <c r="K28" s="44">
        <f t="shared" si="2"/>
        <v>2080.5</v>
      </c>
      <c r="L28" s="46">
        <v>2113</v>
      </c>
      <c r="M28" s="45">
        <v>2118</v>
      </c>
      <c r="N28" s="44">
        <f t="shared" si="3"/>
        <v>2115.5</v>
      </c>
      <c r="O28" s="46">
        <v>2120</v>
      </c>
      <c r="P28" s="45">
        <v>2125</v>
      </c>
      <c r="Q28" s="44">
        <f t="shared" si="4"/>
        <v>2122.5</v>
      </c>
      <c r="R28" s="52">
        <v>2018.5</v>
      </c>
      <c r="S28" s="51">
        <v>1.2875000000000001</v>
      </c>
      <c r="T28" s="51">
        <v>1.0987</v>
      </c>
      <c r="U28" s="50">
        <v>108.69</v>
      </c>
      <c r="V28" s="43">
        <v>1567.77</v>
      </c>
      <c r="W28" s="43">
        <v>1566.83</v>
      </c>
      <c r="X28" s="49">
        <f t="shared" si="5"/>
        <v>1837.1712023300263</v>
      </c>
      <c r="Y28" s="48">
        <v>1.2905</v>
      </c>
    </row>
    <row r="29" spans="2:25" s="10" customFormat="1" x14ac:dyDescent="0.2">
      <c r="B29" s="42" t="s">
        <v>11</v>
      </c>
      <c r="C29" s="41">
        <f>ROUND(AVERAGE(C9:C28),2)</f>
        <v>2119.33</v>
      </c>
      <c r="D29" s="40">
        <f>ROUND(AVERAGE(D9:D28),2)</f>
        <v>2120.48</v>
      </c>
      <c r="E29" s="39">
        <f>ROUND(AVERAGE(C29:D29),2)</f>
        <v>2119.91</v>
      </c>
      <c r="F29" s="41">
        <f>ROUND(AVERAGE(F9:F28),2)</f>
        <v>2128.8000000000002</v>
      </c>
      <c r="G29" s="40">
        <f>ROUND(AVERAGE(G9:G28),2)</f>
        <v>2130.0500000000002</v>
      </c>
      <c r="H29" s="39">
        <f>ROUND(AVERAGE(F29:G29),2)</f>
        <v>2129.4299999999998</v>
      </c>
      <c r="I29" s="41">
        <f>ROUND(AVERAGE(I9:I28),2)</f>
        <v>2158.35</v>
      </c>
      <c r="J29" s="40">
        <f>ROUND(AVERAGE(J9:J28),2)</f>
        <v>2163.35</v>
      </c>
      <c r="K29" s="39">
        <f>ROUND(AVERAGE(I29:J29),2)</f>
        <v>2160.85</v>
      </c>
      <c r="L29" s="41">
        <f>ROUND(AVERAGE(L9:L28),2)</f>
        <v>2176.35</v>
      </c>
      <c r="M29" s="40">
        <f>ROUND(AVERAGE(M9:M28),2)</f>
        <v>2181.35</v>
      </c>
      <c r="N29" s="39">
        <f>ROUND(AVERAGE(L29:M29),2)</f>
        <v>2178.85</v>
      </c>
      <c r="O29" s="41">
        <f>ROUND(AVERAGE(O9:O28),2)</f>
        <v>2179.5500000000002</v>
      </c>
      <c r="P29" s="40">
        <f>ROUND(AVERAGE(P9:P28),2)</f>
        <v>2184.5500000000002</v>
      </c>
      <c r="Q29" s="39">
        <f>ROUND(AVERAGE(O29:P29),2)</f>
        <v>2182.0500000000002</v>
      </c>
      <c r="R29" s="38">
        <f>ROUND(AVERAGE(R9:R28),2)</f>
        <v>2120.48</v>
      </c>
      <c r="S29" s="37">
        <f>ROUND(AVERAGE(S9:S28),4)</f>
        <v>1.2968</v>
      </c>
      <c r="T29" s="36">
        <f>ROUND(AVERAGE(T9:T28),4)</f>
        <v>1.0905</v>
      </c>
      <c r="U29" s="175">
        <f>ROUND(AVERAGE(U9:U28),2)</f>
        <v>110.07</v>
      </c>
      <c r="V29" s="35">
        <f>AVERAGE(V9:V28)</f>
        <v>1635.0890000000002</v>
      </c>
      <c r="W29" s="35">
        <f>AVERAGE(W9:W28)</f>
        <v>1638.5759999999998</v>
      </c>
      <c r="X29" s="35">
        <f>AVERAGE(X9:X28)</f>
        <v>1944.5025801935667</v>
      </c>
      <c r="Y29" s="34">
        <f>AVERAGE(Y9:Y28)</f>
        <v>1.2998450000000001</v>
      </c>
    </row>
    <row r="30" spans="2:25" s="5" customFormat="1" x14ac:dyDescent="0.2">
      <c r="B30" s="33" t="s">
        <v>12</v>
      </c>
      <c r="C30" s="32">
        <f t="shared" ref="C30:Y30" si="6">MAX(C9:C28)</f>
        <v>2222</v>
      </c>
      <c r="D30" s="31">
        <f t="shared" si="6"/>
        <v>2222.5</v>
      </c>
      <c r="E30" s="30">
        <f t="shared" si="6"/>
        <v>2222.25</v>
      </c>
      <c r="F30" s="32">
        <f t="shared" si="6"/>
        <v>2214.5</v>
      </c>
      <c r="G30" s="31">
        <f t="shared" si="6"/>
        <v>2215</v>
      </c>
      <c r="H30" s="30">
        <f t="shared" si="6"/>
        <v>2214.75</v>
      </c>
      <c r="I30" s="32">
        <f t="shared" si="6"/>
        <v>2203</v>
      </c>
      <c r="J30" s="31">
        <f t="shared" si="6"/>
        <v>2208</v>
      </c>
      <c r="K30" s="30">
        <f t="shared" si="6"/>
        <v>2205.5</v>
      </c>
      <c r="L30" s="32">
        <f t="shared" si="6"/>
        <v>2232</v>
      </c>
      <c r="M30" s="31">
        <f t="shared" si="6"/>
        <v>2237</v>
      </c>
      <c r="N30" s="30">
        <f t="shared" si="6"/>
        <v>2234.5</v>
      </c>
      <c r="O30" s="32">
        <f t="shared" si="6"/>
        <v>2240</v>
      </c>
      <c r="P30" s="31">
        <f t="shared" si="6"/>
        <v>2245</v>
      </c>
      <c r="Q30" s="30">
        <f t="shared" si="6"/>
        <v>2242.5</v>
      </c>
      <c r="R30" s="29">
        <f t="shared" si="6"/>
        <v>2222.5</v>
      </c>
      <c r="S30" s="28">
        <f t="shared" si="6"/>
        <v>1.3056000000000001</v>
      </c>
      <c r="T30" s="27">
        <f t="shared" si="6"/>
        <v>1.1067</v>
      </c>
      <c r="U30" s="26">
        <f t="shared" si="6"/>
        <v>111.99</v>
      </c>
      <c r="V30" s="25">
        <f t="shared" si="6"/>
        <v>1704.2</v>
      </c>
      <c r="W30" s="25">
        <f t="shared" si="6"/>
        <v>1695.93</v>
      </c>
      <c r="X30" s="25">
        <f t="shared" si="6"/>
        <v>2016.238773473646</v>
      </c>
      <c r="Y30" s="24">
        <f t="shared" si="6"/>
        <v>1.3087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1998</v>
      </c>
      <c r="D31" s="21">
        <f t="shared" si="7"/>
        <v>1999</v>
      </c>
      <c r="E31" s="20">
        <f t="shared" si="7"/>
        <v>1998.5</v>
      </c>
      <c r="F31" s="22">
        <f t="shared" si="7"/>
        <v>2019.5</v>
      </c>
      <c r="G31" s="21">
        <f t="shared" si="7"/>
        <v>2020</v>
      </c>
      <c r="H31" s="20">
        <f t="shared" si="7"/>
        <v>2019.75</v>
      </c>
      <c r="I31" s="22">
        <f t="shared" si="7"/>
        <v>2078</v>
      </c>
      <c r="J31" s="21">
        <f t="shared" si="7"/>
        <v>2083</v>
      </c>
      <c r="K31" s="20">
        <f t="shared" si="7"/>
        <v>2080.5</v>
      </c>
      <c r="L31" s="22">
        <f t="shared" si="7"/>
        <v>2113</v>
      </c>
      <c r="M31" s="21">
        <f t="shared" si="7"/>
        <v>2118</v>
      </c>
      <c r="N31" s="20">
        <f t="shared" si="7"/>
        <v>2115.5</v>
      </c>
      <c r="O31" s="22">
        <f t="shared" si="7"/>
        <v>2120</v>
      </c>
      <c r="P31" s="21">
        <f t="shared" si="7"/>
        <v>2125</v>
      </c>
      <c r="Q31" s="20">
        <f t="shared" si="7"/>
        <v>2122.5</v>
      </c>
      <c r="R31" s="19">
        <f t="shared" si="7"/>
        <v>1999</v>
      </c>
      <c r="S31" s="18">
        <f t="shared" si="7"/>
        <v>1.2866</v>
      </c>
      <c r="T31" s="17">
        <f t="shared" si="7"/>
        <v>1.0789</v>
      </c>
      <c r="U31" s="16">
        <f t="shared" si="7"/>
        <v>108.52</v>
      </c>
      <c r="V31" s="15">
        <f t="shared" si="7"/>
        <v>1550.45</v>
      </c>
      <c r="W31" s="15">
        <f t="shared" si="7"/>
        <v>1563.1</v>
      </c>
      <c r="X31" s="15">
        <f t="shared" si="7"/>
        <v>1823.2396935425027</v>
      </c>
      <c r="Y31" s="14">
        <f t="shared" si="7"/>
        <v>1.2898000000000001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43864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43864</v>
      </c>
      <c r="C9" s="46">
        <v>1878</v>
      </c>
      <c r="D9" s="45">
        <v>1879</v>
      </c>
      <c r="E9" s="44">
        <f t="shared" ref="E9:E28" si="0">AVERAGE(C9:D9)</f>
        <v>1878.5</v>
      </c>
      <c r="F9" s="46">
        <v>1858</v>
      </c>
      <c r="G9" s="45">
        <v>1860</v>
      </c>
      <c r="H9" s="44">
        <f t="shared" ref="H9:H28" si="1">AVERAGE(F9:G9)</f>
        <v>1859</v>
      </c>
      <c r="I9" s="46">
        <v>1882</v>
      </c>
      <c r="J9" s="45">
        <v>1887</v>
      </c>
      <c r="K9" s="44">
        <f t="shared" ref="K9:K28" si="2">AVERAGE(I9:J9)</f>
        <v>1884.5</v>
      </c>
      <c r="L9" s="46">
        <v>1900</v>
      </c>
      <c r="M9" s="45">
        <v>1905</v>
      </c>
      <c r="N9" s="44">
        <f t="shared" ref="N9:N28" si="3">AVERAGE(L9:M9)</f>
        <v>1902.5</v>
      </c>
      <c r="O9" s="46">
        <v>1915</v>
      </c>
      <c r="P9" s="45">
        <v>1920</v>
      </c>
      <c r="Q9" s="44">
        <f t="shared" ref="Q9:Q28" si="4">AVERAGE(O9:P9)</f>
        <v>1917.5</v>
      </c>
      <c r="R9" s="52">
        <v>1879</v>
      </c>
      <c r="S9" s="51">
        <v>1.3056000000000001</v>
      </c>
      <c r="T9" s="53">
        <v>1.1067</v>
      </c>
      <c r="U9" s="50">
        <v>108.52</v>
      </c>
      <c r="V9" s="43">
        <v>1439.19</v>
      </c>
      <c r="W9" s="43">
        <v>1421.26</v>
      </c>
      <c r="X9" s="49">
        <f t="shared" ref="X9:X28" si="5">R9/T9</f>
        <v>1697.8404264931778</v>
      </c>
      <c r="Y9" s="48">
        <v>1.3087</v>
      </c>
    </row>
    <row r="10" spans="1:25" x14ac:dyDescent="0.2">
      <c r="B10" s="47">
        <v>43865</v>
      </c>
      <c r="C10" s="46">
        <v>1854</v>
      </c>
      <c r="D10" s="45">
        <v>1854.5</v>
      </c>
      <c r="E10" s="44">
        <f t="shared" si="0"/>
        <v>1854.25</v>
      </c>
      <c r="F10" s="46">
        <v>1842</v>
      </c>
      <c r="G10" s="45">
        <v>1844</v>
      </c>
      <c r="H10" s="44">
        <f t="shared" si="1"/>
        <v>1843</v>
      </c>
      <c r="I10" s="46">
        <v>1868</v>
      </c>
      <c r="J10" s="45">
        <v>1873</v>
      </c>
      <c r="K10" s="44">
        <f t="shared" si="2"/>
        <v>1870.5</v>
      </c>
      <c r="L10" s="46">
        <v>1885</v>
      </c>
      <c r="M10" s="45">
        <v>1890</v>
      </c>
      <c r="N10" s="44">
        <f t="shared" si="3"/>
        <v>1887.5</v>
      </c>
      <c r="O10" s="46">
        <v>1900</v>
      </c>
      <c r="P10" s="45">
        <v>1905</v>
      </c>
      <c r="Q10" s="44">
        <f t="shared" si="4"/>
        <v>1902.5</v>
      </c>
      <c r="R10" s="52">
        <v>1854.5</v>
      </c>
      <c r="S10" s="51">
        <v>1.3011999999999999</v>
      </c>
      <c r="T10" s="51">
        <v>1.1044</v>
      </c>
      <c r="U10" s="50">
        <v>109.14</v>
      </c>
      <c r="V10" s="43">
        <v>1425.22</v>
      </c>
      <c r="W10" s="43">
        <v>1413.79</v>
      </c>
      <c r="X10" s="49">
        <f t="shared" si="5"/>
        <v>1679.1923216226005</v>
      </c>
      <c r="Y10" s="48">
        <v>1.3043</v>
      </c>
    </row>
    <row r="11" spans="1:25" x14ac:dyDescent="0.2">
      <c r="B11" s="47">
        <v>43866</v>
      </c>
      <c r="C11" s="46">
        <v>1843</v>
      </c>
      <c r="D11" s="45">
        <v>1843.5</v>
      </c>
      <c r="E11" s="44">
        <f t="shared" si="0"/>
        <v>1843.25</v>
      </c>
      <c r="F11" s="46">
        <v>1833</v>
      </c>
      <c r="G11" s="45">
        <v>1835</v>
      </c>
      <c r="H11" s="44">
        <f t="shared" si="1"/>
        <v>1834</v>
      </c>
      <c r="I11" s="46">
        <v>1862</v>
      </c>
      <c r="J11" s="45">
        <v>1867</v>
      </c>
      <c r="K11" s="44">
        <f t="shared" si="2"/>
        <v>1864.5</v>
      </c>
      <c r="L11" s="46">
        <v>1878</v>
      </c>
      <c r="M11" s="45">
        <v>1883</v>
      </c>
      <c r="N11" s="44">
        <f t="shared" si="3"/>
        <v>1880.5</v>
      </c>
      <c r="O11" s="46">
        <v>1893</v>
      </c>
      <c r="P11" s="45">
        <v>1898</v>
      </c>
      <c r="Q11" s="44">
        <f t="shared" si="4"/>
        <v>1895.5</v>
      </c>
      <c r="R11" s="52">
        <v>1843.5</v>
      </c>
      <c r="S11" s="51">
        <v>1.3047</v>
      </c>
      <c r="T11" s="51">
        <v>1.1023000000000001</v>
      </c>
      <c r="U11" s="50">
        <v>109.69</v>
      </c>
      <c r="V11" s="43">
        <v>1412.97</v>
      </c>
      <c r="W11" s="43">
        <v>1403.12</v>
      </c>
      <c r="X11" s="49">
        <f t="shared" si="5"/>
        <v>1672.4122289757779</v>
      </c>
      <c r="Y11" s="48">
        <v>1.3078000000000001</v>
      </c>
    </row>
    <row r="12" spans="1:25" x14ac:dyDescent="0.2">
      <c r="B12" s="47">
        <v>43867</v>
      </c>
      <c r="C12" s="46">
        <v>1843</v>
      </c>
      <c r="D12" s="45">
        <v>1844</v>
      </c>
      <c r="E12" s="44">
        <f t="shared" si="0"/>
        <v>1843.5</v>
      </c>
      <c r="F12" s="46">
        <v>1828</v>
      </c>
      <c r="G12" s="45">
        <v>1830</v>
      </c>
      <c r="H12" s="44">
        <f t="shared" si="1"/>
        <v>1829</v>
      </c>
      <c r="I12" s="46">
        <v>1855</v>
      </c>
      <c r="J12" s="45">
        <v>1860</v>
      </c>
      <c r="K12" s="44">
        <f t="shared" si="2"/>
        <v>1857.5</v>
      </c>
      <c r="L12" s="46">
        <v>1873</v>
      </c>
      <c r="M12" s="45">
        <v>1878</v>
      </c>
      <c r="N12" s="44">
        <f t="shared" si="3"/>
        <v>1875.5</v>
      </c>
      <c r="O12" s="46">
        <v>1888</v>
      </c>
      <c r="P12" s="45">
        <v>1893</v>
      </c>
      <c r="Q12" s="44">
        <f t="shared" si="4"/>
        <v>1890.5</v>
      </c>
      <c r="R12" s="52">
        <v>1844</v>
      </c>
      <c r="S12" s="51">
        <v>1.2974000000000001</v>
      </c>
      <c r="T12" s="51">
        <v>1.1002000000000001</v>
      </c>
      <c r="U12" s="50">
        <v>109.86</v>
      </c>
      <c r="V12" s="43">
        <v>1421.3</v>
      </c>
      <c r="W12" s="43">
        <v>1407.15</v>
      </c>
      <c r="X12" s="49">
        <f t="shared" si="5"/>
        <v>1676.0588983821121</v>
      </c>
      <c r="Y12" s="48">
        <v>1.3005</v>
      </c>
    </row>
    <row r="13" spans="1:25" x14ac:dyDescent="0.2">
      <c r="B13" s="47">
        <v>43868</v>
      </c>
      <c r="C13" s="46">
        <v>1834</v>
      </c>
      <c r="D13" s="45">
        <v>1835</v>
      </c>
      <c r="E13" s="44">
        <f t="shared" si="0"/>
        <v>1834.5</v>
      </c>
      <c r="F13" s="46">
        <v>1822</v>
      </c>
      <c r="G13" s="45">
        <v>1824</v>
      </c>
      <c r="H13" s="44">
        <f t="shared" si="1"/>
        <v>1823</v>
      </c>
      <c r="I13" s="46">
        <v>1848</v>
      </c>
      <c r="J13" s="45">
        <v>1853</v>
      </c>
      <c r="K13" s="44">
        <f t="shared" si="2"/>
        <v>1850.5</v>
      </c>
      <c r="L13" s="46">
        <v>1867</v>
      </c>
      <c r="M13" s="45">
        <v>1872</v>
      </c>
      <c r="N13" s="44">
        <f t="shared" si="3"/>
        <v>1869.5</v>
      </c>
      <c r="O13" s="46">
        <v>1882</v>
      </c>
      <c r="P13" s="45">
        <v>1887</v>
      </c>
      <c r="Q13" s="44">
        <f t="shared" si="4"/>
        <v>1884.5</v>
      </c>
      <c r="R13" s="52">
        <v>1835</v>
      </c>
      <c r="S13" s="51">
        <v>1.2947</v>
      </c>
      <c r="T13" s="51">
        <v>1.0965</v>
      </c>
      <c r="U13" s="50">
        <v>109.88</v>
      </c>
      <c r="V13" s="43">
        <v>1417.32</v>
      </c>
      <c r="W13" s="43">
        <v>1405.46</v>
      </c>
      <c r="X13" s="49">
        <f t="shared" si="5"/>
        <v>1673.5066119471044</v>
      </c>
      <c r="Y13" s="48">
        <v>1.2978000000000001</v>
      </c>
    </row>
    <row r="14" spans="1:25" x14ac:dyDescent="0.2">
      <c r="B14" s="47">
        <v>43871</v>
      </c>
      <c r="C14" s="46">
        <v>1809.5</v>
      </c>
      <c r="D14" s="45">
        <v>1810</v>
      </c>
      <c r="E14" s="44">
        <f t="shared" si="0"/>
        <v>1809.75</v>
      </c>
      <c r="F14" s="46">
        <v>1805.5</v>
      </c>
      <c r="G14" s="45">
        <v>1806.5</v>
      </c>
      <c r="H14" s="44">
        <f t="shared" si="1"/>
        <v>1806</v>
      </c>
      <c r="I14" s="46">
        <v>1833</v>
      </c>
      <c r="J14" s="45">
        <v>1838</v>
      </c>
      <c r="K14" s="44">
        <f t="shared" si="2"/>
        <v>1835.5</v>
      </c>
      <c r="L14" s="46">
        <v>1850</v>
      </c>
      <c r="M14" s="45">
        <v>1855</v>
      </c>
      <c r="N14" s="44">
        <f t="shared" si="3"/>
        <v>1852.5</v>
      </c>
      <c r="O14" s="46">
        <v>1865</v>
      </c>
      <c r="P14" s="45">
        <v>1870</v>
      </c>
      <c r="Q14" s="44">
        <f t="shared" si="4"/>
        <v>1867.5</v>
      </c>
      <c r="R14" s="52">
        <v>1810</v>
      </c>
      <c r="S14" s="51">
        <v>1.2932999999999999</v>
      </c>
      <c r="T14" s="51">
        <v>1.0949</v>
      </c>
      <c r="U14" s="50">
        <v>109.75</v>
      </c>
      <c r="V14" s="43">
        <v>1399.52</v>
      </c>
      <c r="W14" s="43">
        <v>1393.47</v>
      </c>
      <c r="X14" s="49">
        <f t="shared" si="5"/>
        <v>1653.1190063019453</v>
      </c>
      <c r="Y14" s="48">
        <v>1.2964</v>
      </c>
    </row>
    <row r="15" spans="1:25" x14ac:dyDescent="0.2">
      <c r="B15" s="47">
        <v>43872</v>
      </c>
      <c r="C15" s="46">
        <v>1819</v>
      </c>
      <c r="D15" s="45">
        <v>1820</v>
      </c>
      <c r="E15" s="44">
        <f t="shared" si="0"/>
        <v>1819.5</v>
      </c>
      <c r="F15" s="46">
        <v>1808</v>
      </c>
      <c r="G15" s="45">
        <v>1810</v>
      </c>
      <c r="H15" s="44">
        <f t="shared" si="1"/>
        <v>1809</v>
      </c>
      <c r="I15" s="46">
        <v>1833</v>
      </c>
      <c r="J15" s="45">
        <v>1838</v>
      </c>
      <c r="K15" s="44">
        <f t="shared" si="2"/>
        <v>1835.5</v>
      </c>
      <c r="L15" s="46">
        <v>1852</v>
      </c>
      <c r="M15" s="45">
        <v>1857</v>
      </c>
      <c r="N15" s="44">
        <f t="shared" si="3"/>
        <v>1854.5</v>
      </c>
      <c r="O15" s="46">
        <v>1867</v>
      </c>
      <c r="P15" s="45">
        <v>1872</v>
      </c>
      <c r="Q15" s="44">
        <f t="shared" si="4"/>
        <v>1869.5</v>
      </c>
      <c r="R15" s="52">
        <v>1820</v>
      </c>
      <c r="S15" s="51">
        <v>1.2934000000000001</v>
      </c>
      <c r="T15" s="51">
        <v>1.0909</v>
      </c>
      <c r="U15" s="50">
        <v>109.85</v>
      </c>
      <c r="V15" s="43">
        <v>1407.14</v>
      </c>
      <c r="W15" s="43">
        <v>1396.07</v>
      </c>
      <c r="X15" s="49">
        <f t="shared" si="5"/>
        <v>1668.3472362269686</v>
      </c>
      <c r="Y15" s="48">
        <v>1.2965</v>
      </c>
    </row>
    <row r="16" spans="1:25" x14ac:dyDescent="0.2">
      <c r="B16" s="47">
        <v>43873</v>
      </c>
      <c r="C16" s="46">
        <v>1860</v>
      </c>
      <c r="D16" s="45">
        <v>1861</v>
      </c>
      <c r="E16" s="44">
        <f t="shared" si="0"/>
        <v>1860.5</v>
      </c>
      <c r="F16" s="46">
        <v>1844.5</v>
      </c>
      <c r="G16" s="45">
        <v>1845.5</v>
      </c>
      <c r="H16" s="44">
        <f t="shared" si="1"/>
        <v>1845</v>
      </c>
      <c r="I16" s="46">
        <v>1868</v>
      </c>
      <c r="J16" s="45">
        <v>1873</v>
      </c>
      <c r="K16" s="44">
        <f t="shared" si="2"/>
        <v>1870.5</v>
      </c>
      <c r="L16" s="46">
        <v>1887</v>
      </c>
      <c r="M16" s="45">
        <v>1892</v>
      </c>
      <c r="N16" s="44">
        <f t="shared" si="3"/>
        <v>1889.5</v>
      </c>
      <c r="O16" s="46">
        <v>1902</v>
      </c>
      <c r="P16" s="45">
        <v>1907</v>
      </c>
      <c r="Q16" s="44">
        <f t="shared" si="4"/>
        <v>1904.5</v>
      </c>
      <c r="R16" s="52">
        <v>1861</v>
      </c>
      <c r="S16" s="51">
        <v>1.2986</v>
      </c>
      <c r="T16" s="51">
        <v>1.0912999999999999</v>
      </c>
      <c r="U16" s="50">
        <v>109.96</v>
      </c>
      <c r="V16" s="43">
        <v>1433.08</v>
      </c>
      <c r="W16" s="43">
        <v>1417.76</v>
      </c>
      <c r="X16" s="49">
        <f t="shared" si="5"/>
        <v>1705.3055988270871</v>
      </c>
      <c r="Y16" s="48">
        <v>1.3017000000000001</v>
      </c>
    </row>
    <row r="17" spans="2:25" x14ac:dyDescent="0.2">
      <c r="B17" s="47">
        <v>43874</v>
      </c>
      <c r="C17" s="46">
        <v>1876</v>
      </c>
      <c r="D17" s="45">
        <v>1877</v>
      </c>
      <c r="E17" s="44">
        <f t="shared" si="0"/>
        <v>1876.5</v>
      </c>
      <c r="F17" s="46">
        <v>1863</v>
      </c>
      <c r="G17" s="45">
        <v>1864</v>
      </c>
      <c r="H17" s="44">
        <f t="shared" si="1"/>
        <v>1863.5</v>
      </c>
      <c r="I17" s="46">
        <v>1888</v>
      </c>
      <c r="J17" s="45">
        <v>1893</v>
      </c>
      <c r="K17" s="44">
        <f t="shared" si="2"/>
        <v>1890.5</v>
      </c>
      <c r="L17" s="46">
        <v>1905</v>
      </c>
      <c r="M17" s="45">
        <v>1910</v>
      </c>
      <c r="N17" s="44">
        <f t="shared" si="3"/>
        <v>1907.5</v>
      </c>
      <c r="O17" s="46">
        <v>1920</v>
      </c>
      <c r="P17" s="45">
        <v>1925</v>
      </c>
      <c r="Q17" s="44">
        <f t="shared" si="4"/>
        <v>1922.5</v>
      </c>
      <c r="R17" s="52">
        <v>1877</v>
      </c>
      <c r="S17" s="51">
        <v>1.3031999999999999</v>
      </c>
      <c r="T17" s="51">
        <v>1.0864</v>
      </c>
      <c r="U17" s="50">
        <v>109.73</v>
      </c>
      <c r="V17" s="43">
        <v>1440.3</v>
      </c>
      <c r="W17" s="43">
        <v>1426.93</v>
      </c>
      <c r="X17" s="49">
        <f t="shared" si="5"/>
        <v>1727.7245949926362</v>
      </c>
      <c r="Y17" s="48">
        <v>1.3063</v>
      </c>
    </row>
    <row r="18" spans="2:25" x14ac:dyDescent="0.2">
      <c r="B18" s="47">
        <v>43875</v>
      </c>
      <c r="C18" s="46">
        <v>1873</v>
      </c>
      <c r="D18" s="45">
        <v>1875</v>
      </c>
      <c r="E18" s="44">
        <f t="shared" si="0"/>
        <v>1874</v>
      </c>
      <c r="F18" s="46">
        <v>1860.5</v>
      </c>
      <c r="G18" s="45">
        <v>1861.5</v>
      </c>
      <c r="H18" s="44">
        <f t="shared" si="1"/>
        <v>1861</v>
      </c>
      <c r="I18" s="46">
        <v>1885</v>
      </c>
      <c r="J18" s="45">
        <v>1890</v>
      </c>
      <c r="K18" s="44">
        <f t="shared" si="2"/>
        <v>1887.5</v>
      </c>
      <c r="L18" s="46">
        <v>1903</v>
      </c>
      <c r="M18" s="45">
        <v>1908</v>
      </c>
      <c r="N18" s="44">
        <f t="shared" si="3"/>
        <v>1905.5</v>
      </c>
      <c r="O18" s="46">
        <v>1918</v>
      </c>
      <c r="P18" s="45">
        <v>1923</v>
      </c>
      <c r="Q18" s="44">
        <f t="shared" si="4"/>
        <v>1920.5</v>
      </c>
      <c r="R18" s="52">
        <v>1875</v>
      </c>
      <c r="S18" s="51">
        <v>1.3028999999999999</v>
      </c>
      <c r="T18" s="51">
        <v>1.0840000000000001</v>
      </c>
      <c r="U18" s="50">
        <v>109.86</v>
      </c>
      <c r="V18" s="43">
        <v>1439.1</v>
      </c>
      <c r="W18" s="43">
        <v>1425.34</v>
      </c>
      <c r="X18" s="49">
        <f t="shared" si="5"/>
        <v>1729.7047970479703</v>
      </c>
      <c r="Y18" s="48">
        <v>1.306</v>
      </c>
    </row>
    <row r="19" spans="2:25" x14ac:dyDescent="0.2">
      <c r="B19" s="47">
        <v>43878</v>
      </c>
      <c r="C19" s="46">
        <v>1910</v>
      </c>
      <c r="D19" s="45">
        <v>1911</v>
      </c>
      <c r="E19" s="44">
        <f t="shared" si="0"/>
        <v>1910.5</v>
      </c>
      <c r="F19" s="46">
        <v>1880</v>
      </c>
      <c r="G19" s="45">
        <v>1881</v>
      </c>
      <c r="H19" s="44">
        <f t="shared" si="1"/>
        <v>1880.5</v>
      </c>
      <c r="I19" s="46">
        <v>1905</v>
      </c>
      <c r="J19" s="45">
        <v>1910</v>
      </c>
      <c r="K19" s="44">
        <f t="shared" si="2"/>
        <v>1907.5</v>
      </c>
      <c r="L19" s="46">
        <v>1922</v>
      </c>
      <c r="M19" s="45">
        <v>1927</v>
      </c>
      <c r="N19" s="44">
        <f t="shared" si="3"/>
        <v>1924.5</v>
      </c>
      <c r="O19" s="46">
        <v>1937</v>
      </c>
      <c r="P19" s="45">
        <v>1942</v>
      </c>
      <c r="Q19" s="44">
        <f t="shared" si="4"/>
        <v>1939.5</v>
      </c>
      <c r="R19" s="52">
        <v>1911</v>
      </c>
      <c r="S19" s="51">
        <v>1.3013999999999999</v>
      </c>
      <c r="T19" s="51">
        <v>1.0837000000000001</v>
      </c>
      <c r="U19" s="50">
        <v>109.88</v>
      </c>
      <c r="V19" s="43">
        <v>1468.42</v>
      </c>
      <c r="W19" s="43">
        <v>1441.93</v>
      </c>
      <c r="X19" s="49">
        <f t="shared" si="5"/>
        <v>1763.4031558549411</v>
      </c>
      <c r="Y19" s="48">
        <v>1.3045</v>
      </c>
    </row>
    <row r="20" spans="2:25" x14ac:dyDescent="0.2">
      <c r="B20" s="47">
        <v>43879</v>
      </c>
      <c r="C20" s="46">
        <v>1900</v>
      </c>
      <c r="D20" s="45">
        <v>1901</v>
      </c>
      <c r="E20" s="44">
        <f t="shared" si="0"/>
        <v>1900.5</v>
      </c>
      <c r="F20" s="46">
        <v>1847</v>
      </c>
      <c r="G20" s="45">
        <v>1848</v>
      </c>
      <c r="H20" s="44">
        <f t="shared" si="1"/>
        <v>1847.5</v>
      </c>
      <c r="I20" s="46">
        <v>1873</v>
      </c>
      <c r="J20" s="45">
        <v>1878</v>
      </c>
      <c r="K20" s="44">
        <f t="shared" si="2"/>
        <v>1875.5</v>
      </c>
      <c r="L20" s="46">
        <v>1890</v>
      </c>
      <c r="M20" s="45">
        <v>1895</v>
      </c>
      <c r="N20" s="44">
        <f t="shared" si="3"/>
        <v>1892.5</v>
      </c>
      <c r="O20" s="46">
        <v>1905</v>
      </c>
      <c r="P20" s="45">
        <v>1910</v>
      </c>
      <c r="Q20" s="44">
        <f t="shared" si="4"/>
        <v>1907.5</v>
      </c>
      <c r="R20" s="52">
        <v>1901</v>
      </c>
      <c r="S20" s="51">
        <v>1.3031999999999999</v>
      </c>
      <c r="T20" s="51">
        <v>1.0814999999999999</v>
      </c>
      <c r="U20" s="50">
        <v>109.78</v>
      </c>
      <c r="V20" s="43">
        <v>1458.72</v>
      </c>
      <c r="W20" s="43">
        <v>1414.68</v>
      </c>
      <c r="X20" s="49">
        <f t="shared" si="5"/>
        <v>1757.7438742487288</v>
      </c>
      <c r="Y20" s="48">
        <v>1.3063</v>
      </c>
    </row>
    <row r="21" spans="2:25" x14ac:dyDescent="0.2">
      <c r="B21" s="47">
        <v>43880</v>
      </c>
      <c r="C21" s="46">
        <v>1918</v>
      </c>
      <c r="D21" s="45">
        <v>1920</v>
      </c>
      <c r="E21" s="44">
        <f t="shared" si="0"/>
        <v>1919</v>
      </c>
      <c r="F21" s="46">
        <v>1877.5</v>
      </c>
      <c r="G21" s="45">
        <v>1878</v>
      </c>
      <c r="H21" s="44">
        <f t="shared" si="1"/>
        <v>1877.75</v>
      </c>
      <c r="I21" s="46">
        <v>1900</v>
      </c>
      <c r="J21" s="45">
        <v>1905</v>
      </c>
      <c r="K21" s="44">
        <f t="shared" si="2"/>
        <v>1902.5</v>
      </c>
      <c r="L21" s="46">
        <v>1918</v>
      </c>
      <c r="M21" s="45">
        <v>1923</v>
      </c>
      <c r="N21" s="44">
        <f t="shared" si="3"/>
        <v>1920.5</v>
      </c>
      <c r="O21" s="46">
        <v>1933</v>
      </c>
      <c r="P21" s="45">
        <v>1938</v>
      </c>
      <c r="Q21" s="44">
        <f t="shared" si="4"/>
        <v>1935.5</v>
      </c>
      <c r="R21" s="52">
        <v>1920</v>
      </c>
      <c r="S21" s="51">
        <v>1.2990999999999999</v>
      </c>
      <c r="T21" s="51">
        <v>1.0801000000000001</v>
      </c>
      <c r="U21" s="50">
        <v>110.49</v>
      </c>
      <c r="V21" s="43">
        <v>1477.95</v>
      </c>
      <c r="W21" s="43">
        <v>1442.17</v>
      </c>
      <c r="X21" s="49">
        <f t="shared" si="5"/>
        <v>1777.6131839644477</v>
      </c>
      <c r="Y21" s="48">
        <v>1.3022</v>
      </c>
    </row>
    <row r="22" spans="2:25" x14ac:dyDescent="0.2">
      <c r="B22" s="47">
        <v>43881</v>
      </c>
      <c r="C22" s="46">
        <v>1938</v>
      </c>
      <c r="D22" s="45">
        <v>1939</v>
      </c>
      <c r="E22" s="44">
        <f t="shared" si="0"/>
        <v>1938.5</v>
      </c>
      <c r="F22" s="46">
        <v>1862</v>
      </c>
      <c r="G22" s="45">
        <v>1863</v>
      </c>
      <c r="H22" s="44">
        <f t="shared" si="1"/>
        <v>1862.5</v>
      </c>
      <c r="I22" s="46">
        <v>1888</v>
      </c>
      <c r="J22" s="45">
        <v>1893</v>
      </c>
      <c r="K22" s="44">
        <f t="shared" si="2"/>
        <v>1890.5</v>
      </c>
      <c r="L22" s="46">
        <v>1905</v>
      </c>
      <c r="M22" s="45">
        <v>1910</v>
      </c>
      <c r="N22" s="44">
        <f t="shared" si="3"/>
        <v>1907.5</v>
      </c>
      <c r="O22" s="46">
        <v>1920</v>
      </c>
      <c r="P22" s="45">
        <v>1925</v>
      </c>
      <c r="Q22" s="44">
        <f t="shared" si="4"/>
        <v>1922.5</v>
      </c>
      <c r="R22" s="52">
        <v>1939</v>
      </c>
      <c r="S22" s="51">
        <v>1.2866</v>
      </c>
      <c r="T22" s="51">
        <v>1.0789</v>
      </c>
      <c r="U22" s="50">
        <v>111.97</v>
      </c>
      <c r="V22" s="43">
        <v>1507.07</v>
      </c>
      <c r="W22" s="43">
        <v>1444.41</v>
      </c>
      <c r="X22" s="49">
        <f t="shared" si="5"/>
        <v>1797.2008527203634</v>
      </c>
      <c r="Y22" s="48">
        <v>1.2898000000000001</v>
      </c>
    </row>
    <row r="23" spans="2:25" x14ac:dyDescent="0.2">
      <c r="B23" s="47">
        <v>43882</v>
      </c>
      <c r="C23" s="46">
        <v>1880</v>
      </c>
      <c r="D23" s="45">
        <v>1881</v>
      </c>
      <c r="E23" s="44">
        <f t="shared" si="0"/>
        <v>1880.5</v>
      </c>
      <c r="F23" s="46">
        <v>1838</v>
      </c>
      <c r="G23" s="45">
        <v>1839</v>
      </c>
      <c r="H23" s="44">
        <f t="shared" si="1"/>
        <v>1838.5</v>
      </c>
      <c r="I23" s="46">
        <v>1865</v>
      </c>
      <c r="J23" s="45">
        <v>1870</v>
      </c>
      <c r="K23" s="44">
        <f t="shared" si="2"/>
        <v>1867.5</v>
      </c>
      <c r="L23" s="46">
        <v>1882</v>
      </c>
      <c r="M23" s="45">
        <v>1887</v>
      </c>
      <c r="N23" s="44">
        <f t="shared" si="3"/>
        <v>1884.5</v>
      </c>
      <c r="O23" s="46">
        <v>1897</v>
      </c>
      <c r="P23" s="45">
        <v>1902</v>
      </c>
      <c r="Q23" s="44">
        <f t="shared" si="4"/>
        <v>1899.5</v>
      </c>
      <c r="R23" s="52">
        <v>1881</v>
      </c>
      <c r="S23" s="51">
        <v>1.2927</v>
      </c>
      <c r="T23" s="51">
        <v>1.0797000000000001</v>
      </c>
      <c r="U23" s="50">
        <v>111.99</v>
      </c>
      <c r="V23" s="43">
        <v>1455.09</v>
      </c>
      <c r="W23" s="43">
        <v>1419.2</v>
      </c>
      <c r="X23" s="49">
        <f t="shared" si="5"/>
        <v>1742.1505973881633</v>
      </c>
      <c r="Y23" s="48">
        <v>1.2958000000000001</v>
      </c>
    </row>
    <row r="24" spans="2:25" x14ac:dyDescent="0.2">
      <c r="B24" s="47">
        <v>43885</v>
      </c>
      <c r="C24" s="46">
        <v>1862</v>
      </c>
      <c r="D24" s="45">
        <v>1864</v>
      </c>
      <c r="E24" s="44">
        <f t="shared" si="0"/>
        <v>1863</v>
      </c>
      <c r="F24" s="46">
        <v>1819</v>
      </c>
      <c r="G24" s="45">
        <v>1820</v>
      </c>
      <c r="H24" s="44">
        <f t="shared" si="1"/>
        <v>1819.5</v>
      </c>
      <c r="I24" s="46">
        <v>1847</v>
      </c>
      <c r="J24" s="45">
        <v>1852</v>
      </c>
      <c r="K24" s="44">
        <f t="shared" si="2"/>
        <v>1849.5</v>
      </c>
      <c r="L24" s="46">
        <v>1863</v>
      </c>
      <c r="M24" s="45">
        <v>1868</v>
      </c>
      <c r="N24" s="44">
        <f t="shared" si="3"/>
        <v>1865.5</v>
      </c>
      <c r="O24" s="46">
        <v>1878</v>
      </c>
      <c r="P24" s="45">
        <v>1883</v>
      </c>
      <c r="Q24" s="44">
        <f t="shared" si="4"/>
        <v>1880.5</v>
      </c>
      <c r="R24" s="52">
        <v>1864</v>
      </c>
      <c r="S24" s="51">
        <v>1.292</v>
      </c>
      <c r="T24" s="51">
        <v>1.0819000000000001</v>
      </c>
      <c r="U24" s="50">
        <v>111.34</v>
      </c>
      <c r="V24" s="43">
        <v>1442.72</v>
      </c>
      <c r="W24" s="43">
        <v>1405.3</v>
      </c>
      <c r="X24" s="49">
        <f t="shared" si="5"/>
        <v>1722.8949071078657</v>
      </c>
      <c r="Y24" s="48">
        <v>1.2950999999999999</v>
      </c>
    </row>
    <row r="25" spans="2:25" x14ac:dyDescent="0.2">
      <c r="B25" s="47">
        <v>43886</v>
      </c>
      <c r="C25" s="46">
        <v>1921</v>
      </c>
      <c r="D25" s="45">
        <v>1922</v>
      </c>
      <c r="E25" s="44">
        <f t="shared" si="0"/>
        <v>1921.5</v>
      </c>
      <c r="F25" s="46">
        <v>1845</v>
      </c>
      <c r="G25" s="45">
        <v>1846</v>
      </c>
      <c r="H25" s="44">
        <f t="shared" si="1"/>
        <v>1845.5</v>
      </c>
      <c r="I25" s="46">
        <v>1875</v>
      </c>
      <c r="J25" s="45">
        <v>1880</v>
      </c>
      <c r="K25" s="44">
        <f t="shared" si="2"/>
        <v>1877.5</v>
      </c>
      <c r="L25" s="46">
        <v>1893</v>
      </c>
      <c r="M25" s="45">
        <v>1898</v>
      </c>
      <c r="N25" s="44">
        <f t="shared" si="3"/>
        <v>1895.5</v>
      </c>
      <c r="O25" s="46">
        <v>1908</v>
      </c>
      <c r="P25" s="45">
        <v>1913</v>
      </c>
      <c r="Q25" s="44">
        <f t="shared" si="4"/>
        <v>1910.5</v>
      </c>
      <c r="R25" s="52">
        <v>1922</v>
      </c>
      <c r="S25" s="51">
        <v>1.2954000000000001</v>
      </c>
      <c r="T25" s="51">
        <v>1.0835999999999999</v>
      </c>
      <c r="U25" s="50">
        <v>110.68</v>
      </c>
      <c r="V25" s="43">
        <v>1483.71</v>
      </c>
      <c r="W25" s="43">
        <v>1421.64</v>
      </c>
      <c r="X25" s="49">
        <f t="shared" si="5"/>
        <v>1773.717238833518</v>
      </c>
      <c r="Y25" s="48">
        <v>1.2985</v>
      </c>
    </row>
    <row r="26" spans="2:25" x14ac:dyDescent="0.2">
      <c r="B26" s="47">
        <v>43887</v>
      </c>
      <c r="C26" s="46">
        <v>1869.5</v>
      </c>
      <c r="D26" s="45">
        <v>1870</v>
      </c>
      <c r="E26" s="44">
        <f t="shared" si="0"/>
        <v>1869.75</v>
      </c>
      <c r="F26" s="46">
        <v>1838</v>
      </c>
      <c r="G26" s="45">
        <v>1840</v>
      </c>
      <c r="H26" s="44">
        <f t="shared" si="1"/>
        <v>1839</v>
      </c>
      <c r="I26" s="46">
        <v>1867</v>
      </c>
      <c r="J26" s="45">
        <v>1872</v>
      </c>
      <c r="K26" s="44">
        <f t="shared" si="2"/>
        <v>1869.5</v>
      </c>
      <c r="L26" s="46">
        <v>1885</v>
      </c>
      <c r="M26" s="45">
        <v>1890</v>
      </c>
      <c r="N26" s="44">
        <f t="shared" si="3"/>
        <v>1887.5</v>
      </c>
      <c r="O26" s="46">
        <v>1900</v>
      </c>
      <c r="P26" s="45">
        <v>1905</v>
      </c>
      <c r="Q26" s="44">
        <f t="shared" si="4"/>
        <v>1902.5</v>
      </c>
      <c r="R26" s="52">
        <v>1870</v>
      </c>
      <c r="S26" s="51">
        <v>1.2927999999999999</v>
      </c>
      <c r="T26" s="51">
        <v>1.0869</v>
      </c>
      <c r="U26" s="50">
        <v>110.48</v>
      </c>
      <c r="V26" s="43">
        <v>1446.47</v>
      </c>
      <c r="W26" s="43">
        <v>1419.86</v>
      </c>
      <c r="X26" s="49">
        <f t="shared" si="5"/>
        <v>1720.4894654522036</v>
      </c>
      <c r="Y26" s="48">
        <v>1.2959000000000001</v>
      </c>
    </row>
    <row r="27" spans="2:25" x14ac:dyDescent="0.2">
      <c r="B27" s="47">
        <v>43888</v>
      </c>
      <c r="C27" s="46">
        <v>1868</v>
      </c>
      <c r="D27" s="45">
        <v>1870</v>
      </c>
      <c r="E27" s="44">
        <f t="shared" si="0"/>
        <v>1869</v>
      </c>
      <c r="F27" s="46">
        <v>1826</v>
      </c>
      <c r="G27" s="45">
        <v>1827</v>
      </c>
      <c r="H27" s="44">
        <f t="shared" si="1"/>
        <v>1826.5</v>
      </c>
      <c r="I27" s="46">
        <v>1855</v>
      </c>
      <c r="J27" s="45">
        <v>1860</v>
      </c>
      <c r="K27" s="44">
        <f t="shared" si="2"/>
        <v>1857.5</v>
      </c>
      <c r="L27" s="46">
        <v>1873</v>
      </c>
      <c r="M27" s="45">
        <v>1878</v>
      </c>
      <c r="N27" s="44">
        <f t="shared" si="3"/>
        <v>1875.5</v>
      </c>
      <c r="O27" s="46">
        <v>1888</v>
      </c>
      <c r="P27" s="45">
        <v>1893</v>
      </c>
      <c r="Q27" s="44">
        <f t="shared" si="4"/>
        <v>1890.5</v>
      </c>
      <c r="R27" s="52">
        <v>1870</v>
      </c>
      <c r="S27" s="51">
        <v>1.2892999999999999</v>
      </c>
      <c r="T27" s="51">
        <v>1.0964</v>
      </c>
      <c r="U27" s="50">
        <v>109.88</v>
      </c>
      <c r="V27" s="43">
        <v>1450.4</v>
      </c>
      <c r="W27" s="43">
        <v>1413.76</v>
      </c>
      <c r="X27" s="49">
        <f t="shared" si="5"/>
        <v>1705.5819044144473</v>
      </c>
      <c r="Y27" s="48">
        <v>1.2923</v>
      </c>
    </row>
    <row r="28" spans="2:25" x14ac:dyDescent="0.2">
      <c r="B28" s="47">
        <v>43889</v>
      </c>
      <c r="C28" s="46">
        <v>1868</v>
      </c>
      <c r="D28" s="45">
        <v>1869</v>
      </c>
      <c r="E28" s="44">
        <f t="shared" si="0"/>
        <v>1868.5</v>
      </c>
      <c r="F28" s="46">
        <v>1818</v>
      </c>
      <c r="G28" s="45">
        <v>1820</v>
      </c>
      <c r="H28" s="44">
        <f t="shared" si="1"/>
        <v>1819</v>
      </c>
      <c r="I28" s="46">
        <v>1850</v>
      </c>
      <c r="J28" s="45">
        <v>1855</v>
      </c>
      <c r="K28" s="44">
        <f t="shared" si="2"/>
        <v>1852.5</v>
      </c>
      <c r="L28" s="46">
        <v>1867</v>
      </c>
      <c r="M28" s="45">
        <v>1872</v>
      </c>
      <c r="N28" s="44">
        <f t="shared" si="3"/>
        <v>1869.5</v>
      </c>
      <c r="O28" s="46">
        <v>1882</v>
      </c>
      <c r="P28" s="45">
        <v>1887</v>
      </c>
      <c r="Q28" s="44">
        <f t="shared" si="4"/>
        <v>1884.5</v>
      </c>
      <c r="R28" s="52">
        <v>1869</v>
      </c>
      <c r="S28" s="51">
        <v>1.2875000000000001</v>
      </c>
      <c r="T28" s="51">
        <v>1.0987</v>
      </c>
      <c r="U28" s="50">
        <v>108.69</v>
      </c>
      <c r="V28" s="43">
        <v>1451.65</v>
      </c>
      <c r="W28" s="43">
        <v>1410.31</v>
      </c>
      <c r="X28" s="49">
        <f t="shared" si="5"/>
        <v>1701.1013015381814</v>
      </c>
      <c r="Y28" s="48">
        <v>1.2905</v>
      </c>
    </row>
    <row r="29" spans="2:25" s="10" customFormat="1" x14ac:dyDescent="0.2">
      <c r="B29" s="42" t="s">
        <v>11</v>
      </c>
      <c r="C29" s="41">
        <f>ROUND(AVERAGE(C9:C28),2)</f>
        <v>1871.2</v>
      </c>
      <c r="D29" s="40">
        <f>ROUND(AVERAGE(D9:D28),2)</f>
        <v>1872.3</v>
      </c>
      <c r="E29" s="39">
        <f>ROUND(AVERAGE(C29:D29),2)</f>
        <v>1871.75</v>
      </c>
      <c r="F29" s="41">
        <f>ROUND(AVERAGE(F9:F28),2)</f>
        <v>1840.75</v>
      </c>
      <c r="G29" s="40">
        <f>ROUND(AVERAGE(G9:G28),2)</f>
        <v>1842.13</v>
      </c>
      <c r="H29" s="39">
        <f>ROUND(AVERAGE(F29:G29),2)</f>
        <v>1841.44</v>
      </c>
      <c r="I29" s="41">
        <f>ROUND(AVERAGE(I9:I28),2)</f>
        <v>1867.35</v>
      </c>
      <c r="J29" s="40">
        <f>ROUND(AVERAGE(J9:J28),2)</f>
        <v>1872.35</v>
      </c>
      <c r="K29" s="39">
        <f>ROUND(AVERAGE(I29:J29),2)</f>
        <v>1869.85</v>
      </c>
      <c r="L29" s="41">
        <f>ROUND(AVERAGE(L9:L28),2)</f>
        <v>1884.9</v>
      </c>
      <c r="M29" s="40">
        <f>ROUND(AVERAGE(M9:M28),2)</f>
        <v>1889.9</v>
      </c>
      <c r="N29" s="39">
        <f>ROUND(AVERAGE(L29:M29),2)</f>
        <v>1887.4</v>
      </c>
      <c r="O29" s="41">
        <f>ROUND(AVERAGE(O9:O28),2)</f>
        <v>1899.9</v>
      </c>
      <c r="P29" s="40">
        <f>ROUND(AVERAGE(P9:P28),2)</f>
        <v>1904.9</v>
      </c>
      <c r="Q29" s="39">
        <f>ROUND(AVERAGE(O29:P29),2)</f>
        <v>1902.4</v>
      </c>
      <c r="R29" s="38">
        <f>ROUND(AVERAGE(R9:R28),2)</f>
        <v>1872.3</v>
      </c>
      <c r="S29" s="37">
        <f>ROUND(AVERAGE(S9:S28),4)</f>
        <v>1.2968</v>
      </c>
      <c r="T29" s="36">
        <f>ROUND(AVERAGE(T9:T28),4)</f>
        <v>1.0905</v>
      </c>
      <c r="U29" s="175">
        <f>ROUND(AVERAGE(U9:U28),2)</f>
        <v>110.07</v>
      </c>
      <c r="V29" s="35">
        <f>AVERAGE(V9:V28)</f>
        <v>1443.8670000000002</v>
      </c>
      <c r="W29" s="35">
        <f>AVERAGE(W9:W28)</f>
        <v>1417.1804999999999</v>
      </c>
      <c r="X29" s="35">
        <f>AVERAGE(X9:X28)</f>
        <v>1717.2554101170117</v>
      </c>
      <c r="Y29" s="34">
        <f>AVERAGE(Y9:Y28)</f>
        <v>1.2998450000000001</v>
      </c>
    </row>
    <row r="30" spans="2:25" s="5" customFormat="1" x14ac:dyDescent="0.2">
      <c r="B30" s="33" t="s">
        <v>12</v>
      </c>
      <c r="C30" s="32">
        <f t="shared" ref="C30:Y30" si="6">MAX(C9:C28)</f>
        <v>1938</v>
      </c>
      <c r="D30" s="31">
        <f t="shared" si="6"/>
        <v>1939</v>
      </c>
      <c r="E30" s="30">
        <f t="shared" si="6"/>
        <v>1938.5</v>
      </c>
      <c r="F30" s="32">
        <f t="shared" si="6"/>
        <v>1880</v>
      </c>
      <c r="G30" s="31">
        <f t="shared" si="6"/>
        <v>1881</v>
      </c>
      <c r="H30" s="30">
        <f t="shared" si="6"/>
        <v>1880.5</v>
      </c>
      <c r="I30" s="32">
        <f t="shared" si="6"/>
        <v>1905</v>
      </c>
      <c r="J30" s="31">
        <f t="shared" si="6"/>
        <v>1910</v>
      </c>
      <c r="K30" s="30">
        <f t="shared" si="6"/>
        <v>1907.5</v>
      </c>
      <c r="L30" s="32">
        <f t="shared" si="6"/>
        <v>1922</v>
      </c>
      <c r="M30" s="31">
        <f t="shared" si="6"/>
        <v>1927</v>
      </c>
      <c r="N30" s="30">
        <f t="shared" si="6"/>
        <v>1924.5</v>
      </c>
      <c r="O30" s="32">
        <f t="shared" si="6"/>
        <v>1937</v>
      </c>
      <c r="P30" s="31">
        <f t="shared" si="6"/>
        <v>1942</v>
      </c>
      <c r="Q30" s="30">
        <f t="shared" si="6"/>
        <v>1939.5</v>
      </c>
      <c r="R30" s="29">
        <f t="shared" si="6"/>
        <v>1939</v>
      </c>
      <c r="S30" s="28">
        <f t="shared" si="6"/>
        <v>1.3056000000000001</v>
      </c>
      <c r="T30" s="27">
        <f t="shared" si="6"/>
        <v>1.1067</v>
      </c>
      <c r="U30" s="26">
        <f t="shared" si="6"/>
        <v>111.99</v>
      </c>
      <c r="V30" s="25">
        <f t="shared" si="6"/>
        <v>1507.07</v>
      </c>
      <c r="W30" s="25">
        <f t="shared" si="6"/>
        <v>1444.41</v>
      </c>
      <c r="X30" s="25">
        <f t="shared" si="6"/>
        <v>1797.2008527203634</v>
      </c>
      <c r="Y30" s="24">
        <f t="shared" si="6"/>
        <v>1.3087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1809.5</v>
      </c>
      <c r="D31" s="21">
        <f t="shared" si="7"/>
        <v>1810</v>
      </c>
      <c r="E31" s="20">
        <f t="shared" si="7"/>
        <v>1809.75</v>
      </c>
      <c r="F31" s="22">
        <f t="shared" si="7"/>
        <v>1805.5</v>
      </c>
      <c r="G31" s="21">
        <f t="shared" si="7"/>
        <v>1806.5</v>
      </c>
      <c r="H31" s="20">
        <f t="shared" si="7"/>
        <v>1806</v>
      </c>
      <c r="I31" s="22">
        <f t="shared" si="7"/>
        <v>1833</v>
      </c>
      <c r="J31" s="21">
        <f t="shared" si="7"/>
        <v>1838</v>
      </c>
      <c r="K31" s="20">
        <f t="shared" si="7"/>
        <v>1835.5</v>
      </c>
      <c r="L31" s="22">
        <f t="shared" si="7"/>
        <v>1850</v>
      </c>
      <c r="M31" s="21">
        <f t="shared" si="7"/>
        <v>1855</v>
      </c>
      <c r="N31" s="20">
        <f t="shared" si="7"/>
        <v>1852.5</v>
      </c>
      <c r="O31" s="22">
        <f t="shared" si="7"/>
        <v>1865</v>
      </c>
      <c r="P31" s="21">
        <f t="shared" si="7"/>
        <v>1870</v>
      </c>
      <c r="Q31" s="20">
        <f t="shared" si="7"/>
        <v>1867.5</v>
      </c>
      <c r="R31" s="19">
        <f t="shared" si="7"/>
        <v>1810</v>
      </c>
      <c r="S31" s="18">
        <f t="shared" si="7"/>
        <v>1.2866</v>
      </c>
      <c r="T31" s="17">
        <f t="shared" si="7"/>
        <v>1.0789</v>
      </c>
      <c r="U31" s="16">
        <f t="shared" si="7"/>
        <v>108.52</v>
      </c>
      <c r="V31" s="15">
        <f t="shared" si="7"/>
        <v>1399.52</v>
      </c>
      <c r="W31" s="15">
        <f t="shared" si="7"/>
        <v>1393.47</v>
      </c>
      <c r="X31" s="15">
        <f t="shared" si="7"/>
        <v>1653.1190063019453</v>
      </c>
      <c r="Y31" s="14">
        <f t="shared" si="7"/>
        <v>1.2898000000000001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43864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43864</v>
      </c>
      <c r="C9" s="46">
        <v>16325</v>
      </c>
      <c r="D9" s="45">
        <v>16350</v>
      </c>
      <c r="E9" s="44">
        <f t="shared" ref="E9:E28" si="0">AVERAGE(C9:D9)</f>
        <v>16337.5</v>
      </c>
      <c r="F9" s="46">
        <v>16200</v>
      </c>
      <c r="G9" s="45">
        <v>16225</v>
      </c>
      <c r="H9" s="44">
        <f t="shared" ref="H9:H28" si="1">AVERAGE(F9:G9)</f>
        <v>16212.5</v>
      </c>
      <c r="I9" s="46">
        <v>16080</v>
      </c>
      <c r="J9" s="45">
        <v>16130</v>
      </c>
      <c r="K9" s="44">
        <f t="shared" ref="K9:K28" si="2">AVERAGE(I9:J9)</f>
        <v>16105</v>
      </c>
      <c r="L9" s="52">
        <v>16350</v>
      </c>
      <c r="M9" s="51">
        <v>1.3056000000000001</v>
      </c>
      <c r="N9" s="53">
        <v>1.1067</v>
      </c>
      <c r="O9" s="50">
        <v>108.52</v>
      </c>
      <c r="P9" s="43">
        <v>12522.98</v>
      </c>
      <c r="Q9" s="43">
        <v>12397.8</v>
      </c>
      <c r="R9" s="49">
        <f t="shared" ref="R9:R28" si="3">L9/N9</f>
        <v>14773.651396042287</v>
      </c>
      <c r="S9" s="48">
        <v>1.3087</v>
      </c>
    </row>
    <row r="10" spans="1:19" x14ac:dyDescent="0.2">
      <c r="B10" s="47">
        <v>43865</v>
      </c>
      <c r="C10" s="46">
        <v>16150</v>
      </c>
      <c r="D10" s="45">
        <v>16155</v>
      </c>
      <c r="E10" s="44">
        <f t="shared" si="0"/>
        <v>16152.5</v>
      </c>
      <c r="F10" s="46">
        <v>16195</v>
      </c>
      <c r="G10" s="45">
        <v>16200</v>
      </c>
      <c r="H10" s="44">
        <f t="shared" si="1"/>
        <v>16197.5</v>
      </c>
      <c r="I10" s="46">
        <v>16070</v>
      </c>
      <c r="J10" s="45">
        <v>16120</v>
      </c>
      <c r="K10" s="44">
        <f t="shared" si="2"/>
        <v>16095</v>
      </c>
      <c r="L10" s="52">
        <v>16155</v>
      </c>
      <c r="M10" s="51">
        <v>1.3011999999999999</v>
      </c>
      <c r="N10" s="51">
        <v>1.1044</v>
      </c>
      <c r="O10" s="50">
        <v>109.14</v>
      </c>
      <c r="P10" s="43">
        <v>12415.46</v>
      </c>
      <c r="Q10" s="43">
        <v>12420.46</v>
      </c>
      <c r="R10" s="49">
        <f t="shared" si="3"/>
        <v>14627.852227453821</v>
      </c>
      <c r="S10" s="48">
        <v>1.3043</v>
      </c>
    </row>
    <row r="11" spans="1:19" x14ac:dyDescent="0.2">
      <c r="B11" s="47">
        <v>43866</v>
      </c>
      <c r="C11" s="46">
        <v>16315</v>
      </c>
      <c r="D11" s="45">
        <v>16335</v>
      </c>
      <c r="E11" s="44">
        <f t="shared" si="0"/>
        <v>16325</v>
      </c>
      <c r="F11" s="46">
        <v>16275</v>
      </c>
      <c r="G11" s="45">
        <v>16325</v>
      </c>
      <c r="H11" s="44">
        <f t="shared" si="1"/>
        <v>16300</v>
      </c>
      <c r="I11" s="46">
        <v>16170</v>
      </c>
      <c r="J11" s="45">
        <v>16220</v>
      </c>
      <c r="K11" s="44">
        <f t="shared" si="2"/>
        <v>16195</v>
      </c>
      <c r="L11" s="52">
        <v>16335</v>
      </c>
      <c r="M11" s="51">
        <v>1.3047</v>
      </c>
      <c r="N11" s="51">
        <v>1.1023000000000001</v>
      </c>
      <c r="O11" s="50">
        <v>109.69</v>
      </c>
      <c r="P11" s="43">
        <v>12520.12</v>
      </c>
      <c r="Q11" s="43">
        <v>12482.8</v>
      </c>
      <c r="R11" s="49">
        <f t="shared" si="3"/>
        <v>14819.014787262995</v>
      </c>
      <c r="S11" s="48">
        <v>1.3078000000000001</v>
      </c>
    </row>
    <row r="12" spans="1:19" x14ac:dyDescent="0.2">
      <c r="B12" s="47">
        <v>43867</v>
      </c>
      <c r="C12" s="46">
        <v>16550</v>
      </c>
      <c r="D12" s="45">
        <v>16575</v>
      </c>
      <c r="E12" s="44">
        <f t="shared" si="0"/>
        <v>16562.5</v>
      </c>
      <c r="F12" s="46">
        <v>16525</v>
      </c>
      <c r="G12" s="45">
        <v>16575</v>
      </c>
      <c r="H12" s="44">
        <f t="shared" si="1"/>
        <v>16550</v>
      </c>
      <c r="I12" s="46">
        <v>16420</v>
      </c>
      <c r="J12" s="45">
        <v>16470</v>
      </c>
      <c r="K12" s="44">
        <f t="shared" si="2"/>
        <v>16445</v>
      </c>
      <c r="L12" s="52">
        <v>16575</v>
      </c>
      <c r="M12" s="51">
        <v>1.2974000000000001</v>
      </c>
      <c r="N12" s="51">
        <v>1.1002000000000001</v>
      </c>
      <c r="O12" s="50">
        <v>109.86</v>
      </c>
      <c r="P12" s="43">
        <v>12775.55</v>
      </c>
      <c r="Q12" s="43">
        <v>12745.1</v>
      </c>
      <c r="R12" s="49">
        <f t="shared" si="3"/>
        <v>15065.442646791491</v>
      </c>
      <c r="S12" s="48">
        <v>1.3005</v>
      </c>
    </row>
    <row r="13" spans="1:19" x14ac:dyDescent="0.2">
      <c r="B13" s="47">
        <v>43868</v>
      </c>
      <c r="C13" s="46">
        <v>16275</v>
      </c>
      <c r="D13" s="45">
        <v>16325</v>
      </c>
      <c r="E13" s="44">
        <f t="shared" si="0"/>
        <v>16300</v>
      </c>
      <c r="F13" s="46">
        <v>16320</v>
      </c>
      <c r="G13" s="45">
        <v>16325</v>
      </c>
      <c r="H13" s="44">
        <f t="shared" si="1"/>
        <v>16322.5</v>
      </c>
      <c r="I13" s="46">
        <v>16190</v>
      </c>
      <c r="J13" s="45">
        <v>16240</v>
      </c>
      <c r="K13" s="44">
        <f t="shared" si="2"/>
        <v>16215</v>
      </c>
      <c r="L13" s="52">
        <v>16325</v>
      </c>
      <c r="M13" s="51">
        <v>1.2947</v>
      </c>
      <c r="N13" s="51">
        <v>1.0965</v>
      </c>
      <c r="O13" s="50">
        <v>109.88</v>
      </c>
      <c r="P13" s="43">
        <v>12609.1</v>
      </c>
      <c r="Q13" s="43">
        <v>12578.98</v>
      </c>
      <c r="R13" s="49">
        <f t="shared" si="3"/>
        <v>14888.28089375285</v>
      </c>
      <c r="S13" s="48">
        <v>1.2978000000000001</v>
      </c>
    </row>
    <row r="14" spans="1:19" x14ac:dyDescent="0.2">
      <c r="B14" s="47">
        <v>43871</v>
      </c>
      <c r="C14" s="46">
        <v>16300</v>
      </c>
      <c r="D14" s="45">
        <v>16350</v>
      </c>
      <c r="E14" s="44">
        <f t="shared" si="0"/>
        <v>16325</v>
      </c>
      <c r="F14" s="46">
        <v>16350</v>
      </c>
      <c r="G14" s="45">
        <v>16375</v>
      </c>
      <c r="H14" s="44">
        <f t="shared" si="1"/>
        <v>16362.5</v>
      </c>
      <c r="I14" s="46">
        <v>16235</v>
      </c>
      <c r="J14" s="45">
        <v>16285</v>
      </c>
      <c r="K14" s="44">
        <f t="shared" si="2"/>
        <v>16260</v>
      </c>
      <c r="L14" s="52">
        <v>16350</v>
      </c>
      <c r="M14" s="51">
        <v>1.2932999999999999</v>
      </c>
      <c r="N14" s="51">
        <v>1.0949</v>
      </c>
      <c r="O14" s="50">
        <v>109.75</v>
      </c>
      <c r="P14" s="43">
        <v>12642.08</v>
      </c>
      <c r="Q14" s="43">
        <v>12631.13</v>
      </c>
      <c r="R14" s="49">
        <f t="shared" si="3"/>
        <v>14932.870581788291</v>
      </c>
      <c r="S14" s="48">
        <v>1.2964</v>
      </c>
    </row>
    <row r="15" spans="1:19" x14ac:dyDescent="0.2">
      <c r="B15" s="47">
        <v>43872</v>
      </c>
      <c r="C15" s="46">
        <v>16375</v>
      </c>
      <c r="D15" s="45">
        <v>16380</v>
      </c>
      <c r="E15" s="44">
        <f t="shared" si="0"/>
        <v>16377.5</v>
      </c>
      <c r="F15" s="46">
        <v>16350</v>
      </c>
      <c r="G15" s="45">
        <v>16400</v>
      </c>
      <c r="H15" s="44">
        <f t="shared" si="1"/>
        <v>16375</v>
      </c>
      <c r="I15" s="46">
        <v>16260</v>
      </c>
      <c r="J15" s="45">
        <v>16310</v>
      </c>
      <c r="K15" s="44">
        <f t="shared" si="2"/>
        <v>16285</v>
      </c>
      <c r="L15" s="52">
        <v>16380</v>
      </c>
      <c r="M15" s="51">
        <v>1.2934000000000001</v>
      </c>
      <c r="N15" s="51">
        <v>1.0909</v>
      </c>
      <c r="O15" s="50">
        <v>109.85</v>
      </c>
      <c r="P15" s="43">
        <v>12664.3</v>
      </c>
      <c r="Q15" s="43">
        <v>12649.44</v>
      </c>
      <c r="R15" s="49">
        <f t="shared" si="3"/>
        <v>15015.125126042718</v>
      </c>
      <c r="S15" s="48">
        <v>1.2965</v>
      </c>
    </row>
    <row r="16" spans="1:19" x14ac:dyDescent="0.2">
      <c r="B16" s="47">
        <v>43873</v>
      </c>
      <c r="C16" s="46">
        <v>16450</v>
      </c>
      <c r="D16" s="45">
        <v>16475</v>
      </c>
      <c r="E16" s="44">
        <f t="shared" si="0"/>
        <v>16462.5</v>
      </c>
      <c r="F16" s="46">
        <v>16400</v>
      </c>
      <c r="G16" s="45">
        <v>16450</v>
      </c>
      <c r="H16" s="44">
        <f t="shared" si="1"/>
        <v>16425</v>
      </c>
      <c r="I16" s="46">
        <v>16310</v>
      </c>
      <c r="J16" s="45">
        <v>16360</v>
      </c>
      <c r="K16" s="44">
        <f t="shared" si="2"/>
        <v>16335</v>
      </c>
      <c r="L16" s="52">
        <v>16475</v>
      </c>
      <c r="M16" s="51">
        <v>1.2986</v>
      </c>
      <c r="N16" s="51">
        <v>1.0912999999999999</v>
      </c>
      <c r="O16" s="50">
        <v>109.96</v>
      </c>
      <c r="P16" s="43">
        <v>12686.74</v>
      </c>
      <c r="Q16" s="43">
        <v>12637.32</v>
      </c>
      <c r="R16" s="49">
        <f t="shared" si="3"/>
        <v>15096.673691927061</v>
      </c>
      <c r="S16" s="48">
        <v>1.3017000000000001</v>
      </c>
    </row>
    <row r="17" spans="2:19" x14ac:dyDescent="0.2">
      <c r="B17" s="47">
        <v>43874</v>
      </c>
      <c r="C17" s="46">
        <v>16525</v>
      </c>
      <c r="D17" s="45">
        <v>16530</v>
      </c>
      <c r="E17" s="44">
        <f t="shared" si="0"/>
        <v>16527.5</v>
      </c>
      <c r="F17" s="46">
        <v>16505</v>
      </c>
      <c r="G17" s="45">
        <v>16510</v>
      </c>
      <c r="H17" s="44">
        <f t="shared" si="1"/>
        <v>16507.5</v>
      </c>
      <c r="I17" s="46">
        <v>16395</v>
      </c>
      <c r="J17" s="45">
        <v>16445</v>
      </c>
      <c r="K17" s="44">
        <f t="shared" si="2"/>
        <v>16420</v>
      </c>
      <c r="L17" s="52">
        <v>16530</v>
      </c>
      <c r="M17" s="51">
        <v>1.3031999999999999</v>
      </c>
      <c r="N17" s="51">
        <v>1.0864</v>
      </c>
      <c r="O17" s="50">
        <v>109.73</v>
      </c>
      <c r="P17" s="43">
        <v>12684.16</v>
      </c>
      <c r="Q17" s="43">
        <v>12638.75</v>
      </c>
      <c r="R17" s="49">
        <f t="shared" si="3"/>
        <v>15215.390279823268</v>
      </c>
      <c r="S17" s="48">
        <v>1.3063</v>
      </c>
    </row>
    <row r="18" spans="2:19" x14ac:dyDescent="0.2">
      <c r="B18" s="47">
        <v>43875</v>
      </c>
      <c r="C18" s="46">
        <v>16500</v>
      </c>
      <c r="D18" s="45">
        <v>16525</v>
      </c>
      <c r="E18" s="44">
        <f t="shared" si="0"/>
        <v>16512.5</v>
      </c>
      <c r="F18" s="46">
        <v>16545</v>
      </c>
      <c r="G18" s="45">
        <v>16555</v>
      </c>
      <c r="H18" s="44">
        <f t="shared" si="1"/>
        <v>16550</v>
      </c>
      <c r="I18" s="46">
        <v>16435</v>
      </c>
      <c r="J18" s="45">
        <v>16485</v>
      </c>
      <c r="K18" s="44">
        <f t="shared" si="2"/>
        <v>16460</v>
      </c>
      <c r="L18" s="52">
        <v>16525</v>
      </c>
      <c r="M18" s="51">
        <v>1.3028999999999999</v>
      </c>
      <c r="N18" s="51">
        <v>1.0840000000000001</v>
      </c>
      <c r="O18" s="50">
        <v>109.86</v>
      </c>
      <c r="P18" s="43">
        <v>12683.25</v>
      </c>
      <c r="Q18" s="43">
        <v>12676.11</v>
      </c>
      <c r="R18" s="49">
        <f t="shared" si="3"/>
        <v>15244.464944649446</v>
      </c>
      <c r="S18" s="48">
        <v>1.306</v>
      </c>
    </row>
    <row r="19" spans="2:19" x14ac:dyDescent="0.2">
      <c r="B19" s="47">
        <v>43878</v>
      </c>
      <c r="C19" s="46">
        <v>16625</v>
      </c>
      <c r="D19" s="45">
        <v>16630</v>
      </c>
      <c r="E19" s="44">
        <f t="shared" si="0"/>
        <v>16627.5</v>
      </c>
      <c r="F19" s="46">
        <v>16620</v>
      </c>
      <c r="G19" s="45">
        <v>16630</v>
      </c>
      <c r="H19" s="44">
        <f t="shared" si="1"/>
        <v>16625</v>
      </c>
      <c r="I19" s="46">
        <v>16510</v>
      </c>
      <c r="J19" s="45">
        <v>16560</v>
      </c>
      <c r="K19" s="44">
        <f t="shared" si="2"/>
        <v>16535</v>
      </c>
      <c r="L19" s="52">
        <v>16630</v>
      </c>
      <c r="M19" s="51">
        <v>1.3013999999999999</v>
      </c>
      <c r="N19" s="51">
        <v>1.0837000000000001</v>
      </c>
      <c r="O19" s="50">
        <v>109.88</v>
      </c>
      <c r="P19" s="43">
        <v>12778.55</v>
      </c>
      <c r="Q19" s="43">
        <v>12748.18</v>
      </c>
      <c r="R19" s="49">
        <f t="shared" si="3"/>
        <v>15345.575343729814</v>
      </c>
      <c r="S19" s="48">
        <v>1.3045</v>
      </c>
    </row>
    <row r="20" spans="2:19" x14ac:dyDescent="0.2">
      <c r="B20" s="47">
        <v>43879</v>
      </c>
      <c r="C20" s="46">
        <v>16515</v>
      </c>
      <c r="D20" s="45">
        <v>16520</v>
      </c>
      <c r="E20" s="44">
        <f t="shared" si="0"/>
        <v>16517.5</v>
      </c>
      <c r="F20" s="46">
        <v>16500</v>
      </c>
      <c r="G20" s="45">
        <v>16525</v>
      </c>
      <c r="H20" s="44">
        <f t="shared" si="1"/>
        <v>16512.5</v>
      </c>
      <c r="I20" s="46">
        <v>16405</v>
      </c>
      <c r="J20" s="45">
        <v>16455</v>
      </c>
      <c r="K20" s="44">
        <f t="shared" si="2"/>
        <v>16430</v>
      </c>
      <c r="L20" s="52">
        <v>16520</v>
      </c>
      <c r="M20" s="51">
        <v>1.3031999999999999</v>
      </c>
      <c r="N20" s="51">
        <v>1.0814999999999999</v>
      </c>
      <c r="O20" s="50">
        <v>109.78</v>
      </c>
      <c r="P20" s="43">
        <v>12676.49</v>
      </c>
      <c r="Q20" s="43">
        <v>12650.23</v>
      </c>
      <c r="R20" s="49">
        <f t="shared" si="3"/>
        <v>15275.080906148869</v>
      </c>
      <c r="S20" s="48">
        <v>1.3063</v>
      </c>
    </row>
    <row r="21" spans="2:19" x14ac:dyDescent="0.2">
      <c r="B21" s="47">
        <v>43880</v>
      </c>
      <c r="C21" s="46">
        <v>16525</v>
      </c>
      <c r="D21" s="45">
        <v>16550</v>
      </c>
      <c r="E21" s="44">
        <f t="shared" si="0"/>
        <v>16537.5</v>
      </c>
      <c r="F21" s="46">
        <v>16505</v>
      </c>
      <c r="G21" s="45">
        <v>16510</v>
      </c>
      <c r="H21" s="44">
        <f t="shared" si="1"/>
        <v>16507.5</v>
      </c>
      <c r="I21" s="46">
        <v>16410</v>
      </c>
      <c r="J21" s="45">
        <v>16460</v>
      </c>
      <c r="K21" s="44">
        <f t="shared" si="2"/>
        <v>16435</v>
      </c>
      <c r="L21" s="52">
        <v>16550</v>
      </c>
      <c r="M21" s="51">
        <v>1.2990999999999999</v>
      </c>
      <c r="N21" s="51">
        <v>1.0801000000000001</v>
      </c>
      <c r="O21" s="50">
        <v>110.49</v>
      </c>
      <c r="P21" s="43">
        <v>12739.59</v>
      </c>
      <c r="Q21" s="43">
        <v>12678.54</v>
      </c>
      <c r="R21" s="49">
        <f t="shared" si="3"/>
        <v>15322.655309693546</v>
      </c>
      <c r="S21" s="48">
        <v>1.3022</v>
      </c>
    </row>
    <row r="22" spans="2:19" x14ac:dyDescent="0.2">
      <c r="B22" s="47">
        <v>43881</v>
      </c>
      <c r="C22" s="46">
        <v>16575</v>
      </c>
      <c r="D22" s="45">
        <v>16600</v>
      </c>
      <c r="E22" s="44">
        <f t="shared" si="0"/>
        <v>16587.5</v>
      </c>
      <c r="F22" s="46">
        <v>16575</v>
      </c>
      <c r="G22" s="45">
        <v>16600</v>
      </c>
      <c r="H22" s="44">
        <f t="shared" si="1"/>
        <v>16587.5</v>
      </c>
      <c r="I22" s="46">
        <v>16490</v>
      </c>
      <c r="J22" s="45">
        <v>16540</v>
      </c>
      <c r="K22" s="44">
        <f t="shared" si="2"/>
        <v>16515</v>
      </c>
      <c r="L22" s="52">
        <v>16600</v>
      </c>
      <c r="M22" s="51">
        <v>1.2866</v>
      </c>
      <c r="N22" s="51">
        <v>1.0789</v>
      </c>
      <c r="O22" s="50">
        <v>111.97</v>
      </c>
      <c r="P22" s="43">
        <v>12902.22</v>
      </c>
      <c r="Q22" s="43">
        <v>12870.21</v>
      </c>
      <c r="R22" s="49">
        <f t="shared" si="3"/>
        <v>15386.041338400222</v>
      </c>
      <c r="S22" s="48">
        <v>1.2898000000000001</v>
      </c>
    </row>
    <row r="23" spans="2:19" x14ac:dyDescent="0.2">
      <c r="B23" s="47">
        <v>43882</v>
      </c>
      <c r="C23" s="46">
        <v>16520</v>
      </c>
      <c r="D23" s="45">
        <v>16525</v>
      </c>
      <c r="E23" s="44">
        <f t="shared" si="0"/>
        <v>16522.5</v>
      </c>
      <c r="F23" s="46">
        <v>16500</v>
      </c>
      <c r="G23" s="45">
        <v>16550</v>
      </c>
      <c r="H23" s="44">
        <f t="shared" si="1"/>
        <v>16525</v>
      </c>
      <c r="I23" s="46">
        <v>16425</v>
      </c>
      <c r="J23" s="45">
        <v>16475</v>
      </c>
      <c r="K23" s="44">
        <f t="shared" si="2"/>
        <v>16450</v>
      </c>
      <c r="L23" s="52">
        <v>16525</v>
      </c>
      <c r="M23" s="51">
        <v>1.2927</v>
      </c>
      <c r="N23" s="51">
        <v>1.0797000000000001</v>
      </c>
      <c r="O23" s="50">
        <v>111.99</v>
      </c>
      <c r="P23" s="43">
        <v>12783.32</v>
      </c>
      <c r="Q23" s="43">
        <v>12772.03</v>
      </c>
      <c r="R23" s="49">
        <f t="shared" si="3"/>
        <v>15305.177364082614</v>
      </c>
      <c r="S23" s="48">
        <v>1.2958000000000001</v>
      </c>
    </row>
    <row r="24" spans="2:19" x14ac:dyDescent="0.2">
      <c r="B24" s="47">
        <v>43885</v>
      </c>
      <c r="C24" s="46">
        <v>16505</v>
      </c>
      <c r="D24" s="45">
        <v>16510</v>
      </c>
      <c r="E24" s="44">
        <f t="shared" si="0"/>
        <v>16507.5</v>
      </c>
      <c r="F24" s="46">
        <v>16500</v>
      </c>
      <c r="G24" s="45">
        <v>16525</v>
      </c>
      <c r="H24" s="44">
        <f t="shared" si="1"/>
        <v>16512.5</v>
      </c>
      <c r="I24" s="46">
        <v>16410</v>
      </c>
      <c r="J24" s="45">
        <v>16460</v>
      </c>
      <c r="K24" s="44">
        <f t="shared" si="2"/>
        <v>16435</v>
      </c>
      <c r="L24" s="52">
        <v>16510</v>
      </c>
      <c r="M24" s="51">
        <v>1.292</v>
      </c>
      <c r="N24" s="51">
        <v>1.0819000000000001</v>
      </c>
      <c r="O24" s="50">
        <v>111.34</v>
      </c>
      <c r="P24" s="43">
        <v>12778.64</v>
      </c>
      <c r="Q24" s="43">
        <v>12759.63</v>
      </c>
      <c r="R24" s="49">
        <f t="shared" si="3"/>
        <v>15260.190405767629</v>
      </c>
      <c r="S24" s="48">
        <v>1.2950999999999999</v>
      </c>
    </row>
    <row r="25" spans="2:19" x14ac:dyDescent="0.2">
      <c r="B25" s="47">
        <v>43886</v>
      </c>
      <c r="C25" s="46">
        <v>16625</v>
      </c>
      <c r="D25" s="45">
        <v>16650</v>
      </c>
      <c r="E25" s="44">
        <f t="shared" si="0"/>
        <v>16637.5</v>
      </c>
      <c r="F25" s="46">
        <v>16615</v>
      </c>
      <c r="G25" s="45">
        <v>16635</v>
      </c>
      <c r="H25" s="44">
        <f t="shared" si="1"/>
        <v>16625</v>
      </c>
      <c r="I25" s="46">
        <v>16515</v>
      </c>
      <c r="J25" s="45">
        <v>16565</v>
      </c>
      <c r="K25" s="44">
        <f t="shared" si="2"/>
        <v>16540</v>
      </c>
      <c r="L25" s="52">
        <v>16650</v>
      </c>
      <c r="M25" s="51">
        <v>1.2954000000000001</v>
      </c>
      <c r="N25" s="51">
        <v>1.0835999999999999</v>
      </c>
      <c r="O25" s="50">
        <v>110.68</v>
      </c>
      <c r="P25" s="43">
        <v>12853.17</v>
      </c>
      <c r="Q25" s="43">
        <v>12810.94</v>
      </c>
      <c r="R25" s="49">
        <f t="shared" si="3"/>
        <v>15365.448504983389</v>
      </c>
      <c r="S25" s="48">
        <v>1.2985</v>
      </c>
    </row>
    <row r="26" spans="2:19" x14ac:dyDescent="0.2">
      <c r="B26" s="47">
        <v>43887</v>
      </c>
      <c r="C26" s="46">
        <v>16560</v>
      </c>
      <c r="D26" s="45">
        <v>16570</v>
      </c>
      <c r="E26" s="44">
        <f t="shared" si="0"/>
        <v>16565</v>
      </c>
      <c r="F26" s="46">
        <v>16600</v>
      </c>
      <c r="G26" s="45">
        <v>16625</v>
      </c>
      <c r="H26" s="44">
        <f t="shared" si="1"/>
        <v>16612.5</v>
      </c>
      <c r="I26" s="46">
        <v>16510</v>
      </c>
      <c r="J26" s="45">
        <v>16560</v>
      </c>
      <c r="K26" s="44">
        <f t="shared" si="2"/>
        <v>16535</v>
      </c>
      <c r="L26" s="52">
        <v>16570</v>
      </c>
      <c r="M26" s="51">
        <v>1.2927999999999999</v>
      </c>
      <c r="N26" s="51">
        <v>1.0869</v>
      </c>
      <c r="O26" s="50">
        <v>110.48</v>
      </c>
      <c r="P26" s="43">
        <v>12817.14</v>
      </c>
      <c r="Q26" s="43">
        <v>12828.92</v>
      </c>
      <c r="R26" s="49">
        <f t="shared" si="3"/>
        <v>15245.192750023001</v>
      </c>
      <c r="S26" s="48">
        <v>1.2959000000000001</v>
      </c>
    </row>
    <row r="27" spans="2:19" x14ac:dyDescent="0.2">
      <c r="B27" s="47">
        <v>43888</v>
      </c>
      <c r="C27" s="46">
        <v>16345</v>
      </c>
      <c r="D27" s="45">
        <v>16350</v>
      </c>
      <c r="E27" s="44">
        <f t="shared" si="0"/>
        <v>16347.5</v>
      </c>
      <c r="F27" s="46">
        <v>16350</v>
      </c>
      <c r="G27" s="45">
        <v>16375</v>
      </c>
      <c r="H27" s="44">
        <f t="shared" si="1"/>
        <v>16362.5</v>
      </c>
      <c r="I27" s="46">
        <v>16265</v>
      </c>
      <c r="J27" s="45">
        <v>16315</v>
      </c>
      <c r="K27" s="44">
        <f t="shared" si="2"/>
        <v>16290</v>
      </c>
      <c r="L27" s="52">
        <v>16350</v>
      </c>
      <c r="M27" s="51">
        <v>1.2892999999999999</v>
      </c>
      <c r="N27" s="51">
        <v>1.0964</v>
      </c>
      <c r="O27" s="50">
        <v>109.88</v>
      </c>
      <c r="P27" s="43">
        <v>12681.3</v>
      </c>
      <c r="Q27" s="43">
        <v>12671.21</v>
      </c>
      <c r="R27" s="49">
        <f t="shared" si="3"/>
        <v>14912.440715067492</v>
      </c>
      <c r="S27" s="48">
        <v>1.2923</v>
      </c>
    </row>
    <row r="28" spans="2:19" x14ac:dyDescent="0.2">
      <c r="B28" s="47">
        <v>43889</v>
      </c>
      <c r="C28" s="46">
        <v>16200</v>
      </c>
      <c r="D28" s="45">
        <v>16225</v>
      </c>
      <c r="E28" s="44">
        <f t="shared" si="0"/>
        <v>16212.5</v>
      </c>
      <c r="F28" s="46">
        <v>16175</v>
      </c>
      <c r="G28" s="45">
        <v>16225</v>
      </c>
      <c r="H28" s="44">
        <f t="shared" si="1"/>
        <v>16200</v>
      </c>
      <c r="I28" s="46">
        <v>16105</v>
      </c>
      <c r="J28" s="45">
        <v>16155</v>
      </c>
      <c r="K28" s="44">
        <f t="shared" si="2"/>
        <v>16130</v>
      </c>
      <c r="L28" s="52">
        <v>16225</v>
      </c>
      <c r="M28" s="51">
        <v>1.2875000000000001</v>
      </c>
      <c r="N28" s="51">
        <v>1.0987</v>
      </c>
      <c r="O28" s="50">
        <v>108.69</v>
      </c>
      <c r="P28" s="43">
        <v>12601.94</v>
      </c>
      <c r="Q28" s="43">
        <v>12572.65</v>
      </c>
      <c r="R28" s="49">
        <f t="shared" si="3"/>
        <v>14767.452443797214</v>
      </c>
      <c r="S28" s="48">
        <v>1.2905</v>
      </c>
    </row>
    <row r="29" spans="2:19" s="10" customFormat="1" x14ac:dyDescent="0.2">
      <c r="B29" s="42" t="s">
        <v>11</v>
      </c>
      <c r="C29" s="41">
        <f>ROUND(AVERAGE(C9:C28),2)</f>
        <v>16438</v>
      </c>
      <c r="D29" s="40">
        <f>ROUND(AVERAGE(D9:D28),2)</f>
        <v>16456.5</v>
      </c>
      <c r="E29" s="39">
        <f>ROUND(AVERAGE(C29:D29),2)</f>
        <v>16447.25</v>
      </c>
      <c r="F29" s="41">
        <f>ROUND(AVERAGE(F9:F28),2)</f>
        <v>16430.25</v>
      </c>
      <c r="G29" s="40">
        <f>ROUND(AVERAGE(G9:G28),2)</f>
        <v>16457</v>
      </c>
      <c r="H29" s="39">
        <f>ROUND(AVERAGE(F29:G29),2)</f>
        <v>16443.63</v>
      </c>
      <c r="I29" s="41">
        <f>ROUND(AVERAGE(I9:I28),2)</f>
        <v>16330.5</v>
      </c>
      <c r="J29" s="40">
        <f>ROUND(AVERAGE(J9:J28),2)</f>
        <v>16380.5</v>
      </c>
      <c r="K29" s="39">
        <f>ROUND(AVERAGE(I29:J29),2)</f>
        <v>16355.5</v>
      </c>
      <c r="L29" s="38">
        <f>ROUND(AVERAGE(L9:L28),2)</f>
        <v>16456.5</v>
      </c>
      <c r="M29" s="37">
        <f>ROUND(AVERAGE(M9:M28),4)</f>
        <v>1.2968</v>
      </c>
      <c r="N29" s="36">
        <f>ROUND(AVERAGE(N9:N28),4)</f>
        <v>1.0905</v>
      </c>
      <c r="O29" s="175">
        <f>ROUND(AVERAGE(O9:O28),2)</f>
        <v>110.07</v>
      </c>
      <c r="P29" s="35">
        <f>AVERAGE(P9:P28)</f>
        <v>12690.804999999998</v>
      </c>
      <c r="Q29" s="35">
        <f>AVERAGE(Q9:Q28)</f>
        <v>12661.021500000001</v>
      </c>
      <c r="R29" s="35">
        <f>AVERAGE(R9:R28)</f>
        <v>15093.2010828614</v>
      </c>
      <c r="S29" s="34">
        <f>AVERAGE(S9:S28)</f>
        <v>1.2998450000000001</v>
      </c>
    </row>
    <row r="30" spans="2:19" s="5" customFormat="1" x14ac:dyDescent="0.2">
      <c r="B30" s="33" t="s">
        <v>12</v>
      </c>
      <c r="C30" s="32">
        <f t="shared" ref="C30:S30" si="4">MAX(C9:C28)</f>
        <v>16625</v>
      </c>
      <c r="D30" s="31">
        <f t="shared" si="4"/>
        <v>16650</v>
      </c>
      <c r="E30" s="30">
        <f t="shared" si="4"/>
        <v>16637.5</v>
      </c>
      <c r="F30" s="32">
        <f t="shared" si="4"/>
        <v>16620</v>
      </c>
      <c r="G30" s="31">
        <f t="shared" si="4"/>
        <v>16635</v>
      </c>
      <c r="H30" s="30">
        <f t="shared" si="4"/>
        <v>16625</v>
      </c>
      <c r="I30" s="32">
        <f t="shared" si="4"/>
        <v>16515</v>
      </c>
      <c r="J30" s="31">
        <f t="shared" si="4"/>
        <v>16565</v>
      </c>
      <c r="K30" s="30">
        <f t="shared" si="4"/>
        <v>16540</v>
      </c>
      <c r="L30" s="29">
        <f t="shared" si="4"/>
        <v>16650</v>
      </c>
      <c r="M30" s="28">
        <f t="shared" si="4"/>
        <v>1.3056000000000001</v>
      </c>
      <c r="N30" s="27">
        <f t="shared" si="4"/>
        <v>1.1067</v>
      </c>
      <c r="O30" s="26">
        <f t="shared" si="4"/>
        <v>111.99</v>
      </c>
      <c r="P30" s="25">
        <f t="shared" si="4"/>
        <v>12902.22</v>
      </c>
      <c r="Q30" s="25">
        <f t="shared" si="4"/>
        <v>12870.21</v>
      </c>
      <c r="R30" s="25">
        <f t="shared" si="4"/>
        <v>15386.041338400222</v>
      </c>
      <c r="S30" s="24">
        <f t="shared" si="4"/>
        <v>1.3087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16150</v>
      </c>
      <c r="D31" s="21">
        <f t="shared" si="5"/>
        <v>16155</v>
      </c>
      <c r="E31" s="20">
        <f t="shared" si="5"/>
        <v>16152.5</v>
      </c>
      <c r="F31" s="22">
        <f t="shared" si="5"/>
        <v>16175</v>
      </c>
      <c r="G31" s="21">
        <f t="shared" si="5"/>
        <v>16200</v>
      </c>
      <c r="H31" s="20">
        <f t="shared" si="5"/>
        <v>16197.5</v>
      </c>
      <c r="I31" s="22">
        <f t="shared" si="5"/>
        <v>16070</v>
      </c>
      <c r="J31" s="21">
        <f t="shared" si="5"/>
        <v>16120</v>
      </c>
      <c r="K31" s="20">
        <f t="shared" si="5"/>
        <v>16095</v>
      </c>
      <c r="L31" s="19">
        <f t="shared" si="5"/>
        <v>16155</v>
      </c>
      <c r="M31" s="18">
        <f t="shared" si="5"/>
        <v>1.2866</v>
      </c>
      <c r="N31" s="17">
        <f t="shared" si="5"/>
        <v>1.0789</v>
      </c>
      <c r="O31" s="16">
        <f t="shared" si="5"/>
        <v>108.52</v>
      </c>
      <c r="P31" s="15">
        <f t="shared" si="5"/>
        <v>12415.46</v>
      </c>
      <c r="Q31" s="15">
        <f t="shared" si="5"/>
        <v>12397.8</v>
      </c>
      <c r="R31" s="15">
        <f t="shared" si="5"/>
        <v>14627.852227453821</v>
      </c>
      <c r="S31" s="14">
        <f t="shared" si="5"/>
        <v>1.2898000000000001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43864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43864</v>
      </c>
      <c r="C9" s="46">
        <v>12745</v>
      </c>
      <c r="D9" s="45">
        <v>12750</v>
      </c>
      <c r="E9" s="44">
        <f t="shared" ref="E9:E28" si="0">AVERAGE(C9:D9)</f>
        <v>12747.5</v>
      </c>
      <c r="F9" s="46">
        <v>12835</v>
      </c>
      <c r="G9" s="45">
        <v>12850</v>
      </c>
      <c r="H9" s="44">
        <f t="shared" ref="H9:H28" si="1">AVERAGE(F9:G9)</f>
        <v>12842.5</v>
      </c>
      <c r="I9" s="46">
        <v>13245</v>
      </c>
      <c r="J9" s="45">
        <v>13295</v>
      </c>
      <c r="K9" s="44">
        <f t="shared" ref="K9:K28" si="2">AVERAGE(I9:J9)</f>
        <v>13270</v>
      </c>
      <c r="L9" s="46">
        <v>13505</v>
      </c>
      <c r="M9" s="45">
        <v>13555</v>
      </c>
      <c r="N9" s="44">
        <f t="shared" ref="N9:N28" si="3">AVERAGE(L9:M9)</f>
        <v>13530</v>
      </c>
      <c r="O9" s="46">
        <v>13775</v>
      </c>
      <c r="P9" s="45">
        <v>13825</v>
      </c>
      <c r="Q9" s="44">
        <f t="shared" ref="Q9:Q28" si="4">AVERAGE(O9:P9)</f>
        <v>13800</v>
      </c>
      <c r="R9" s="52">
        <v>12750</v>
      </c>
      <c r="S9" s="51">
        <v>1.3056000000000001</v>
      </c>
      <c r="T9" s="53">
        <v>1.1067</v>
      </c>
      <c r="U9" s="50">
        <v>108.52</v>
      </c>
      <c r="V9" s="43">
        <v>9765.6299999999992</v>
      </c>
      <c r="W9" s="43">
        <v>9818.9</v>
      </c>
      <c r="X9" s="49">
        <f t="shared" ref="X9:X28" si="5">R9/T9</f>
        <v>11520.737327188939</v>
      </c>
      <c r="Y9" s="48">
        <v>1.3087</v>
      </c>
    </row>
    <row r="10" spans="1:25" x14ac:dyDescent="0.2">
      <c r="B10" s="47">
        <v>43865</v>
      </c>
      <c r="C10" s="46">
        <v>12775</v>
      </c>
      <c r="D10" s="45">
        <v>12800</v>
      </c>
      <c r="E10" s="44">
        <f t="shared" si="0"/>
        <v>12787.5</v>
      </c>
      <c r="F10" s="46">
        <v>12850</v>
      </c>
      <c r="G10" s="45">
        <v>12875</v>
      </c>
      <c r="H10" s="44">
        <f t="shared" si="1"/>
        <v>12862.5</v>
      </c>
      <c r="I10" s="46">
        <v>13270</v>
      </c>
      <c r="J10" s="45">
        <v>13320</v>
      </c>
      <c r="K10" s="44">
        <f t="shared" si="2"/>
        <v>13295</v>
      </c>
      <c r="L10" s="46">
        <v>13530</v>
      </c>
      <c r="M10" s="45">
        <v>13580</v>
      </c>
      <c r="N10" s="44">
        <f t="shared" si="3"/>
        <v>13555</v>
      </c>
      <c r="O10" s="46">
        <v>13800</v>
      </c>
      <c r="P10" s="45">
        <v>13850</v>
      </c>
      <c r="Q10" s="44">
        <f t="shared" si="4"/>
        <v>13825</v>
      </c>
      <c r="R10" s="52">
        <v>12800</v>
      </c>
      <c r="S10" s="51">
        <v>1.3011999999999999</v>
      </c>
      <c r="T10" s="51">
        <v>1.1044</v>
      </c>
      <c r="U10" s="50">
        <v>109.14</v>
      </c>
      <c r="V10" s="43">
        <v>9837.07</v>
      </c>
      <c r="W10" s="43">
        <v>9871.2000000000007</v>
      </c>
      <c r="X10" s="49">
        <f t="shared" si="5"/>
        <v>11590.003621876131</v>
      </c>
      <c r="Y10" s="48">
        <v>1.3043</v>
      </c>
    </row>
    <row r="11" spans="1:25" x14ac:dyDescent="0.2">
      <c r="B11" s="47">
        <v>43866</v>
      </c>
      <c r="C11" s="46">
        <v>13000</v>
      </c>
      <c r="D11" s="45">
        <v>13005</v>
      </c>
      <c r="E11" s="44">
        <f t="shared" si="0"/>
        <v>13002.5</v>
      </c>
      <c r="F11" s="46">
        <v>13070</v>
      </c>
      <c r="G11" s="45">
        <v>13075</v>
      </c>
      <c r="H11" s="44">
        <f t="shared" si="1"/>
        <v>13072.5</v>
      </c>
      <c r="I11" s="46">
        <v>13480</v>
      </c>
      <c r="J11" s="45">
        <v>13530</v>
      </c>
      <c r="K11" s="44">
        <f t="shared" si="2"/>
        <v>13505</v>
      </c>
      <c r="L11" s="46">
        <v>13740</v>
      </c>
      <c r="M11" s="45">
        <v>13790</v>
      </c>
      <c r="N11" s="44">
        <f t="shared" si="3"/>
        <v>13765</v>
      </c>
      <c r="O11" s="46">
        <v>14010</v>
      </c>
      <c r="P11" s="45">
        <v>14060</v>
      </c>
      <c r="Q11" s="44">
        <f t="shared" si="4"/>
        <v>14035</v>
      </c>
      <c r="R11" s="52">
        <v>13005</v>
      </c>
      <c r="S11" s="51">
        <v>1.3047</v>
      </c>
      <c r="T11" s="51">
        <v>1.1023000000000001</v>
      </c>
      <c r="U11" s="50">
        <v>109.69</v>
      </c>
      <c r="V11" s="43">
        <v>9967.81</v>
      </c>
      <c r="W11" s="43">
        <v>9997.7099999999991</v>
      </c>
      <c r="X11" s="49">
        <f t="shared" si="5"/>
        <v>11798.058604735552</v>
      </c>
      <c r="Y11" s="48">
        <v>1.3078000000000001</v>
      </c>
    </row>
    <row r="12" spans="1:25" x14ac:dyDescent="0.2">
      <c r="B12" s="47">
        <v>43867</v>
      </c>
      <c r="C12" s="46">
        <v>13005</v>
      </c>
      <c r="D12" s="45">
        <v>13010</v>
      </c>
      <c r="E12" s="44">
        <f t="shared" si="0"/>
        <v>13007.5</v>
      </c>
      <c r="F12" s="46">
        <v>13075</v>
      </c>
      <c r="G12" s="45">
        <v>13080</v>
      </c>
      <c r="H12" s="44">
        <f t="shared" si="1"/>
        <v>13077.5</v>
      </c>
      <c r="I12" s="46">
        <v>13485</v>
      </c>
      <c r="J12" s="45">
        <v>13535</v>
      </c>
      <c r="K12" s="44">
        <f t="shared" si="2"/>
        <v>13510</v>
      </c>
      <c r="L12" s="46">
        <v>13735</v>
      </c>
      <c r="M12" s="45">
        <v>13785</v>
      </c>
      <c r="N12" s="44">
        <f t="shared" si="3"/>
        <v>13760</v>
      </c>
      <c r="O12" s="46">
        <v>14005</v>
      </c>
      <c r="P12" s="45">
        <v>14055</v>
      </c>
      <c r="Q12" s="44">
        <f t="shared" si="4"/>
        <v>14030</v>
      </c>
      <c r="R12" s="52">
        <v>13010</v>
      </c>
      <c r="S12" s="51">
        <v>1.2974000000000001</v>
      </c>
      <c r="T12" s="51">
        <v>1.1002000000000001</v>
      </c>
      <c r="U12" s="50">
        <v>109.86</v>
      </c>
      <c r="V12" s="43">
        <v>10027.75</v>
      </c>
      <c r="W12" s="43">
        <v>10057.67</v>
      </c>
      <c r="X12" s="49">
        <f t="shared" si="5"/>
        <v>11825.122704962734</v>
      </c>
      <c r="Y12" s="48">
        <v>1.3005</v>
      </c>
    </row>
    <row r="13" spans="1:25" x14ac:dyDescent="0.2">
      <c r="B13" s="47">
        <v>43868</v>
      </c>
      <c r="C13" s="46">
        <v>12760</v>
      </c>
      <c r="D13" s="45">
        <v>12770</v>
      </c>
      <c r="E13" s="44">
        <f t="shared" si="0"/>
        <v>12765</v>
      </c>
      <c r="F13" s="46">
        <v>12850</v>
      </c>
      <c r="G13" s="45">
        <v>12855</v>
      </c>
      <c r="H13" s="44">
        <f t="shared" si="1"/>
        <v>12852.5</v>
      </c>
      <c r="I13" s="46">
        <v>13265</v>
      </c>
      <c r="J13" s="45">
        <v>13315</v>
      </c>
      <c r="K13" s="44">
        <f t="shared" si="2"/>
        <v>13290</v>
      </c>
      <c r="L13" s="46">
        <v>13530</v>
      </c>
      <c r="M13" s="45">
        <v>13580</v>
      </c>
      <c r="N13" s="44">
        <f t="shared" si="3"/>
        <v>13555</v>
      </c>
      <c r="O13" s="46">
        <v>13800</v>
      </c>
      <c r="P13" s="45">
        <v>13850</v>
      </c>
      <c r="Q13" s="44">
        <f t="shared" si="4"/>
        <v>13825</v>
      </c>
      <c r="R13" s="52">
        <v>12770</v>
      </c>
      <c r="S13" s="51">
        <v>1.2947</v>
      </c>
      <c r="T13" s="51">
        <v>1.0965</v>
      </c>
      <c r="U13" s="50">
        <v>109.88</v>
      </c>
      <c r="V13" s="43">
        <v>9863.2900000000009</v>
      </c>
      <c r="W13" s="43">
        <v>9905.2199999999993</v>
      </c>
      <c r="X13" s="49">
        <f t="shared" si="5"/>
        <v>11646.146830825353</v>
      </c>
      <c r="Y13" s="48">
        <v>1.2978000000000001</v>
      </c>
    </row>
    <row r="14" spans="1:25" x14ac:dyDescent="0.2">
      <c r="B14" s="47">
        <v>43871</v>
      </c>
      <c r="C14" s="46">
        <v>12875</v>
      </c>
      <c r="D14" s="45">
        <v>12880</v>
      </c>
      <c r="E14" s="44">
        <f t="shared" si="0"/>
        <v>12877.5</v>
      </c>
      <c r="F14" s="46">
        <v>12960</v>
      </c>
      <c r="G14" s="45">
        <v>12970</v>
      </c>
      <c r="H14" s="44">
        <f t="shared" si="1"/>
        <v>12965</v>
      </c>
      <c r="I14" s="46">
        <v>13375</v>
      </c>
      <c r="J14" s="45">
        <v>13425</v>
      </c>
      <c r="K14" s="44">
        <f t="shared" si="2"/>
        <v>13400</v>
      </c>
      <c r="L14" s="46">
        <v>13640</v>
      </c>
      <c r="M14" s="45">
        <v>13690</v>
      </c>
      <c r="N14" s="44">
        <f t="shared" si="3"/>
        <v>13665</v>
      </c>
      <c r="O14" s="46">
        <v>13910</v>
      </c>
      <c r="P14" s="45">
        <v>13960</v>
      </c>
      <c r="Q14" s="44">
        <f t="shared" si="4"/>
        <v>13935</v>
      </c>
      <c r="R14" s="52">
        <v>12880</v>
      </c>
      <c r="S14" s="51">
        <v>1.2932999999999999</v>
      </c>
      <c r="T14" s="51">
        <v>1.0949</v>
      </c>
      <c r="U14" s="50">
        <v>109.75</v>
      </c>
      <c r="V14" s="43">
        <v>9959.02</v>
      </c>
      <c r="W14" s="43">
        <v>10004.629999999999</v>
      </c>
      <c r="X14" s="49">
        <f t="shared" si="5"/>
        <v>11763.631381861358</v>
      </c>
      <c r="Y14" s="48">
        <v>1.2964</v>
      </c>
    </row>
    <row r="15" spans="1:25" x14ac:dyDescent="0.2">
      <c r="B15" s="47">
        <v>43872</v>
      </c>
      <c r="C15" s="46">
        <v>13075</v>
      </c>
      <c r="D15" s="45">
        <v>13100</v>
      </c>
      <c r="E15" s="44">
        <f t="shared" si="0"/>
        <v>13087.5</v>
      </c>
      <c r="F15" s="46">
        <v>13125</v>
      </c>
      <c r="G15" s="45">
        <v>13150</v>
      </c>
      <c r="H15" s="44">
        <f t="shared" si="1"/>
        <v>13137.5</v>
      </c>
      <c r="I15" s="46">
        <v>13550</v>
      </c>
      <c r="J15" s="45">
        <v>13600</v>
      </c>
      <c r="K15" s="44">
        <f t="shared" si="2"/>
        <v>13575</v>
      </c>
      <c r="L15" s="46">
        <v>13815</v>
      </c>
      <c r="M15" s="45">
        <v>13865</v>
      </c>
      <c r="N15" s="44">
        <f t="shared" si="3"/>
        <v>13840</v>
      </c>
      <c r="O15" s="46">
        <v>14085</v>
      </c>
      <c r="P15" s="45">
        <v>14135</v>
      </c>
      <c r="Q15" s="44">
        <f t="shared" si="4"/>
        <v>14110</v>
      </c>
      <c r="R15" s="52">
        <v>13100</v>
      </c>
      <c r="S15" s="51">
        <v>1.2934000000000001</v>
      </c>
      <c r="T15" s="51">
        <v>1.0909</v>
      </c>
      <c r="U15" s="50">
        <v>109.85</v>
      </c>
      <c r="V15" s="43">
        <v>10128.34</v>
      </c>
      <c r="W15" s="43">
        <v>10142.69</v>
      </c>
      <c r="X15" s="49">
        <f t="shared" si="5"/>
        <v>12008.433403611696</v>
      </c>
      <c r="Y15" s="48">
        <v>1.2965</v>
      </c>
    </row>
    <row r="16" spans="1:25" x14ac:dyDescent="0.2">
      <c r="B16" s="47">
        <v>43873</v>
      </c>
      <c r="C16" s="46">
        <v>13045</v>
      </c>
      <c r="D16" s="45">
        <v>13050</v>
      </c>
      <c r="E16" s="44">
        <f t="shared" si="0"/>
        <v>13047.5</v>
      </c>
      <c r="F16" s="46">
        <v>13130</v>
      </c>
      <c r="G16" s="45">
        <v>13140</v>
      </c>
      <c r="H16" s="44">
        <f t="shared" si="1"/>
        <v>13135</v>
      </c>
      <c r="I16" s="46">
        <v>13550</v>
      </c>
      <c r="J16" s="45">
        <v>13600</v>
      </c>
      <c r="K16" s="44">
        <f t="shared" si="2"/>
        <v>13575</v>
      </c>
      <c r="L16" s="46">
        <v>13815</v>
      </c>
      <c r="M16" s="45">
        <v>13865</v>
      </c>
      <c r="N16" s="44">
        <f t="shared" si="3"/>
        <v>13840</v>
      </c>
      <c r="O16" s="46">
        <v>14085</v>
      </c>
      <c r="P16" s="45">
        <v>14135</v>
      </c>
      <c r="Q16" s="44">
        <f t="shared" si="4"/>
        <v>14110</v>
      </c>
      <c r="R16" s="52">
        <v>13050</v>
      </c>
      <c r="S16" s="51">
        <v>1.2986</v>
      </c>
      <c r="T16" s="51">
        <v>1.0912999999999999</v>
      </c>
      <c r="U16" s="50">
        <v>109.96</v>
      </c>
      <c r="V16" s="43">
        <v>10049.280000000001</v>
      </c>
      <c r="W16" s="43">
        <v>10094.49</v>
      </c>
      <c r="X16" s="49">
        <f t="shared" si="5"/>
        <v>11958.21497296802</v>
      </c>
      <c r="Y16" s="48">
        <v>1.3017000000000001</v>
      </c>
    </row>
    <row r="17" spans="2:25" x14ac:dyDescent="0.2">
      <c r="B17" s="47">
        <v>43874</v>
      </c>
      <c r="C17" s="46">
        <v>13060</v>
      </c>
      <c r="D17" s="45">
        <v>13065</v>
      </c>
      <c r="E17" s="44">
        <f t="shared" si="0"/>
        <v>13062.5</v>
      </c>
      <c r="F17" s="46">
        <v>13125</v>
      </c>
      <c r="G17" s="45">
        <v>13130</v>
      </c>
      <c r="H17" s="44">
        <f t="shared" si="1"/>
        <v>13127.5</v>
      </c>
      <c r="I17" s="46">
        <v>13545</v>
      </c>
      <c r="J17" s="45">
        <v>13595</v>
      </c>
      <c r="K17" s="44">
        <f t="shared" si="2"/>
        <v>13570</v>
      </c>
      <c r="L17" s="46">
        <v>13805</v>
      </c>
      <c r="M17" s="45">
        <v>13855</v>
      </c>
      <c r="N17" s="44">
        <f t="shared" si="3"/>
        <v>13830</v>
      </c>
      <c r="O17" s="46">
        <v>14075</v>
      </c>
      <c r="P17" s="45">
        <v>14125</v>
      </c>
      <c r="Q17" s="44">
        <f t="shared" si="4"/>
        <v>14100</v>
      </c>
      <c r="R17" s="52">
        <v>13065</v>
      </c>
      <c r="S17" s="51">
        <v>1.3031999999999999</v>
      </c>
      <c r="T17" s="51">
        <v>1.0864</v>
      </c>
      <c r="U17" s="50">
        <v>109.73</v>
      </c>
      <c r="V17" s="43">
        <v>10025.32</v>
      </c>
      <c r="W17" s="43">
        <v>10051.290000000001</v>
      </c>
      <c r="X17" s="49">
        <f t="shared" si="5"/>
        <v>12025.957290132548</v>
      </c>
      <c r="Y17" s="48">
        <v>1.3063</v>
      </c>
    </row>
    <row r="18" spans="2:25" x14ac:dyDescent="0.2">
      <c r="B18" s="47">
        <v>43875</v>
      </c>
      <c r="C18" s="46">
        <v>13025</v>
      </c>
      <c r="D18" s="45">
        <v>13035</v>
      </c>
      <c r="E18" s="44">
        <f t="shared" si="0"/>
        <v>13030</v>
      </c>
      <c r="F18" s="46">
        <v>13145</v>
      </c>
      <c r="G18" s="45">
        <v>13150</v>
      </c>
      <c r="H18" s="44">
        <f t="shared" si="1"/>
        <v>13147.5</v>
      </c>
      <c r="I18" s="46">
        <v>13580</v>
      </c>
      <c r="J18" s="45">
        <v>13630</v>
      </c>
      <c r="K18" s="44">
        <f t="shared" si="2"/>
        <v>13605</v>
      </c>
      <c r="L18" s="46">
        <v>13845</v>
      </c>
      <c r="M18" s="45">
        <v>13895</v>
      </c>
      <c r="N18" s="44">
        <f t="shared" si="3"/>
        <v>13870</v>
      </c>
      <c r="O18" s="46">
        <v>14115</v>
      </c>
      <c r="P18" s="45">
        <v>14165</v>
      </c>
      <c r="Q18" s="44">
        <f t="shared" si="4"/>
        <v>14140</v>
      </c>
      <c r="R18" s="52">
        <v>13035</v>
      </c>
      <c r="S18" s="51">
        <v>1.3028999999999999</v>
      </c>
      <c r="T18" s="51">
        <v>1.0840000000000001</v>
      </c>
      <c r="U18" s="50">
        <v>109.86</v>
      </c>
      <c r="V18" s="43">
        <v>10004.61</v>
      </c>
      <c r="W18" s="43">
        <v>10068.91</v>
      </c>
      <c r="X18" s="49">
        <f t="shared" si="5"/>
        <v>12024.907749077491</v>
      </c>
      <c r="Y18" s="48">
        <v>1.306</v>
      </c>
    </row>
    <row r="19" spans="2:25" x14ac:dyDescent="0.2">
      <c r="B19" s="47">
        <v>43878</v>
      </c>
      <c r="C19" s="46">
        <v>13065</v>
      </c>
      <c r="D19" s="45">
        <v>13070</v>
      </c>
      <c r="E19" s="44">
        <f t="shared" si="0"/>
        <v>13067.5</v>
      </c>
      <c r="F19" s="46">
        <v>13075</v>
      </c>
      <c r="G19" s="45">
        <v>13080</v>
      </c>
      <c r="H19" s="44">
        <f t="shared" si="1"/>
        <v>13077.5</v>
      </c>
      <c r="I19" s="46">
        <v>13505</v>
      </c>
      <c r="J19" s="45">
        <v>13555</v>
      </c>
      <c r="K19" s="44">
        <f t="shared" si="2"/>
        <v>13530</v>
      </c>
      <c r="L19" s="46">
        <v>13770</v>
      </c>
      <c r="M19" s="45">
        <v>13820</v>
      </c>
      <c r="N19" s="44">
        <f t="shared" si="3"/>
        <v>13795</v>
      </c>
      <c r="O19" s="46">
        <v>14040</v>
      </c>
      <c r="P19" s="45">
        <v>14090</v>
      </c>
      <c r="Q19" s="44">
        <f t="shared" si="4"/>
        <v>14065</v>
      </c>
      <c r="R19" s="52">
        <v>13070</v>
      </c>
      <c r="S19" s="51">
        <v>1.3013999999999999</v>
      </c>
      <c r="T19" s="51">
        <v>1.0837000000000001</v>
      </c>
      <c r="U19" s="50">
        <v>109.88</v>
      </c>
      <c r="V19" s="43">
        <v>10043.030000000001</v>
      </c>
      <c r="W19" s="43">
        <v>10026.83</v>
      </c>
      <c r="X19" s="49">
        <f t="shared" si="5"/>
        <v>12060.533357940389</v>
      </c>
      <c r="Y19" s="48">
        <v>1.3045</v>
      </c>
    </row>
    <row r="20" spans="2:25" x14ac:dyDescent="0.2">
      <c r="B20" s="47">
        <v>43879</v>
      </c>
      <c r="C20" s="46">
        <v>12875</v>
      </c>
      <c r="D20" s="45">
        <v>12880</v>
      </c>
      <c r="E20" s="44">
        <f t="shared" si="0"/>
        <v>12877.5</v>
      </c>
      <c r="F20" s="46">
        <v>12955</v>
      </c>
      <c r="G20" s="45">
        <v>12960</v>
      </c>
      <c r="H20" s="44">
        <f t="shared" si="1"/>
        <v>12957.5</v>
      </c>
      <c r="I20" s="46">
        <v>13385</v>
      </c>
      <c r="J20" s="45">
        <v>13435</v>
      </c>
      <c r="K20" s="44">
        <f t="shared" si="2"/>
        <v>13410</v>
      </c>
      <c r="L20" s="46">
        <v>13650</v>
      </c>
      <c r="M20" s="45">
        <v>13700</v>
      </c>
      <c r="N20" s="44">
        <f t="shared" si="3"/>
        <v>13675</v>
      </c>
      <c r="O20" s="46">
        <v>13920</v>
      </c>
      <c r="P20" s="45">
        <v>13970</v>
      </c>
      <c r="Q20" s="44">
        <f t="shared" si="4"/>
        <v>13945</v>
      </c>
      <c r="R20" s="52">
        <v>12880</v>
      </c>
      <c r="S20" s="51">
        <v>1.3031999999999999</v>
      </c>
      <c r="T20" s="51">
        <v>1.0814999999999999</v>
      </c>
      <c r="U20" s="50">
        <v>109.78</v>
      </c>
      <c r="V20" s="43">
        <v>9883.36</v>
      </c>
      <c r="W20" s="43">
        <v>9921.15</v>
      </c>
      <c r="X20" s="49">
        <f t="shared" si="5"/>
        <v>11909.385113268609</v>
      </c>
      <c r="Y20" s="48">
        <v>1.3063</v>
      </c>
    </row>
    <row r="21" spans="2:25" x14ac:dyDescent="0.2">
      <c r="B21" s="47">
        <v>43880</v>
      </c>
      <c r="C21" s="46">
        <v>12695</v>
      </c>
      <c r="D21" s="45">
        <v>12700</v>
      </c>
      <c r="E21" s="44">
        <f t="shared" si="0"/>
        <v>12697.5</v>
      </c>
      <c r="F21" s="46">
        <v>12775</v>
      </c>
      <c r="G21" s="45">
        <v>12780</v>
      </c>
      <c r="H21" s="44">
        <f t="shared" si="1"/>
        <v>12777.5</v>
      </c>
      <c r="I21" s="46">
        <v>13210</v>
      </c>
      <c r="J21" s="45">
        <v>13260</v>
      </c>
      <c r="K21" s="44">
        <f t="shared" si="2"/>
        <v>13235</v>
      </c>
      <c r="L21" s="46">
        <v>13475</v>
      </c>
      <c r="M21" s="45">
        <v>13525</v>
      </c>
      <c r="N21" s="44">
        <f t="shared" si="3"/>
        <v>13500</v>
      </c>
      <c r="O21" s="46">
        <v>13745</v>
      </c>
      <c r="P21" s="45">
        <v>13795</v>
      </c>
      <c r="Q21" s="44">
        <f t="shared" si="4"/>
        <v>13770</v>
      </c>
      <c r="R21" s="52">
        <v>12700</v>
      </c>
      <c r="S21" s="51">
        <v>1.2990999999999999</v>
      </c>
      <c r="T21" s="51">
        <v>1.0801000000000001</v>
      </c>
      <c r="U21" s="50">
        <v>110.49</v>
      </c>
      <c r="V21" s="43">
        <v>9776</v>
      </c>
      <c r="W21" s="43">
        <v>9814.16</v>
      </c>
      <c r="X21" s="49">
        <f t="shared" si="5"/>
        <v>11758.170539764837</v>
      </c>
      <c r="Y21" s="48">
        <v>1.3022</v>
      </c>
    </row>
    <row r="22" spans="2:25" x14ac:dyDescent="0.2">
      <c r="B22" s="47">
        <v>43881</v>
      </c>
      <c r="C22" s="46">
        <v>12680</v>
      </c>
      <c r="D22" s="45">
        <v>12685</v>
      </c>
      <c r="E22" s="44">
        <f t="shared" si="0"/>
        <v>12682.5</v>
      </c>
      <c r="F22" s="46">
        <v>12770</v>
      </c>
      <c r="G22" s="45">
        <v>12790</v>
      </c>
      <c r="H22" s="44">
        <f t="shared" si="1"/>
        <v>12780</v>
      </c>
      <c r="I22" s="46">
        <v>13220</v>
      </c>
      <c r="J22" s="45">
        <v>13270</v>
      </c>
      <c r="K22" s="44">
        <f t="shared" si="2"/>
        <v>13245</v>
      </c>
      <c r="L22" s="46">
        <v>13485</v>
      </c>
      <c r="M22" s="45">
        <v>13535</v>
      </c>
      <c r="N22" s="44">
        <f t="shared" si="3"/>
        <v>13510</v>
      </c>
      <c r="O22" s="46">
        <v>13755</v>
      </c>
      <c r="P22" s="45">
        <v>13805</v>
      </c>
      <c r="Q22" s="44">
        <f t="shared" si="4"/>
        <v>13780</v>
      </c>
      <c r="R22" s="52">
        <v>12685</v>
      </c>
      <c r="S22" s="51">
        <v>1.2866</v>
      </c>
      <c r="T22" s="51">
        <v>1.0789</v>
      </c>
      <c r="U22" s="50">
        <v>111.97</v>
      </c>
      <c r="V22" s="43">
        <v>9859.32</v>
      </c>
      <c r="W22" s="43">
        <v>9916.27</v>
      </c>
      <c r="X22" s="49">
        <f t="shared" si="5"/>
        <v>11757.345444434146</v>
      </c>
      <c r="Y22" s="48">
        <v>1.2898000000000001</v>
      </c>
    </row>
    <row r="23" spans="2:25" x14ac:dyDescent="0.2">
      <c r="B23" s="47">
        <v>43882</v>
      </c>
      <c r="C23" s="46">
        <v>12435</v>
      </c>
      <c r="D23" s="45">
        <v>12440</v>
      </c>
      <c r="E23" s="44">
        <f t="shared" si="0"/>
        <v>12437.5</v>
      </c>
      <c r="F23" s="46">
        <v>12525</v>
      </c>
      <c r="G23" s="45">
        <v>12530</v>
      </c>
      <c r="H23" s="44">
        <f t="shared" si="1"/>
        <v>12527.5</v>
      </c>
      <c r="I23" s="46">
        <v>12970</v>
      </c>
      <c r="J23" s="45">
        <v>13020</v>
      </c>
      <c r="K23" s="44">
        <f t="shared" si="2"/>
        <v>12995</v>
      </c>
      <c r="L23" s="46">
        <v>13235</v>
      </c>
      <c r="M23" s="45">
        <v>13285</v>
      </c>
      <c r="N23" s="44">
        <f t="shared" si="3"/>
        <v>13260</v>
      </c>
      <c r="O23" s="46">
        <v>13505</v>
      </c>
      <c r="P23" s="45">
        <v>13555</v>
      </c>
      <c r="Q23" s="44">
        <f t="shared" si="4"/>
        <v>13530</v>
      </c>
      <c r="R23" s="52">
        <v>12440</v>
      </c>
      <c r="S23" s="51">
        <v>1.2927</v>
      </c>
      <c r="T23" s="51">
        <v>1.0797000000000001</v>
      </c>
      <c r="U23" s="50">
        <v>111.99</v>
      </c>
      <c r="V23" s="43">
        <v>9623.27</v>
      </c>
      <c r="W23" s="43">
        <v>9669.7000000000007</v>
      </c>
      <c r="X23" s="49">
        <f t="shared" si="5"/>
        <v>11521.718996017411</v>
      </c>
      <c r="Y23" s="48">
        <v>1.2958000000000001</v>
      </c>
    </row>
    <row r="24" spans="2:25" x14ac:dyDescent="0.2">
      <c r="B24" s="47">
        <v>43885</v>
      </c>
      <c r="C24" s="46">
        <v>12350</v>
      </c>
      <c r="D24" s="45">
        <v>12360</v>
      </c>
      <c r="E24" s="44">
        <f t="shared" si="0"/>
        <v>12355</v>
      </c>
      <c r="F24" s="46">
        <v>12460</v>
      </c>
      <c r="G24" s="45">
        <v>12465</v>
      </c>
      <c r="H24" s="44">
        <f t="shared" si="1"/>
        <v>12462.5</v>
      </c>
      <c r="I24" s="46">
        <v>12895</v>
      </c>
      <c r="J24" s="45">
        <v>12945</v>
      </c>
      <c r="K24" s="44">
        <f t="shared" si="2"/>
        <v>12920</v>
      </c>
      <c r="L24" s="46">
        <v>13160</v>
      </c>
      <c r="M24" s="45">
        <v>13210</v>
      </c>
      <c r="N24" s="44">
        <f t="shared" si="3"/>
        <v>13185</v>
      </c>
      <c r="O24" s="46">
        <v>13430</v>
      </c>
      <c r="P24" s="45">
        <v>13480</v>
      </c>
      <c r="Q24" s="44">
        <f t="shared" si="4"/>
        <v>13455</v>
      </c>
      <c r="R24" s="52">
        <v>12360</v>
      </c>
      <c r="S24" s="51">
        <v>1.292</v>
      </c>
      <c r="T24" s="51">
        <v>1.0819000000000001</v>
      </c>
      <c r="U24" s="50">
        <v>111.34</v>
      </c>
      <c r="V24" s="43">
        <v>9566.56</v>
      </c>
      <c r="W24" s="43">
        <v>9624.74</v>
      </c>
      <c r="X24" s="49">
        <f t="shared" si="5"/>
        <v>11424.346057861168</v>
      </c>
      <c r="Y24" s="48">
        <v>1.2950999999999999</v>
      </c>
    </row>
    <row r="25" spans="2:25" x14ac:dyDescent="0.2">
      <c r="B25" s="47">
        <v>43886</v>
      </c>
      <c r="C25" s="46">
        <v>12535</v>
      </c>
      <c r="D25" s="45">
        <v>12540</v>
      </c>
      <c r="E25" s="44">
        <f t="shared" si="0"/>
        <v>12537.5</v>
      </c>
      <c r="F25" s="46">
        <v>12600</v>
      </c>
      <c r="G25" s="45">
        <v>12625</v>
      </c>
      <c r="H25" s="44">
        <f t="shared" si="1"/>
        <v>12612.5</v>
      </c>
      <c r="I25" s="46">
        <v>13045</v>
      </c>
      <c r="J25" s="45">
        <v>13095</v>
      </c>
      <c r="K25" s="44">
        <f t="shared" si="2"/>
        <v>13070</v>
      </c>
      <c r="L25" s="46">
        <v>13320</v>
      </c>
      <c r="M25" s="45">
        <v>13370</v>
      </c>
      <c r="N25" s="44">
        <f t="shared" si="3"/>
        <v>13345</v>
      </c>
      <c r="O25" s="46">
        <v>13590</v>
      </c>
      <c r="P25" s="45">
        <v>13640</v>
      </c>
      <c r="Q25" s="44">
        <f t="shared" si="4"/>
        <v>13615</v>
      </c>
      <c r="R25" s="52">
        <v>12540</v>
      </c>
      <c r="S25" s="51">
        <v>1.2954000000000001</v>
      </c>
      <c r="T25" s="51">
        <v>1.0835999999999999</v>
      </c>
      <c r="U25" s="50">
        <v>110.68</v>
      </c>
      <c r="V25" s="43">
        <v>9680.41</v>
      </c>
      <c r="W25" s="43">
        <v>9722.76</v>
      </c>
      <c r="X25" s="49">
        <f t="shared" si="5"/>
        <v>11572.535991140643</v>
      </c>
      <c r="Y25" s="48">
        <v>1.2985</v>
      </c>
    </row>
    <row r="26" spans="2:25" x14ac:dyDescent="0.2">
      <c r="B26" s="47">
        <v>43887</v>
      </c>
      <c r="C26" s="46">
        <v>12280</v>
      </c>
      <c r="D26" s="45">
        <v>12290</v>
      </c>
      <c r="E26" s="44">
        <f t="shared" si="0"/>
        <v>12285</v>
      </c>
      <c r="F26" s="46">
        <v>12360</v>
      </c>
      <c r="G26" s="45">
        <v>12365</v>
      </c>
      <c r="H26" s="44">
        <f t="shared" si="1"/>
        <v>12362.5</v>
      </c>
      <c r="I26" s="46">
        <v>12800</v>
      </c>
      <c r="J26" s="45">
        <v>12850</v>
      </c>
      <c r="K26" s="44">
        <f t="shared" si="2"/>
        <v>12825</v>
      </c>
      <c r="L26" s="46">
        <v>13070</v>
      </c>
      <c r="M26" s="45">
        <v>13120</v>
      </c>
      <c r="N26" s="44">
        <f t="shared" si="3"/>
        <v>13095</v>
      </c>
      <c r="O26" s="46">
        <v>13340</v>
      </c>
      <c r="P26" s="45">
        <v>13390</v>
      </c>
      <c r="Q26" s="44">
        <f t="shared" si="4"/>
        <v>13365</v>
      </c>
      <c r="R26" s="52">
        <v>12290</v>
      </c>
      <c r="S26" s="51">
        <v>1.2927999999999999</v>
      </c>
      <c r="T26" s="51">
        <v>1.0869</v>
      </c>
      <c r="U26" s="50">
        <v>110.48</v>
      </c>
      <c r="V26" s="43">
        <v>9506.5</v>
      </c>
      <c r="W26" s="43">
        <v>9541.6299999999992</v>
      </c>
      <c r="X26" s="49">
        <f t="shared" si="5"/>
        <v>11307.387984175177</v>
      </c>
      <c r="Y26" s="48">
        <v>1.2959000000000001</v>
      </c>
    </row>
    <row r="27" spans="2:25" x14ac:dyDescent="0.2">
      <c r="B27" s="47">
        <v>43888</v>
      </c>
      <c r="C27" s="46">
        <v>12275</v>
      </c>
      <c r="D27" s="45">
        <v>12280</v>
      </c>
      <c r="E27" s="44">
        <f t="shared" si="0"/>
        <v>12277.5</v>
      </c>
      <c r="F27" s="46">
        <v>12360</v>
      </c>
      <c r="G27" s="45">
        <v>12365</v>
      </c>
      <c r="H27" s="44">
        <f t="shared" si="1"/>
        <v>12362.5</v>
      </c>
      <c r="I27" s="46">
        <v>12790</v>
      </c>
      <c r="J27" s="45">
        <v>12840</v>
      </c>
      <c r="K27" s="44">
        <f t="shared" si="2"/>
        <v>12815</v>
      </c>
      <c r="L27" s="46">
        <v>13065</v>
      </c>
      <c r="M27" s="45">
        <v>13115</v>
      </c>
      <c r="N27" s="44">
        <f t="shared" si="3"/>
        <v>13090</v>
      </c>
      <c r="O27" s="46">
        <v>13335</v>
      </c>
      <c r="P27" s="45">
        <v>13385</v>
      </c>
      <c r="Q27" s="44">
        <f t="shared" si="4"/>
        <v>13360</v>
      </c>
      <c r="R27" s="52">
        <v>12280</v>
      </c>
      <c r="S27" s="51">
        <v>1.2892999999999999</v>
      </c>
      <c r="T27" s="51">
        <v>1.0964</v>
      </c>
      <c r="U27" s="50">
        <v>109.88</v>
      </c>
      <c r="V27" s="43">
        <v>9524.5499999999993</v>
      </c>
      <c r="W27" s="43">
        <v>9568.2099999999991</v>
      </c>
      <c r="X27" s="49">
        <f t="shared" si="5"/>
        <v>11200.291864283108</v>
      </c>
      <c r="Y27" s="48">
        <v>1.2923</v>
      </c>
    </row>
    <row r="28" spans="2:25" x14ac:dyDescent="0.2">
      <c r="B28" s="47">
        <v>43889</v>
      </c>
      <c r="C28" s="46">
        <v>12155</v>
      </c>
      <c r="D28" s="45">
        <v>12160</v>
      </c>
      <c r="E28" s="44">
        <f t="shared" si="0"/>
        <v>12157.5</v>
      </c>
      <c r="F28" s="46">
        <v>12230</v>
      </c>
      <c r="G28" s="45">
        <v>12250</v>
      </c>
      <c r="H28" s="44">
        <f t="shared" si="1"/>
        <v>12240</v>
      </c>
      <c r="I28" s="46">
        <v>12665</v>
      </c>
      <c r="J28" s="45">
        <v>12715</v>
      </c>
      <c r="K28" s="44">
        <f t="shared" si="2"/>
        <v>12690</v>
      </c>
      <c r="L28" s="46">
        <v>12935</v>
      </c>
      <c r="M28" s="45">
        <v>12985</v>
      </c>
      <c r="N28" s="44">
        <f t="shared" si="3"/>
        <v>12960</v>
      </c>
      <c r="O28" s="46">
        <v>13205</v>
      </c>
      <c r="P28" s="45">
        <v>13255</v>
      </c>
      <c r="Q28" s="44">
        <f t="shared" si="4"/>
        <v>13230</v>
      </c>
      <c r="R28" s="52">
        <v>12160</v>
      </c>
      <c r="S28" s="51">
        <v>1.2875000000000001</v>
      </c>
      <c r="T28" s="51">
        <v>1.0987</v>
      </c>
      <c r="U28" s="50">
        <v>108.69</v>
      </c>
      <c r="V28" s="43">
        <v>9444.66</v>
      </c>
      <c r="W28" s="43">
        <v>9492.44</v>
      </c>
      <c r="X28" s="49">
        <f t="shared" si="5"/>
        <v>11067.625375443706</v>
      </c>
      <c r="Y28" s="48">
        <v>1.2905</v>
      </c>
    </row>
    <row r="29" spans="2:25" s="10" customFormat="1" x14ac:dyDescent="0.2">
      <c r="B29" s="42" t="s">
        <v>11</v>
      </c>
      <c r="C29" s="41">
        <f>ROUND(AVERAGE(C9:C28),2)</f>
        <v>12735.5</v>
      </c>
      <c r="D29" s="40">
        <f>ROUND(AVERAGE(D9:D28),2)</f>
        <v>12743.5</v>
      </c>
      <c r="E29" s="39">
        <f>ROUND(AVERAGE(C29:D29),2)</f>
        <v>12739.5</v>
      </c>
      <c r="F29" s="41">
        <f>ROUND(AVERAGE(F9:F28),2)</f>
        <v>12813.75</v>
      </c>
      <c r="G29" s="40">
        <f>ROUND(AVERAGE(G9:G28),2)</f>
        <v>12824.25</v>
      </c>
      <c r="H29" s="39">
        <f>ROUND(AVERAGE(F29:G29),2)</f>
        <v>12819</v>
      </c>
      <c r="I29" s="41">
        <f>ROUND(AVERAGE(I9:I28),2)</f>
        <v>13241.5</v>
      </c>
      <c r="J29" s="40">
        <f>ROUND(AVERAGE(J9:J28),2)</f>
        <v>13291.5</v>
      </c>
      <c r="K29" s="39">
        <f>ROUND(AVERAGE(I29:J29),2)</f>
        <v>13266.5</v>
      </c>
      <c r="L29" s="41">
        <f>ROUND(AVERAGE(L9:L28),2)</f>
        <v>13506.25</v>
      </c>
      <c r="M29" s="40">
        <f>ROUND(AVERAGE(M9:M28),2)</f>
        <v>13556.25</v>
      </c>
      <c r="N29" s="39">
        <f>ROUND(AVERAGE(L29:M29),2)</f>
        <v>13531.25</v>
      </c>
      <c r="O29" s="41">
        <f>ROUND(AVERAGE(O9:O28),2)</f>
        <v>13776.25</v>
      </c>
      <c r="P29" s="40">
        <f>ROUND(AVERAGE(P9:P28),2)</f>
        <v>13826.25</v>
      </c>
      <c r="Q29" s="39">
        <f>ROUND(AVERAGE(O29:P29),2)</f>
        <v>13801.25</v>
      </c>
      <c r="R29" s="38">
        <f>ROUND(AVERAGE(R9:R28),2)</f>
        <v>12743.5</v>
      </c>
      <c r="S29" s="37">
        <f>ROUND(AVERAGE(S9:S28),4)</f>
        <v>1.2968</v>
      </c>
      <c r="T29" s="36">
        <f>ROUND(AVERAGE(T9:T28),4)</f>
        <v>1.0905</v>
      </c>
      <c r="U29" s="175">
        <f>ROUND(AVERAGE(U9:U28),2)</f>
        <v>110.07</v>
      </c>
      <c r="V29" s="35">
        <f>AVERAGE(V9:V28)</f>
        <v>9826.7889999999989</v>
      </c>
      <c r="W29" s="35">
        <f>AVERAGE(W9:W28)</f>
        <v>9865.5300000000007</v>
      </c>
      <c r="X29" s="35">
        <f>AVERAGE(X9:X28)</f>
        <v>11687.027730578451</v>
      </c>
      <c r="Y29" s="34">
        <f>AVERAGE(Y9:Y28)</f>
        <v>1.2998450000000001</v>
      </c>
    </row>
    <row r="30" spans="2:25" s="5" customFormat="1" x14ac:dyDescent="0.2">
      <c r="B30" s="33" t="s">
        <v>12</v>
      </c>
      <c r="C30" s="32">
        <f t="shared" ref="C30:Y30" si="6">MAX(C9:C28)</f>
        <v>13075</v>
      </c>
      <c r="D30" s="31">
        <f t="shared" si="6"/>
        <v>13100</v>
      </c>
      <c r="E30" s="30">
        <f t="shared" si="6"/>
        <v>13087.5</v>
      </c>
      <c r="F30" s="32">
        <f t="shared" si="6"/>
        <v>13145</v>
      </c>
      <c r="G30" s="31">
        <f t="shared" si="6"/>
        <v>13150</v>
      </c>
      <c r="H30" s="30">
        <f t="shared" si="6"/>
        <v>13147.5</v>
      </c>
      <c r="I30" s="32">
        <f t="shared" si="6"/>
        <v>13580</v>
      </c>
      <c r="J30" s="31">
        <f t="shared" si="6"/>
        <v>13630</v>
      </c>
      <c r="K30" s="30">
        <f t="shared" si="6"/>
        <v>13605</v>
      </c>
      <c r="L30" s="32">
        <f t="shared" si="6"/>
        <v>13845</v>
      </c>
      <c r="M30" s="31">
        <f t="shared" si="6"/>
        <v>13895</v>
      </c>
      <c r="N30" s="30">
        <f t="shared" si="6"/>
        <v>13870</v>
      </c>
      <c r="O30" s="32">
        <f t="shared" si="6"/>
        <v>14115</v>
      </c>
      <c r="P30" s="31">
        <f t="shared" si="6"/>
        <v>14165</v>
      </c>
      <c r="Q30" s="30">
        <f t="shared" si="6"/>
        <v>14140</v>
      </c>
      <c r="R30" s="29">
        <f t="shared" si="6"/>
        <v>13100</v>
      </c>
      <c r="S30" s="28">
        <f t="shared" si="6"/>
        <v>1.3056000000000001</v>
      </c>
      <c r="T30" s="27">
        <f t="shared" si="6"/>
        <v>1.1067</v>
      </c>
      <c r="U30" s="26">
        <f t="shared" si="6"/>
        <v>111.99</v>
      </c>
      <c r="V30" s="25">
        <f t="shared" si="6"/>
        <v>10128.34</v>
      </c>
      <c r="W30" s="25">
        <f t="shared" si="6"/>
        <v>10142.69</v>
      </c>
      <c r="X30" s="25">
        <f t="shared" si="6"/>
        <v>12060.533357940389</v>
      </c>
      <c r="Y30" s="24">
        <f t="shared" si="6"/>
        <v>1.3087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12155</v>
      </c>
      <c r="D31" s="21">
        <f t="shared" si="7"/>
        <v>12160</v>
      </c>
      <c r="E31" s="20">
        <f t="shared" si="7"/>
        <v>12157.5</v>
      </c>
      <c r="F31" s="22">
        <f t="shared" si="7"/>
        <v>12230</v>
      </c>
      <c r="G31" s="21">
        <f t="shared" si="7"/>
        <v>12250</v>
      </c>
      <c r="H31" s="20">
        <f t="shared" si="7"/>
        <v>12240</v>
      </c>
      <c r="I31" s="22">
        <f t="shared" si="7"/>
        <v>12665</v>
      </c>
      <c r="J31" s="21">
        <f t="shared" si="7"/>
        <v>12715</v>
      </c>
      <c r="K31" s="20">
        <f t="shared" si="7"/>
        <v>12690</v>
      </c>
      <c r="L31" s="22">
        <f t="shared" si="7"/>
        <v>12935</v>
      </c>
      <c r="M31" s="21">
        <f t="shared" si="7"/>
        <v>12985</v>
      </c>
      <c r="N31" s="20">
        <f t="shared" si="7"/>
        <v>12960</v>
      </c>
      <c r="O31" s="22">
        <f t="shared" si="7"/>
        <v>13205</v>
      </c>
      <c r="P31" s="21">
        <f t="shared" si="7"/>
        <v>13255</v>
      </c>
      <c r="Q31" s="20">
        <f t="shared" si="7"/>
        <v>13230</v>
      </c>
      <c r="R31" s="19">
        <f t="shared" si="7"/>
        <v>12160</v>
      </c>
      <c r="S31" s="18">
        <f t="shared" si="7"/>
        <v>1.2866</v>
      </c>
      <c r="T31" s="17">
        <f t="shared" si="7"/>
        <v>1.0789</v>
      </c>
      <c r="U31" s="16">
        <f t="shared" si="7"/>
        <v>108.52</v>
      </c>
      <c r="V31" s="15">
        <f t="shared" si="7"/>
        <v>9444.66</v>
      </c>
      <c r="W31" s="15">
        <f t="shared" si="7"/>
        <v>9492.44</v>
      </c>
      <c r="X31" s="15">
        <f t="shared" si="7"/>
        <v>11067.625375443706</v>
      </c>
      <c r="Y31" s="14">
        <f t="shared" si="7"/>
        <v>1.2898000000000001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43864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43864</v>
      </c>
      <c r="C9" s="46">
        <v>34250</v>
      </c>
      <c r="D9" s="45">
        <v>34750</v>
      </c>
      <c r="E9" s="44">
        <f t="shared" ref="E9:E28" si="0">AVERAGE(C9:D9)</f>
        <v>34500</v>
      </c>
      <c r="F9" s="46">
        <v>34750</v>
      </c>
      <c r="G9" s="45">
        <v>35250</v>
      </c>
      <c r="H9" s="44">
        <f t="shared" ref="H9:H28" si="1">AVERAGE(F9:G9)</f>
        <v>35000</v>
      </c>
      <c r="I9" s="46">
        <v>36365</v>
      </c>
      <c r="J9" s="45">
        <v>37365</v>
      </c>
      <c r="K9" s="44">
        <f t="shared" ref="K9:K28" si="2">AVERAGE(I9:J9)</f>
        <v>36865</v>
      </c>
      <c r="L9" s="52">
        <v>34750</v>
      </c>
      <c r="M9" s="51">
        <v>1.3056000000000001</v>
      </c>
      <c r="N9" s="53">
        <v>1.1067</v>
      </c>
      <c r="O9" s="50">
        <v>108.52</v>
      </c>
      <c r="P9" s="43">
        <v>26616.12</v>
      </c>
      <c r="Q9" s="43">
        <v>26935.13</v>
      </c>
      <c r="R9" s="49">
        <f t="shared" ref="R9:R28" si="3">L9/N9</f>
        <v>31399.656636848285</v>
      </c>
      <c r="S9" s="48">
        <v>1.3087</v>
      </c>
    </row>
    <row r="10" spans="1:19" x14ac:dyDescent="0.2">
      <c r="B10" s="47">
        <v>43865</v>
      </c>
      <c r="C10" s="46">
        <v>34250</v>
      </c>
      <c r="D10" s="45">
        <v>34750</v>
      </c>
      <c r="E10" s="44">
        <f t="shared" si="0"/>
        <v>34500</v>
      </c>
      <c r="F10" s="46">
        <v>34750</v>
      </c>
      <c r="G10" s="45">
        <v>35250</v>
      </c>
      <c r="H10" s="44">
        <f t="shared" si="1"/>
        <v>35000</v>
      </c>
      <c r="I10" s="46">
        <v>36365</v>
      </c>
      <c r="J10" s="45">
        <v>37365</v>
      </c>
      <c r="K10" s="44">
        <f t="shared" si="2"/>
        <v>36865</v>
      </c>
      <c r="L10" s="52">
        <v>34750</v>
      </c>
      <c r="M10" s="51">
        <v>1.3011999999999999</v>
      </c>
      <c r="N10" s="51">
        <v>1.1044</v>
      </c>
      <c r="O10" s="50">
        <v>109.14</v>
      </c>
      <c r="P10" s="43">
        <v>26706.12</v>
      </c>
      <c r="Q10" s="43">
        <v>27025.99</v>
      </c>
      <c r="R10" s="49">
        <f t="shared" si="3"/>
        <v>31465.048895327778</v>
      </c>
      <c r="S10" s="48">
        <v>1.3043</v>
      </c>
    </row>
    <row r="11" spans="1:19" x14ac:dyDescent="0.2">
      <c r="B11" s="47">
        <v>43866</v>
      </c>
      <c r="C11" s="46">
        <v>33750</v>
      </c>
      <c r="D11" s="45">
        <v>34250</v>
      </c>
      <c r="E11" s="44">
        <f t="shared" si="0"/>
        <v>34000</v>
      </c>
      <c r="F11" s="46">
        <v>34250</v>
      </c>
      <c r="G11" s="45">
        <v>34750</v>
      </c>
      <c r="H11" s="44">
        <f t="shared" si="1"/>
        <v>34500</v>
      </c>
      <c r="I11" s="46">
        <v>35865</v>
      </c>
      <c r="J11" s="45">
        <v>36865</v>
      </c>
      <c r="K11" s="44">
        <f t="shared" si="2"/>
        <v>36365</v>
      </c>
      <c r="L11" s="52">
        <v>34250</v>
      </c>
      <c r="M11" s="51">
        <v>1.3047</v>
      </c>
      <c r="N11" s="51">
        <v>1.1023000000000001</v>
      </c>
      <c r="O11" s="50">
        <v>109.69</v>
      </c>
      <c r="P11" s="43">
        <v>26251.25</v>
      </c>
      <c r="Q11" s="43">
        <v>26571.34</v>
      </c>
      <c r="R11" s="49">
        <f t="shared" si="3"/>
        <v>31071.396171641114</v>
      </c>
      <c r="S11" s="48">
        <v>1.3078000000000001</v>
      </c>
    </row>
    <row r="12" spans="1:19" x14ac:dyDescent="0.2">
      <c r="B12" s="47">
        <v>43867</v>
      </c>
      <c r="C12" s="46">
        <v>33750</v>
      </c>
      <c r="D12" s="45">
        <v>34250</v>
      </c>
      <c r="E12" s="44">
        <f t="shared" si="0"/>
        <v>34000</v>
      </c>
      <c r="F12" s="46">
        <v>34250</v>
      </c>
      <c r="G12" s="45">
        <v>34750</v>
      </c>
      <c r="H12" s="44">
        <f t="shared" si="1"/>
        <v>34500</v>
      </c>
      <c r="I12" s="46">
        <v>35860</v>
      </c>
      <c r="J12" s="45">
        <v>36860</v>
      </c>
      <c r="K12" s="44">
        <f t="shared" si="2"/>
        <v>36360</v>
      </c>
      <c r="L12" s="52">
        <v>34250</v>
      </c>
      <c r="M12" s="51">
        <v>1.2974000000000001</v>
      </c>
      <c r="N12" s="51">
        <v>1.1002000000000001</v>
      </c>
      <c r="O12" s="50">
        <v>109.86</v>
      </c>
      <c r="P12" s="43">
        <v>26398.95</v>
      </c>
      <c r="Q12" s="43">
        <v>26720.49</v>
      </c>
      <c r="R12" s="49">
        <f t="shared" si="3"/>
        <v>31130.703508453007</v>
      </c>
      <c r="S12" s="48">
        <v>1.3005</v>
      </c>
    </row>
    <row r="13" spans="1:19" x14ac:dyDescent="0.2">
      <c r="B13" s="47">
        <v>43868</v>
      </c>
      <c r="C13" s="46">
        <v>33750</v>
      </c>
      <c r="D13" s="45">
        <v>34250</v>
      </c>
      <c r="E13" s="44">
        <f t="shared" si="0"/>
        <v>34000</v>
      </c>
      <c r="F13" s="46">
        <v>34250</v>
      </c>
      <c r="G13" s="45">
        <v>34750</v>
      </c>
      <c r="H13" s="44">
        <f t="shared" si="1"/>
        <v>34500</v>
      </c>
      <c r="I13" s="46">
        <v>35860</v>
      </c>
      <c r="J13" s="45">
        <v>36860</v>
      </c>
      <c r="K13" s="44">
        <f t="shared" si="2"/>
        <v>36360</v>
      </c>
      <c r="L13" s="52">
        <v>34250</v>
      </c>
      <c r="M13" s="51">
        <v>1.2947</v>
      </c>
      <c r="N13" s="51">
        <v>1.0965</v>
      </c>
      <c r="O13" s="50">
        <v>109.88</v>
      </c>
      <c r="P13" s="43">
        <v>26454</v>
      </c>
      <c r="Q13" s="43">
        <v>26776.080000000002</v>
      </c>
      <c r="R13" s="49">
        <f t="shared" si="3"/>
        <v>31235.750113999085</v>
      </c>
      <c r="S13" s="48">
        <v>1.2978000000000001</v>
      </c>
    </row>
    <row r="14" spans="1:19" x14ac:dyDescent="0.2">
      <c r="B14" s="47">
        <v>43871</v>
      </c>
      <c r="C14" s="46">
        <v>33500</v>
      </c>
      <c r="D14" s="45">
        <v>34000</v>
      </c>
      <c r="E14" s="44">
        <f t="shared" si="0"/>
        <v>33750</v>
      </c>
      <c r="F14" s="46">
        <v>34000</v>
      </c>
      <c r="G14" s="45">
        <v>34500</v>
      </c>
      <c r="H14" s="44">
        <f t="shared" si="1"/>
        <v>34250</v>
      </c>
      <c r="I14" s="46">
        <v>35590</v>
      </c>
      <c r="J14" s="45">
        <v>36590</v>
      </c>
      <c r="K14" s="44">
        <f t="shared" si="2"/>
        <v>36090</v>
      </c>
      <c r="L14" s="52">
        <v>34000</v>
      </c>
      <c r="M14" s="51">
        <v>1.2932999999999999</v>
      </c>
      <c r="N14" s="51">
        <v>1.0949</v>
      </c>
      <c r="O14" s="50">
        <v>109.75</v>
      </c>
      <c r="P14" s="43">
        <v>26289.34</v>
      </c>
      <c r="Q14" s="43">
        <v>26612.16</v>
      </c>
      <c r="R14" s="49">
        <f t="shared" si="3"/>
        <v>31053.064206776875</v>
      </c>
      <c r="S14" s="48">
        <v>1.2964</v>
      </c>
    </row>
    <row r="15" spans="1:19" x14ac:dyDescent="0.2">
      <c r="B15" s="47">
        <v>43872</v>
      </c>
      <c r="C15" s="46">
        <v>33500</v>
      </c>
      <c r="D15" s="45">
        <v>34000</v>
      </c>
      <c r="E15" s="44">
        <f t="shared" si="0"/>
        <v>33750</v>
      </c>
      <c r="F15" s="46">
        <v>34000</v>
      </c>
      <c r="G15" s="45">
        <v>34500</v>
      </c>
      <c r="H15" s="44">
        <f t="shared" si="1"/>
        <v>34250</v>
      </c>
      <c r="I15" s="46">
        <v>35590</v>
      </c>
      <c r="J15" s="45">
        <v>36590</v>
      </c>
      <c r="K15" s="44">
        <f t="shared" si="2"/>
        <v>36090</v>
      </c>
      <c r="L15" s="52">
        <v>34000</v>
      </c>
      <c r="M15" s="51">
        <v>1.2934000000000001</v>
      </c>
      <c r="N15" s="51">
        <v>1.0909</v>
      </c>
      <c r="O15" s="50">
        <v>109.85</v>
      </c>
      <c r="P15" s="43">
        <v>26287.3</v>
      </c>
      <c r="Q15" s="43">
        <v>26610.1</v>
      </c>
      <c r="R15" s="49">
        <f t="shared" si="3"/>
        <v>31166.926391053261</v>
      </c>
      <c r="S15" s="48">
        <v>1.2965</v>
      </c>
    </row>
    <row r="16" spans="1:19" x14ac:dyDescent="0.2">
      <c r="B16" s="47">
        <v>43873</v>
      </c>
      <c r="C16" s="46">
        <v>33000</v>
      </c>
      <c r="D16" s="45">
        <v>33500</v>
      </c>
      <c r="E16" s="44">
        <f t="shared" si="0"/>
        <v>33250</v>
      </c>
      <c r="F16" s="46">
        <v>33500</v>
      </c>
      <c r="G16" s="45">
        <v>34000</v>
      </c>
      <c r="H16" s="44">
        <f t="shared" si="1"/>
        <v>33750</v>
      </c>
      <c r="I16" s="46">
        <v>35085</v>
      </c>
      <c r="J16" s="45">
        <v>36085</v>
      </c>
      <c r="K16" s="44">
        <f t="shared" si="2"/>
        <v>35585</v>
      </c>
      <c r="L16" s="52">
        <v>33500</v>
      </c>
      <c r="M16" s="51">
        <v>1.2986</v>
      </c>
      <c r="N16" s="51">
        <v>1.0912999999999999</v>
      </c>
      <c r="O16" s="50">
        <v>109.96</v>
      </c>
      <c r="P16" s="43">
        <v>25797.01</v>
      </c>
      <c r="Q16" s="43">
        <v>26119.69</v>
      </c>
      <c r="R16" s="49">
        <f t="shared" si="3"/>
        <v>30697.333455511776</v>
      </c>
      <c r="S16" s="48">
        <v>1.3017000000000001</v>
      </c>
    </row>
    <row r="17" spans="2:19" x14ac:dyDescent="0.2">
      <c r="B17" s="47">
        <v>43874</v>
      </c>
      <c r="C17" s="46">
        <v>33000</v>
      </c>
      <c r="D17" s="45">
        <v>33500</v>
      </c>
      <c r="E17" s="44">
        <f t="shared" si="0"/>
        <v>33250</v>
      </c>
      <c r="F17" s="46">
        <v>33500</v>
      </c>
      <c r="G17" s="45">
        <v>34000</v>
      </c>
      <c r="H17" s="44">
        <f t="shared" si="1"/>
        <v>33750</v>
      </c>
      <c r="I17" s="46">
        <v>35080</v>
      </c>
      <c r="J17" s="45">
        <v>36080</v>
      </c>
      <c r="K17" s="44">
        <f t="shared" si="2"/>
        <v>35580</v>
      </c>
      <c r="L17" s="52">
        <v>33500</v>
      </c>
      <c r="M17" s="51">
        <v>1.3031999999999999</v>
      </c>
      <c r="N17" s="51">
        <v>1.0864</v>
      </c>
      <c r="O17" s="50">
        <v>109.73</v>
      </c>
      <c r="P17" s="43">
        <v>25705.95</v>
      </c>
      <c r="Q17" s="43">
        <v>26027.71</v>
      </c>
      <c r="R17" s="49">
        <f t="shared" si="3"/>
        <v>30835.787923416789</v>
      </c>
      <c r="S17" s="48">
        <v>1.3063</v>
      </c>
    </row>
    <row r="18" spans="2:19" x14ac:dyDescent="0.2">
      <c r="B18" s="47">
        <v>43875</v>
      </c>
      <c r="C18" s="46">
        <v>33000</v>
      </c>
      <c r="D18" s="45">
        <v>33500</v>
      </c>
      <c r="E18" s="44">
        <f t="shared" si="0"/>
        <v>33250</v>
      </c>
      <c r="F18" s="46">
        <v>33500</v>
      </c>
      <c r="G18" s="45">
        <v>34000</v>
      </c>
      <c r="H18" s="44">
        <f t="shared" si="1"/>
        <v>33750</v>
      </c>
      <c r="I18" s="46">
        <v>35075</v>
      </c>
      <c r="J18" s="45">
        <v>36075</v>
      </c>
      <c r="K18" s="44">
        <f t="shared" si="2"/>
        <v>35575</v>
      </c>
      <c r="L18" s="52">
        <v>33500</v>
      </c>
      <c r="M18" s="51">
        <v>1.3028999999999999</v>
      </c>
      <c r="N18" s="51">
        <v>1.0840000000000001</v>
      </c>
      <c r="O18" s="50">
        <v>109.86</v>
      </c>
      <c r="P18" s="43">
        <v>25711.87</v>
      </c>
      <c r="Q18" s="43">
        <v>26033.69</v>
      </c>
      <c r="R18" s="49">
        <f t="shared" si="3"/>
        <v>30904.059040590404</v>
      </c>
      <c r="S18" s="48">
        <v>1.306</v>
      </c>
    </row>
    <row r="19" spans="2:19" x14ac:dyDescent="0.2">
      <c r="B19" s="47">
        <v>43878</v>
      </c>
      <c r="C19" s="46">
        <v>33000</v>
      </c>
      <c r="D19" s="45">
        <v>33500</v>
      </c>
      <c r="E19" s="44">
        <f t="shared" si="0"/>
        <v>33250</v>
      </c>
      <c r="F19" s="46">
        <v>33500</v>
      </c>
      <c r="G19" s="45">
        <v>34000</v>
      </c>
      <c r="H19" s="44">
        <f t="shared" si="1"/>
        <v>33750</v>
      </c>
      <c r="I19" s="46">
        <v>35060</v>
      </c>
      <c r="J19" s="45">
        <v>36060</v>
      </c>
      <c r="K19" s="44">
        <f t="shared" si="2"/>
        <v>35560</v>
      </c>
      <c r="L19" s="52">
        <v>33500</v>
      </c>
      <c r="M19" s="51">
        <v>1.3013999999999999</v>
      </c>
      <c r="N19" s="51">
        <v>1.0837000000000001</v>
      </c>
      <c r="O19" s="50">
        <v>109.88</v>
      </c>
      <c r="P19" s="43">
        <v>25741.51</v>
      </c>
      <c r="Q19" s="43">
        <v>26063.63</v>
      </c>
      <c r="R19" s="49">
        <f t="shared" si="3"/>
        <v>30912.614192119589</v>
      </c>
      <c r="S19" s="48">
        <v>1.3045</v>
      </c>
    </row>
    <row r="20" spans="2:19" x14ac:dyDescent="0.2">
      <c r="B20" s="47">
        <v>43879</v>
      </c>
      <c r="C20" s="46">
        <v>33000</v>
      </c>
      <c r="D20" s="45">
        <v>33500</v>
      </c>
      <c r="E20" s="44">
        <f t="shared" si="0"/>
        <v>33250</v>
      </c>
      <c r="F20" s="46">
        <v>33500</v>
      </c>
      <c r="G20" s="45">
        <v>34000</v>
      </c>
      <c r="H20" s="44">
        <f t="shared" si="1"/>
        <v>33750</v>
      </c>
      <c r="I20" s="46">
        <v>35060</v>
      </c>
      <c r="J20" s="45">
        <v>36060</v>
      </c>
      <c r="K20" s="44">
        <f t="shared" si="2"/>
        <v>35560</v>
      </c>
      <c r="L20" s="52">
        <v>33500</v>
      </c>
      <c r="M20" s="51">
        <v>1.3031999999999999</v>
      </c>
      <c r="N20" s="51">
        <v>1.0814999999999999</v>
      </c>
      <c r="O20" s="50">
        <v>109.78</v>
      </c>
      <c r="P20" s="43">
        <v>25705.95</v>
      </c>
      <c r="Q20" s="43">
        <v>26027.71</v>
      </c>
      <c r="R20" s="49">
        <f t="shared" si="3"/>
        <v>30975.496994914472</v>
      </c>
      <c r="S20" s="48">
        <v>1.3063</v>
      </c>
    </row>
    <row r="21" spans="2:19" x14ac:dyDescent="0.2">
      <c r="B21" s="47">
        <v>43880</v>
      </c>
      <c r="C21" s="46">
        <v>33000</v>
      </c>
      <c r="D21" s="45">
        <v>33500</v>
      </c>
      <c r="E21" s="44">
        <f t="shared" si="0"/>
        <v>33250</v>
      </c>
      <c r="F21" s="46">
        <v>33500</v>
      </c>
      <c r="G21" s="45">
        <v>34000</v>
      </c>
      <c r="H21" s="44">
        <f t="shared" si="1"/>
        <v>33750</v>
      </c>
      <c r="I21" s="46">
        <v>35055</v>
      </c>
      <c r="J21" s="45">
        <v>36055</v>
      </c>
      <c r="K21" s="44">
        <f t="shared" si="2"/>
        <v>35555</v>
      </c>
      <c r="L21" s="52">
        <v>33500</v>
      </c>
      <c r="M21" s="51">
        <v>1.2990999999999999</v>
      </c>
      <c r="N21" s="51">
        <v>1.0801000000000001</v>
      </c>
      <c r="O21" s="50">
        <v>110.49</v>
      </c>
      <c r="P21" s="43">
        <v>25787.08</v>
      </c>
      <c r="Q21" s="43">
        <v>26109.66</v>
      </c>
      <c r="R21" s="49">
        <f t="shared" si="3"/>
        <v>31015.646699379686</v>
      </c>
      <c r="S21" s="48">
        <v>1.3022</v>
      </c>
    </row>
    <row r="22" spans="2:19" x14ac:dyDescent="0.2">
      <c r="B22" s="47">
        <v>43881</v>
      </c>
      <c r="C22" s="46">
        <v>33000</v>
      </c>
      <c r="D22" s="45">
        <v>33500</v>
      </c>
      <c r="E22" s="44">
        <f t="shared" si="0"/>
        <v>33250</v>
      </c>
      <c r="F22" s="46">
        <v>33500</v>
      </c>
      <c r="G22" s="45">
        <v>34000</v>
      </c>
      <c r="H22" s="44">
        <f t="shared" si="1"/>
        <v>33750</v>
      </c>
      <c r="I22" s="46">
        <v>35050</v>
      </c>
      <c r="J22" s="45">
        <v>36050</v>
      </c>
      <c r="K22" s="44">
        <f t="shared" si="2"/>
        <v>35550</v>
      </c>
      <c r="L22" s="52">
        <v>33500</v>
      </c>
      <c r="M22" s="51">
        <v>1.2866</v>
      </c>
      <c r="N22" s="51">
        <v>1.0789</v>
      </c>
      <c r="O22" s="50">
        <v>111.97</v>
      </c>
      <c r="P22" s="43">
        <v>26037.62</v>
      </c>
      <c r="Q22" s="43">
        <v>26360.68</v>
      </c>
      <c r="R22" s="49">
        <f t="shared" si="3"/>
        <v>31050.143664843825</v>
      </c>
      <c r="S22" s="48">
        <v>1.2898000000000001</v>
      </c>
    </row>
    <row r="23" spans="2:19" x14ac:dyDescent="0.2">
      <c r="B23" s="47">
        <v>43882</v>
      </c>
      <c r="C23" s="46">
        <v>33000</v>
      </c>
      <c r="D23" s="45">
        <v>33500</v>
      </c>
      <c r="E23" s="44">
        <f t="shared" si="0"/>
        <v>33250</v>
      </c>
      <c r="F23" s="46">
        <v>33500</v>
      </c>
      <c r="G23" s="45">
        <v>34000</v>
      </c>
      <c r="H23" s="44">
        <f t="shared" si="1"/>
        <v>33750</v>
      </c>
      <c r="I23" s="46">
        <v>35045</v>
      </c>
      <c r="J23" s="45">
        <v>36045</v>
      </c>
      <c r="K23" s="44">
        <f t="shared" si="2"/>
        <v>35545</v>
      </c>
      <c r="L23" s="52">
        <v>33500</v>
      </c>
      <c r="M23" s="51">
        <v>1.2927</v>
      </c>
      <c r="N23" s="51">
        <v>1.0797000000000001</v>
      </c>
      <c r="O23" s="50">
        <v>111.99</v>
      </c>
      <c r="P23" s="43">
        <v>25914.75</v>
      </c>
      <c r="Q23" s="43">
        <v>26238.62</v>
      </c>
      <c r="R23" s="49">
        <f t="shared" si="3"/>
        <v>31027.137167731773</v>
      </c>
      <c r="S23" s="48">
        <v>1.2958000000000001</v>
      </c>
    </row>
    <row r="24" spans="2:19" x14ac:dyDescent="0.2">
      <c r="B24" s="47">
        <v>43885</v>
      </c>
      <c r="C24" s="46">
        <v>33000</v>
      </c>
      <c r="D24" s="45">
        <v>33500</v>
      </c>
      <c r="E24" s="44">
        <f t="shared" si="0"/>
        <v>33250</v>
      </c>
      <c r="F24" s="46">
        <v>33500</v>
      </c>
      <c r="G24" s="45">
        <v>34000</v>
      </c>
      <c r="H24" s="44">
        <f t="shared" si="1"/>
        <v>33750</v>
      </c>
      <c r="I24" s="46">
        <v>35020</v>
      </c>
      <c r="J24" s="45">
        <v>36020</v>
      </c>
      <c r="K24" s="44">
        <f t="shared" si="2"/>
        <v>35520</v>
      </c>
      <c r="L24" s="52">
        <v>33500</v>
      </c>
      <c r="M24" s="51">
        <v>1.292</v>
      </c>
      <c r="N24" s="51">
        <v>1.0819000000000001</v>
      </c>
      <c r="O24" s="50">
        <v>111.34</v>
      </c>
      <c r="P24" s="43">
        <v>25928.79</v>
      </c>
      <c r="Q24" s="43">
        <v>26252.799999999999</v>
      </c>
      <c r="R24" s="49">
        <f t="shared" si="3"/>
        <v>30964.044736112392</v>
      </c>
      <c r="S24" s="48">
        <v>1.2950999999999999</v>
      </c>
    </row>
    <row r="25" spans="2:19" x14ac:dyDescent="0.2">
      <c r="B25" s="47">
        <v>43886</v>
      </c>
      <c r="C25" s="46">
        <v>33000</v>
      </c>
      <c r="D25" s="45">
        <v>33500</v>
      </c>
      <c r="E25" s="44">
        <f t="shared" si="0"/>
        <v>33250</v>
      </c>
      <c r="F25" s="46">
        <v>33500</v>
      </c>
      <c r="G25" s="45">
        <v>34000</v>
      </c>
      <c r="H25" s="44">
        <f t="shared" si="1"/>
        <v>33750</v>
      </c>
      <c r="I25" s="46">
        <v>35020</v>
      </c>
      <c r="J25" s="45">
        <v>36020</v>
      </c>
      <c r="K25" s="44">
        <f t="shared" si="2"/>
        <v>35520</v>
      </c>
      <c r="L25" s="52">
        <v>33500</v>
      </c>
      <c r="M25" s="51">
        <v>1.2954000000000001</v>
      </c>
      <c r="N25" s="51">
        <v>1.0835999999999999</v>
      </c>
      <c r="O25" s="50">
        <v>110.68</v>
      </c>
      <c r="P25" s="43">
        <v>25860.74</v>
      </c>
      <c r="Q25" s="43">
        <v>26184.06</v>
      </c>
      <c r="R25" s="49">
        <f t="shared" si="3"/>
        <v>30915.466961978593</v>
      </c>
      <c r="S25" s="48">
        <v>1.2985</v>
      </c>
    </row>
    <row r="26" spans="2:19" x14ac:dyDescent="0.2">
      <c r="B26" s="47">
        <v>43887</v>
      </c>
      <c r="C26" s="46">
        <v>31000</v>
      </c>
      <c r="D26" s="45">
        <v>33000</v>
      </c>
      <c r="E26" s="44">
        <f t="shared" si="0"/>
        <v>32000</v>
      </c>
      <c r="F26" s="46">
        <v>31500</v>
      </c>
      <c r="G26" s="45">
        <v>33500</v>
      </c>
      <c r="H26" s="44">
        <f t="shared" si="1"/>
        <v>32500</v>
      </c>
      <c r="I26" s="46">
        <v>33770</v>
      </c>
      <c r="J26" s="45">
        <v>34770</v>
      </c>
      <c r="K26" s="44">
        <f t="shared" si="2"/>
        <v>34270</v>
      </c>
      <c r="L26" s="52">
        <v>33000</v>
      </c>
      <c r="M26" s="51">
        <v>1.2927999999999999</v>
      </c>
      <c r="N26" s="51">
        <v>1.0869</v>
      </c>
      <c r="O26" s="50">
        <v>110.48</v>
      </c>
      <c r="P26" s="43">
        <v>25525.99</v>
      </c>
      <c r="Q26" s="43">
        <v>25850.76</v>
      </c>
      <c r="R26" s="49">
        <f t="shared" si="3"/>
        <v>30361.578802097709</v>
      </c>
      <c r="S26" s="48">
        <v>1.2959000000000001</v>
      </c>
    </row>
    <row r="27" spans="2:19" x14ac:dyDescent="0.2">
      <c r="B27" s="47">
        <v>43888</v>
      </c>
      <c r="C27" s="46">
        <v>31000</v>
      </c>
      <c r="D27" s="45">
        <v>33000</v>
      </c>
      <c r="E27" s="44">
        <f t="shared" si="0"/>
        <v>32000</v>
      </c>
      <c r="F27" s="46">
        <v>31500</v>
      </c>
      <c r="G27" s="45">
        <v>33500</v>
      </c>
      <c r="H27" s="44">
        <f t="shared" si="1"/>
        <v>32500</v>
      </c>
      <c r="I27" s="46">
        <v>33765</v>
      </c>
      <c r="J27" s="45">
        <v>34765</v>
      </c>
      <c r="K27" s="44">
        <f t="shared" si="2"/>
        <v>34265</v>
      </c>
      <c r="L27" s="52">
        <v>33000</v>
      </c>
      <c r="M27" s="51">
        <v>1.2892999999999999</v>
      </c>
      <c r="N27" s="51">
        <v>1.0964</v>
      </c>
      <c r="O27" s="50">
        <v>109.88</v>
      </c>
      <c r="P27" s="43">
        <v>25595.279999999999</v>
      </c>
      <c r="Q27" s="43">
        <v>25922.77</v>
      </c>
      <c r="R27" s="49">
        <f t="shared" si="3"/>
        <v>30098.504195549067</v>
      </c>
      <c r="S27" s="48">
        <v>1.2923</v>
      </c>
    </row>
    <row r="28" spans="2:19" x14ac:dyDescent="0.2">
      <c r="B28" s="47">
        <v>43889</v>
      </c>
      <c r="C28" s="46">
        <v>31000</v>
      </c>
      <c r="D28" s="45">
        <v>33000</v>
      </c>
      <c r="E28" s="44">
        <f t="shared" si="0"/>
        <v>32000</v>
      </c>
      <c r="F28" s="46">
        <v>31500</v>
      </c>
      <c r="G28" s="45">
        <v>33500</v>
      </c>
      <c r="H28" s="44">
        <f t="shared" si="1"/>
        <v>32500</v>
      </c>
      <c r="I28" s="46">
        <v>33760</v>
      </c>
      <c r="J28" s="45">
        <v>34760</v>
      </c>
      <c r="K28" s="44">
        <f t="shared" si="2"/>
        <v>34260</v>
      </c>
      <c r="L28" s="52">
        <v>33000</v>
      </c>
      <c r="M28" s="51">
        <v>1.2875000000000001</v>
      </c>
      <c r="N28" s="51">
        <v>1.0987</v>
      </c>
      <c r="O28" s="50">
        <v>108.69</v>
      </c>
      <c r="P28" s="43">
        <v>25631.07</v>
      </c>
      <c r="Q28" s="43">
        <v>25958.93</v>
      </c>
      <c r="R28" s="49">
        <f t="shared" si="3"/>
        <v>30035.496495858741</v>
      </c>
      <c r="S28" s="48">
        <v>1.2905</v>
      </c>
    </row>
    <row r="29" spans="2:19" s="10" customFormat="1" x14ac:dyDescent="0.2">
      <c r="B29" s="42" t="s">
        <v>11</v>
      </c>
      <c r="C29" s="41">
        <f>ROUND(AVERAGE(C9:C28),2)</f>
        <v>32987.5</v>
      </c>
      <c r="D29" s="40">
        <f>ROUND(AVERAGE(D9:D28),2)</f>
        <v>33712.5</v>
      </c>
      <c r="E29" s="39">
        <f>ROUND(AVERAGE(C29:D29),2)</f>
        <v>33350</v>
      </c>
      <c r="F29" s="41">
        <f>ROUND(AVERAGE(F9:F28),2)</f>
        <v>33487.5</v>
      </c>
      <c r="G29" s="40">
        <f>ROUND(AVERAGE(G9:G28),2)</f>
        <v>34212.5</v>
      </c>
      <c r="H29" s="39">
        <f>ROUND(AVERAGE(F29:G29),2)</f>
        <v>33850</v>
      </c>
      <c r="I29" s="41">
        <f>ROUND(AVERAGE(I9:I28),2)</f>
        <v>35167</v>
      </c>
      <c r="J29" s="40">
        <f>ROUND(AVERAGE(J9:J28),2)</f>
        <v>36167</v>
      </c>
      <c r="K29" s="39">
        <f>ROUND(AVERAGE(I29:J29),2)</f>
        <v>35667</v>
      </c>
      <c r="L29" s="38">
        <f>ROUND(AVERAGE(L9:L28),2)</f>
        <v>33712.5</v>
      </c>
      <c r="M29" s="37">
        <f>ROUND(AVERAGE(M9:M28),4)</f>
        <v>1.2968</v>
      </c>
      <c r="N29" s="36">
        <f>ROUND(AVERAGE(N9:N28),4)</f>
        <v>1.0905</v>
      </c>
      <c r="O29" s="175">
        <f>ROUND(AVERAGE(O9:O28),2)</f>
        <v>110.07</v>
      </c>
      <c r="P29" s="35">
        <f>AVERAGE(P9:P28)</f>
        <v>25997.334500000001</v>
      </c>
      <c r="Q29" s="35">
        <f>AVERAGE(Q9:Q28)</f>
        <v>26320.1</v>
      </c>
      <c r="R29" s="35">
        <f>AVERAGE(R9:R28)</f>
        <v>30915.79281271021</v>
      </c>
      <c r="S29" s="34">
        <f>AVERAGE(S9:S28)</f>
        <v>1.2998450000000001</v>
      </c>
    </row>
    <row r="30" spans="2:19" s="5" customFormat="1" x14ac:dyDescent="0.2">
      <c r="B30" s="33" t="s">
        <v>12</v>
      </c>
      <c r="C30" s="32">
        <f t="shared" ref="C30:S30" si="4">MAX(C9:C28)</f>
        <v>34250</v>
      </c>
      <c r="D30" s="31">
        <f t="shared" si="4"/>
        <v>34750</v>
      </c>
      <c r="E30" s="30">
        <f t="shared" si="4"/>
        <v>34500</v>
      </c>
      <c r="F30" s="32">
        <f t="shared" si="4"/>
        <v>34750</v>
      </c>
      <c r="G30" s="31">
        <f t="shared" si="4"/>
        <v>35250</v>
      </c>
      <c r="H30" s="30">
        <f t="shared" si="4"/>
        <v>35000</v>
      </c>
      <c r="I30" s="32">
        <f t="shared" si="4"/>
        <v>36365</v>
      </c>
      <c r="J30" s="31">
        <f t="shared" si="4"/>
        <v>37365</v>
      </c>
      <c r="K30" s="30">
        <f t="shared" si="4"/>
        <v>36865</v>
      </c>
      <c r="L30" s="29">
        <f t="shared" si="4"/>
        <v>34750</v>
      </c>
      <c r="M30" s="28">
        <f t="shared" si="4"/>
        <v>1.3056000000000001</v>
      </c>
      <c r="N30" s="27">
        <f t="shared" si="4"/>
        <v>1.1067</v>
      </c>
      <c r="O30" s="26">
        <f t="shared" si="4"/>
        <v>111.99</v>
      </c>
      <c r="P30" s="25">
        <f t="shared" si="4"/>
        <v>26706.12</v>
      </c>
      <c r="Q30" s="25">
        <f t="shared" si="4"/>
        <v>27025.99</v>
      </c>
      <c r="R30" s="25">
        <f t="shared" si="4"/>
        <v>31465.048895327778</v>
      </c>
      <c r="S30" s="24">
        <f t="shared" si="4"/>
        <v>1.3087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31000</v>
      </c>
      <c r="D31" s="21">
        <f t="shared" si="5"/>
        <v>33000</v>
      </c>
      <c r="E31" s="20">
        <f t="shared" si="5"/>
        <v>32000</v>
      </c>
      <c r="F31" s="22">
        <f t="shared" si="5"/>
        <v>31500</v>
      </c>
      <c r="G31" s="21">
        <f t="shared" si="5"/>
        <v>33500</v>
      </c>
      <c r="H31" s="20">
        <f t="shared" si="5"/>
        <v>32500</v>
      </c>
      <c r="I31" s="22">
        <f t="shared" si="5"/>
        <v>33760</v>
      </c>
      <c r="J31" s="21">
        <f t="shared" si="5"/>
        <v>34760</v>
      </c>
      <c r="K31" s="20">
        <f t="shared" si="5"/>
        <v>34260</v>
      </c>
      <c r="L31" s="19">
        <f t="shared" si="5"/>
        <v>33000</v>
      </c>
      <c r="M31" s="18">
        <f t="shared" si="5"/>
        <v>1.2866</v>
      </c>
      <c r="N31" s="17">
        <f t="shared" si="5"/>
        <v>1.0789</v>
      </c>
      <c r="O31" s="16">
        <f t="shared" si="5"/>
        <v>108.52</v>
      </c>
      <c r="P31" s="15">
        <f t="shared" si="5"/>
        <v>25525.99</v>
      </c>
      <c r="Q31" s="15">
        <f t="shared" si="5"/>
        <v>25850.76</v>
      </c>
      <c r="R31" s="15">
        <f t="shared" si="5"/>
        <v>30035.496495858741</v>
      </c>
      <c r="S31" s="14">
        <f t="shared" si="5"/>
        <v>1.2898000000000001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43889</v>
      </c>
      <c r="D5" s="74"/>
      <c r="F5" s="75">
        <v>43889</v>
      </c>
      <c r="G5" s="74"/>
      <c r="I5" s="75">
        <v>43889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43864</v>
      </c>
      <c r="D8" s="68">
        <v>5636.78</v>
      </c>
      <c r="F8" s="69">
        <f t="shared" ref="F8:F27" si="0">C8</f>
        <v>43864</v>
      </c>
      <c r="G8" s="68">
        <v>1726.75</v>
      </c>
      <c r="I8" s="69">
        <f t="shared" ref="I8:I27" si="1">C8</f>
        <v>43864</v>
      </c>
      <c r="J8" s="68">
        <v>2231.23</v>
      </c>
    </row>
    <row r="9" spans="2:10" x14ac:dyDescent="0.2">
      <c r="C9" s="69">
        <v>43865</v>
      </c>
      <c r="D9" s="68">
        <v>5668.32</v>
      </c>
      <c r="F9" s="69">
        <f t="shared" si="0"/>
        <v>43865</v>
      </c>
      <c r="G9" s="68">
        <v>1707.68</v>
      </c>
      <c r="I9" s="69">
        <f t="shared" si="1"/>
        <v>43865</v>
      </c>
      <c r="J9" s="68">
        <v>2212.4899999999998</v>
      </c>
    </row>
    <row r="10" spans="2:10" x14ac:dyDescent="0.2">
      <c r="C10" s="69">
        <v>43866</v>
      </c>
      <c r="D10" s="68">
        <v>5698.56</v>
      </c>
      <c r="F10" s="69">
        <f t="shared" si="0"/>
        <v>43866</v>
      </c>
      <c r="G10" s="68">
        <v>1703</v>
      </c>
      <c r="I10" s="69">
        <f t="shared" si="1"/>
        <v>43866</v>
      </c>
      <c r="J10" s="68">
        <v>2199</v>
      </c>
    </row>
    <row r="11" spans="2:10" x14ac:dyDescent="0.2">
      <c r="C11" s="69">
        <v>43867</v>
      </c>
      <c r="D11" s="68">
        <v>5790.25</v>
      </c>
      <c r="F11" s="69">
        <f t="shared" si="0"/>
        <v>43867</v>
      </c>
      <c r="G11" s="68">
        <v>1728.5</v>
      </c>
      <c r="I11" s="69">
        <f t="shared" si="1"/>
        <v>43867</v>
      </c>
      <c r="J11" s="68">
        <v>2234.5700000000002</v>
      </c>
    </row>
    <row r="12" spans="2:10" x14ac:dyDescent="0.2">
      <c r="C12" s="69">
        <v>43868</v>
      </c>
      <c r="D12" s="68">
        <v>5737.24</v>
      </c>
      <c r="F12" s="69">
        <f t="shared" si="0"/>
        <v>43868</v>
      </c>
      <c r="G12" s="68">
        <v>1745.5</v>
      </c>
      <c r="I12" s="69">
        <f t="shared" si="1"/>
        <v>43868</v>
      </c>
      <c r="J12" s="68">
        <v>2207.17</v>
      </c>
    </row>
    <row r="13" spans="2:10" x14ac:dyDescent="0.2">
      <c r="C13" s="69">
        <v>43871</v>
      </c>
      <c r="D13" s="68">
        <v>5706.99</v>
      </c>
      <c r="F13" s="69">
        <f t="shared" si="0"/>
        <v>43871</v>
      </c>
      <c r="G13" s="68">
        <v>1729.87</v>
      </c>
      <c r="I13" s="69">
        <f t="shared" si="1"/>
        <v>43871</v>
      </c>
      <c r="J13" s="68">
        <v>2174.21</v>
      </c>
    </row>
    <row r="14" spans="2:10" x14ac:dyDescent="0.2">
      <c r="C14" s="69">
        <v>43872</v>
      </c>
      <c r="D14" s="68">
        <v>5726.64</v>
      </c>
      <c r="F14" s="69">
        <f t="shared" si="0"/>
        <v>43872</v>
      </c>
      <c r="G14" s="68">
        <v>1717.47</v>
      </c>
      <c r="I14" s="69">
        <f t="shared" si="1"/>
        <v>43872</v>
      </c>
      <c r="J14" s="68">
        <v>2165.52</v>
      </c>
    </row>
    <row r="15" spans="2:10" x14ac:dyDescent="0.2">
      <c r="C15" s="69">
        <v>43873</v>
      </c>
      <c r="D15" s="68">
        <v>5738.5</v>
      </c>
      <c r="F15" s="69">
        <f t="shared" si="0"/>
        <v>43873</v>
      </c>
      <c r="G15" s="68">
        <v>1732.54</v>
      </c>
      <c r="I15" s="69">
        <f t="shared" si="1"/>
        <v>43873</v>
      </c>
      <c r="J15" s="68">
        <v>2154.63</v>
      </c>
    </row>
    <row r="16" spans="2:10" x14ac:dyDescent="0.2">
      <c r="C16" s="69">
        <v>43874</v>
      </c>
      <c r="D16" s="68">
        <v>5743.44</v>
      </c>
      <c r="F16" s="69">
        <f t="shared" si="0"/>
        <v>43874</v>
      </c>
      <c r="G16" s="68">
        <v>1728.5</v>
      </c>
      <c r="I16" s="69">
        <f t="shared" si="1"/>
        <v>43874</v>
      </c>
      <c r="J16" s="68">
        <v>2158.65</v>
      </c>
    </row>
    <row r="17" spans="2:10" x14ac:dyDescent="0.2">
      <c r="C17" s="69">
        <v>43875</v>
      </c>
      <c r="D17" s="68">
        <v>5781.98</v>
      </c>
      <c r="F17" s="69">
        <f t="shared" si="0"/>
        <v>43875</v>
      </c>
      <c r="G17" s="68">
        <v>1740.17</v>
      </c>
      <c r="I17" s="69">
        <f t="shared" si="1"/>
        <v>43875</v>
      </c>
      <c r="J17" s="68">
        <v>2176.5</v>
      </c>
    </row>
    <row r="18" spans="2:10" x14ac:dyDescent="0.2">
      <c r="C18" s="69">
        <v>43878</v>
      </c>
      <c r="D18" s="68">
        <v>5824.68</v>
      </c>
      <c r="F18" s="69">
        <f t="shared" si="0"/>
        <v>43878</v>
      </c>
      <c r="G18" s="68">
        <v>1724.68</v>
      </c>
      <c r="I18" s="69">
        <f t="shared" si="1"/>
        <v>43878</v>
      </c>
      <c r="J18" s="68">
        <v>2171</v>
      </c>
    </row>
    <row r="19" spans="2:10" x14ac:dyDescent="0.2">
      <c r="C19" s="69">
        <v>43879</v>
      </c>
      <c r="D19" s="68">
        <v>5790.48</v>
      </c>
      <c r="F19" s="69">
        <f t="shared" si="0"/>
        <v>43879</v>
      </c>
      <c r="G19" s="68">
        <v>1720.62</v>
      </c>
      <c r="I19" s="69">
        <f t="shared" si="1"/>
        <v>43879</v>
      </c>
      <c r="J19" s="68">
        <v>2158.11</v>
      </c>
    </row>
    <row r="20" spans="2:10" x14ac:dyDescent="0.2">
      <c r="C20" s="69">
        <v>43880</v>
      </c>
      <c r="D20" s="68">
        <v>5801</v>
      </c>
      <c r="F20" s="69">
        <f t="shared" si="0"/>
        <v>43880</v>
      </c>
      <c r="G20" s="68">
        <v>1719.5</v>
      </c>
      <c r="I20" s="69">
        <f t="shared" si="1"/>
        <v>43880</v>
      </c>
      <c r="J20" s="68">
        <v>2154.14</v>
      </c>
    </row>
    <row r="21" spans="2:10" x14ac:dyDescent="0.2">
      <c r="C21" s="69">
        <v>43881</v>
      </c>
      <c r="D21" s="68">
        <v>5783.26</v>
      </c>
      <c r="F21" s="69">
        <f t="shared" si="0"/>
        <v>43881</v>
      </c>
      <c r="G21" s="68">
        <v>1717.5</v>
      </c>
      <c r="I21" s="69">
        <f t="shared" si="1"/>
        <v>43881</v>
      </c>
      <c r="J21" s="68">
        <v>2141</v>
      </c>
    </row>
    <row r="22" spans="2:10" x14ac:dyDescent="0.2">
      <c r="C22" s="69">
        <v>43882</v>
      </c>
      <c r="D22" s="68">
        <v>5711.56</v>
      </c>
      <c r="F22" s="69">
        <f t="shared" si="0"/>
        <v>43882</v>
      </c>
      <c r="G22" s="68">
        <v>1705.5</v>
      </c>
      <c r="I22" s="69">
        <f t="shared" si="1"/>
        <v>43882</v>
      </c>
      <c r="J22" s="68">
        <v>2108.6</v>
      </c>
    </row>
    <row r="23" spans="2:10" x14ac:dyDescent="0.2">
      <c r="C23" s="69">
        <v>43885</v>
      </c>
      <c r="D23" s="68">
        <v>5708.02</v>
      </c>
      <c r="F23" s="69">
        <f t="shared" si="0"/>
        <v>43885</v>
      </c>
      <c r="G23" s="68">
        <v>1700.25</v>
      </c>
      <c r="I23" s="69">
        <f t="shared" si="1"/>
        <v>43885</v>
      </c>
      <c r="J23" s="68">
        <v>2065.8200000000002</v>
      </c>
    </row>
    <row r="24" spans="2:10" x14ac:dyDescent="0.2">
      <c r="C24" s="69">
        <v>43886</v>
      </c>
      <c r="D24" s="68">
        <v>5725.02</v>
      </c>
      <c r="F24" s="69">
        <f t="shared" si="0"/>
        <v>43886</v>
      </c>
      <c r="G24" s="68">
        <v>1703.24</v>
      </c>
      <c r="I24" s="69">
        <f t="shared" si="1"/>
        <v>43886</v>
      </c>
      <c r="J24" s="68">
        <v>2057.29</v>
      </c>
    </row>
    <row r="25" spans="2:10" x14ac:dyDescent="0.2">
      <c r="C25" s="69">
        <v>43887</v>
      </c>
      <c r="D25" s="68">
        <v>5673.74</v>
      </c>
      <c r="F25" s="69">
        <f t="shared" si="0"/>
        <v>43887</v>
      </c>
      <c r="G25" s="68">
        <v>1700.33</v>
      </c>
      <c r="I25" s="69">
        <f t="shared" si="1"/>
        <v>43887</v>
      </c>
      <c r="J25" s="68">
        <v>2037.4</v>
      </c>
    </row>
    <row r="26" spans="2:10" x14ac:dyDescent="0.2">
      <c r="C26" s="69">
        <v>43888</v>
      </c>
      <c r="D26" s="68">
        <v>5662.79</v>
      </c>
      <c r="F26" s="69">
        <f t="shared" si="0"/>
        <v>43888</v>
      </c>
      <c r="G26" s="68">
        <v>1694.17</v>
      </c>
      <c r="I26" s="69">
        <f t="shared" si="1"/>
        <v>43888</v>
      </c>
      <c r="J26" s="68">
        <v>2045.29</v>
      </c>
    </row>
    <row r="27" spans="2:10" ht="13.5" thickBot="1" x14ac:dyDescent="0.25">
      <c r="C27" s="69">
        <v>43889</v>
      </c>
      <c r="D27" s="68">
        <v>5550.73</v>
      </c>
      <c r="F27" s="69">
        <f t="shared" si="0"/>
        <v>43889</v>
      </c>
      <c r="G27" s="68">
        <v>1667</v>
      </c>
      <c r="I27" s="69">
        <f t="shared" si="1"/>
        <v>43889</v>
      </c>
      <c r="J27" s="68">
        <v>1983.56</v>
      </c>
    </row>
    <row r="28" spans="2:10" x14ac:dyDescent="0.2">
      <c r="B28" s="5"/>
      <c r="C28" s="67" t="s">
        <v>11</v>
      </c>
      <c r="D28" s="66">
        <f>ROUND(AVERAGE(D8:D27),2)</f>
        <v>5723</v>
      </c>
      <c r="F28" s="67" t="s">
        <v>11</v>
      </c>
      <c r="G28" s="66">
        <f>ROUND(AVERAGE(G8:G27),2)</f>
        <v>1715.64</v>
      </c>
      <c r="I28" s="67" t="s">
        <v>11</v>
      </c>
      <c r="J28" s="66">
        <f>ROUND(AVERAGE(J8:J27),2)</f>
        <v>2141.81</v>
      </c>
    </row>
    <row r="29" spans="2:10" x14ac:dyDescent="0.2">
      <c r="B29" s="5"/>
      <c r="C29" s="65" t="s">
        <v>12</v>
      </c>
      <c r="D29" s="64">
        <f>MAX(D8:D27)</f>
        <v>5824.68</v>
      </c>
      <c r="F29" s="65" t="s">
        <v>12</v>
      </c>
      <c r="G29" s="64">
        <f>MAX(G8:G27)</f>
        <v>1745.5</v>
      </c>
      <c r="I29" s="65" t="s">
        <v>12</v>
      </c>
      <c r="J29" s="64">
        <f>MAX(J8:J27)</f>
        <v>2234.5700000000002</v>
      </c>
    </row>
    <row r="30" spans="2:10" x14ac:dyDescent="0.2">
      <c r="B30" s="5"/>
      <c r="C30" s="63" t="s">
        <v>13</v>
      </c>
      <c r="D30" s="62">
        <f>MIN(D8:D27)</f>
        <v>5550.73</v>
      </c>
      <c r="F30" s="63" t="s">
        <v>13</v>
      </c>
      <c r="G30" s="62">
        <f>MIN(G8:G27)</f>
        <v>1667</v>
      </c>
      <c r="I30" s="63" t="s">
        <v>13</v>
      </c>
      <c r="J30" s="62">
        <f>MIN(J8:J27)</f>
        <v>1983.56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5723</v>
      </c>
      <c r="D11" s="155">
        <f>ABR!G28</f>
        <v>1715.64</v>
      </c>
      <c r="E11" s="155">
        <f>ABR!J28</f>
        <v>2141.81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1.2968</v>
      </c>
    </row>
    <row r="18" spans="2:9" x14ac:dyDescent="0.2">
      <c r="B18" s="151" t="s">
        <v>43</v>
      </c>
      <c r="C18" s="150">
        <f>'Averages Inc. Euro Eq'!F67</f>
        <v>110.07</v>
      </c>
    </row>
    <row r="19" spans="2:9" x14ac:dyDescent="0.2">
      <c r="B19" s="151" t="s">
        <v>41</v>
      </c>
      <c r="C19" s="149">
        <f>'Averages Inc. Euro Eq'!F68</f>
        <v>1.0905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1685.08</v>
      </c>
      <c r="D13" s="113">
        <v>1350.33</v>
      </c>
      <c r="E13" s="113">
        <v>5685.3</v>
      </c>
      <c r="F13" s="113">
        <v>1871.2</v>
      </c>
      <c r="G13" s="113">
        <v>12735.5</v>
      </c>
      <c r="H13" s="113">
        <v>16438</v>
      </c>
      <c r="I13" s="113">
        <v>2119.33</v>
      </c>
      <c r="J13" s="113">
        <v>1242</v>
      </c>
      <c r="K13" s="113">
        <v>0.5</v>
      </c>
      <c r="L13" s="113">
        <v>32987.5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1685.85</v>
      </c>
      <c r="D15" s="113">
        <v>1358.73</v>
      </c>
      <c r="E15" s="113">
        <v>5686.45</v>
      </c>
      <c r="F15" s="113">
        <v>1872.3</v>
      </c>
      <c r="G15" s="113">
        <v>12743.5</v>
      </c>
      <c r="H15" s="113">
        <v>16456.5</v>
      </c>
      <c r="I15" s="113">
        <v>2120.48</v>
      </c>
      <c r="J15" s="113">
        <v>1251.75</v>
      </c>
      <c r="K15" s="113">
        <v>1</v>
      </c>
      <c r="L15" s="113">
        <v>33712.5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1685.46</v>
      </c>
      <c r="D17" s="113">
        <v>1354.53</v>
      </c>
      <c r="E17" s="113">
        <v>5685.88</v>
      </c>
      <c r="F17" s="113">
        <v>1871.75</v>
      </c>
      <c r="G17" s="113">
        <v>12739.5</v>
      </c>
      <c r="H17" s="113">
        <v>16447.25</v>
      </c>
      <c r="I17" s="113">
        <v>2119.9</v>
      </c>
      <c r="J17" s="113">
        <v>1246.8800000000001</v>
      </c>
      <c r="K17" s="113">
        <v>0.75</v>
      </c>
      <c r="L17" s="113">
        <v>33350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1710.58</v>
      </c>
      <c r="D19" s="113">
        <v>1368.25</v>
      </c>
      <c r="E19" s="113">
        <v>5703.2</v>
      </c>
      <c r="F19" s="113">
        <v>1840.75</v>
      </c>
      <c r="G19" s="113">
        <v>12813.75</v>
      </c>
      <c r="H19" s="113">
        <v>16430.25</v>
      </c>
      <c r="I19" s="113">
        <v>2128.8000000000002</v>
      </c>
      <c r="J19" s="113">
        <v>1257.25</v>
      </c>
      <c r="K19" s="113">
        <v>0.5</v>
      </c>
      <c r="L19" s="113">
        <v>33487.5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1711.58</v>
      </c>
      <c r="D21" s="113">
        <v>1378.25</v>
      </c>
      <c r="E21" s="113">
        <v>5705.43</v>
      </c>
      <c r="F21" s="113">
        <v>1842.13</v>
      </c>
      <c r="G21" s="113">
        <v>12824.25</v>
      </c>
      <c r="H21" s="113">
        <v>16457</v>
      </c>
      <c r="I21" s="113">
        <v>2130.0500000000002</v>
      </c>
      <c r="J21" s="113">
        <v>1267.5</v>
      </c>
      <c r="K21" s="113">
        <v>1</v>
      </c>
      <c r="L21" s="113">
        <v>34212.5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1711.08</v>
      </c>
      <c r="D23" s="113">
        <v>1373.25</v>
      </c>
      <c r="E23" s="113">
        <v>5704.31</v>
      </c>
      <c r="F23" s="113">
        <v>1841.44</v>
      </c>
      <c r="G23" s="113">
        <v>12819</v>
      </c>
      <c r="H23" s="113">
        <v>16443.63</v>
      </c>
      <c r="I23" s="113">
        <v>2129.4299999999998</v>
      </c>
      <c r="J23" s="113">
        <v>1262.3800000000001</v>
      </c>
      <c r="K23" s="113">
        <v>0.75</v>
      </c>
      <c r="L23" s="113">
        <v>33850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1840.7</v>
      </c>
      <c r="D25" s="113">
        <v>1375.75</v>
      </c>
      <c r="E25" s="113">
        <v>5798</v>
      </c>
      <c r="F25" s="113">
        <v>1867.35</v>
      </c>
      <c r="G25" s="113">
        <v>13241.5</v>
      </c>
      <c r="H25" s="113"/>
      <c r="I25" s="113">
        <v>2158.35</v>
      </c>
      <c r="J25" s="113">
        <v>1272.25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1845.7</v>
      </c>
      <c r="D27" s="113">
        <v>1385.75</v>
      </c>
      <c r="E27" s="113">
        <v>5808</v>
      </c>
      <c r="F27" s="113">
        <v>1872.35</v>
      </c>
      <c r="G27" s="113">
        <v>13291.5</v>
      </c>
      <c r="H27" s="113"/>
      <c r="I27" s="113">
        <v>2163.35</v>
      </c>
      <c r="J27" s="113">
        <v>1282.25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1843.2</v>
      </c>
      <c r="D29" s="113">
        <v>1380.75</v>
      </c>
      <c r="E29" s="113">
        <v>5803</v>
      </c>
      <c r="F29" s="113">
        <v>1869.85</v>
      </c>
      <c r="G29" s="113">
        <v>13266.5</v>
      </c>
      <c r="H29" s="113"/>
      <c r="I29" s="113">
        <v>2160.85</v>
      </c>
      <c r="J29" s="113">
        <v>1277.25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1924.8</v>
      </c>
      <c r="D31" s="113"/>
      <c r="E31" s="113">
        <v>5852.75</v>
      </c>
      <c r="F31" s="113">
        <v>1884.9</v>
      </c>
      <c r="G31" s="113">
        <v>13506.25</v>
      </c>
      <c r="H31" s="113"/>
      <c r="I31" s="113">
        <v>2176.35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1929.8</v>
      </c>
      <c r="D33" s="113"/>
      <c r="E33" s="113">
        <v>5862.75</v>
      </c>
      <c r="F33" s="113">
        <v>1889.9</v>
      </c>
      <c r="G33" s="113">
        <v>13556.25</v>
      </c>
      <c r="H33" s="113"/>
      <c r="I33" s="113">
        <v>2181.35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1927.3</v>
      </c>
      <c r="D35" s="113"/>
      <c r="E35" s="113">
        <v>5857.75</v>
      </c>
      <c r="F35" s="113">
        <v>1887.4</v>
      </c>
      <c r="G35" s="113">
        <v>13531.25</v>
      </c>
      <c r="H35" s="113"/>
      <c r="I35" s="113">
        <v>2178.85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2008.65</v>
      </c>
      <c r="D37" s="113"/>
      <c r="E37" s="113">
        <v>5905.5</v>
      </c>
      <c r="F37" s="113">
        <v>1899.9</v>
      </c>
      <c r="G37" s="113">
        <v>13776.25</v>
      </c>
      <c r="H37" s="113"/>
      <c r="I37" s="113">
        <v>2179.5500000000002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2013.65</v>
      </c>
      <c r="D39" s="113"/>
      <c r="E39" s="113">
        <v>5915.5</v>
      </c>
      <c r="F39" s="113">
        <v>1904.9</v>
      </c>
      <c r="G39" s="113">
        <v>13826.25</v>
      </c>
      <c r="H39" s="113"/>
      <c r="I39" s="113">
        <v>2184.5500000000002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2011.15</v>
      </c>
      <c r="D41" s="113"/>
      <c r="E41" s="113">
        <v>5910.5</v>
      </c>
      <c r="F41" s="113">
        <v>1902.4</v>
      </c>
      <c r="G41" s="113">
        <v>13801.25</v>
      </c>
      <c r="H41" s="113"/>
      <c r="I41" s="113">
        <v>2182.0500000000002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16330.5</v>
      </c>
      <c r="I43" s="113"/>
      <c r="J43" s="113"/>
      <c r="K43" s="113">
        <v>0.5</v>
      </c>
      <c r="L43" s="113">
        <v>35167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16380.5</v>
      </c>
      <c r="I45" s="113"/>
      <c r="J45" s="113"/>
      <c r="K45" s="113">
        <v>1</v>
      </c>
      <c r="L45" s="113">
        <v>36167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16355.5</v>
      </c>
      <c r="I47" s="110"/>
      <c r="J47" s="110"/>
      <c r="K47" s="110">
        <v>0.75</v>
      </c>
      <c r="L47" s="110">
        <v>35667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1546.1</v>
      </c>
    </row>
    <row r="55" spans="2:5" x14ac:dyDescent="0.2">
      <c r="B55" s="100" t="s">
        <v>56</v>
      </c>
      <c r="C55" s="101">
        <v>1246.1199999999999</v>
      </c>
    </row>
    <row r="56" spans="2:5" x14ac:dyDescent="0.2">
      <c r="B56" s="100" t="s">
        <v>55</v>
      </c>
      <c r="C56" s="101">
        <v>5215.32</v>
      </c>
    </row>
    <row r="57" spans="2:5" x14ac:dyDescent="0.2">
      <c r="B57" s="100" t="s">
        <v>54</v>
      </c>
      <c r="C57" s="101">
        <v>1717.25</v>
      </c>
    </row>
    <row r="58" spans="2:5" x14ac:dyDescent="0.2">
      <c r="B58" s="100" t="s">
        <v>53</v>
      </c>
      <c r="C58" s="101">
        <v>11687.03</v>
      </c>
    </row>
    <row r="59" spans="2:5" x14ac:dyDescent="0.2">
      <c r="B59" s="100" t="s">
        <v>52</v>
      </c>
      <c r="C59" s="101">
        <v>15093.2</v>
      </c>
    </row>
    <row r="60" spans="2:5" x14ac:dyDescent="0.2">
      <c r="B60" s="100" t="s">
        <v>51</v>
      </c>
      <c r="C60" s="101">
        <v>1944.5</v>
      </c>
    </row>
    <row r="61" spans="2:5" x14ac:dyDescent="0.2">
      <c r="B61" s="98" t="s">
        <v>50</v>
      </c>
      <c r="C61" s="97">
        <v>1148.05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4385.16</v>
      </c>
      <c r="E65" s="96" t="s">
        <v>46</v>
      </c>
    </row>
    <row r="66" spans="2:9" x14ac:dyDescent="0.2">
      <c r="B66" s="93" t="s">
        <v>45</v>
      </c>
      <c r="D66" s="92">
        <v>4389.32</v>
      </c>
      <c r="E66" s="95" t="s">
        <v>10</v>
      </c>
      <c r="F66" s="90">
        <v>1.2968</v>
      </c>
    </row>
    <row r="67" spans="2:9" x14ac:dyDescent="0.2">
      <c r="B67" s="93" t="s">
        <v>44</v>
      </c>
      <c r="D67" s="92">
        <v>1443.87</v>
      </c>
      <c r="E67" s="95" t="s">
        <v>43</v>
      </c>
      <c r="F67" s="94">
        <v>110.07</v>
      </c>
    </row>
    <row r="68" spans="2:9" x14ac:dyDescent="0.2">
      <c r="B68" s="93" t="s">
        <v>42</v>
      </c>
      <c r="D68" s="92">
        <v>1417.18</v>
      </c>
      <c r="E68" s="91" t="s">
        <v>41</v>
      </c>
      <c r="F68" s="90">
        <v>1.0905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77F904-3023-4F14-90A7-D8FD8B12331C}"/>
</file>

<file path=customXml/itemProps2.xml><?xml version="1.0" encoding="utf-8"?>
<ds:datastoreItem xmlns:ds="http://schemas.openxmlformats.org/officeDocument/2006/customXml" ds:itemID="{37738B4A-EA99-4FF2-8088-C17FC0505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</cp:lastModifiedBy>
  <cp:lastPrinted>2011-08-25T10:07:39Z</cp:lastPrinted>
  <dcterms:created xsi:type="dcterms:W3CDTF">2012-05-31T12:49:12Z</dcterms:created>
  <dcterms:modified xsi:type="dcterms:W3CDTF">2020-03-31T13:54:28Z</dcterms:modified>
</cp:coreProperties>
</file>