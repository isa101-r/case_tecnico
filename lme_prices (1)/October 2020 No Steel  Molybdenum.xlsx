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LANILHAS LME MENSAIS\Ano 2020\"/>
    </mc:Choice>
  </mc:AlternateContent>
  <xr:revisionPtr revIDLastSave="0" documentId="8_{7F36D072-BB6A-481A-91DA-0FEF720F9F39}" xr6:coauthVersionLast="45" xr6:coauthVersionMax="45" xr10:uidLastSave="{00000000-0000-0000-0000-000000000000}"/>
  <bookViews>
    <workbookView xWindow="-120" yWindow="-120" windowWidth="20730" windowHeight="11160" tabRatio="993" activeTab="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K31" i="10" s="1"/>
  <c r="I31" i="10"/>
  <c r="G31" i="10"/>
  <c r="F31" i="10"/>
  <c r="H31" i="10" s="1"/>
  <c r="D31" i="10"/>
  <c r="C31" i="10"/>
  <c r="E31" i="10" s="1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3" i="10" s="1"/>
  <c r="K10" i="10"/>
  <c r="H10" i="10"/>
  <c r="E10" i="10"/>
  <c r="R9" i="10"/>
  <c r="K9" i="10"/>
  <c r="K32" i="10" s="1"/>
  <c r="H9" i="10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Q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Q31" i="8" s="1"/>
  <c r="M31" i="8"/>
  <c r="L31" i="8"/>
  <c r="N31" i="8" s="1"/>
  <c r="J31" i="8"/>
  <c r="I31" i="8"/>
  <c r="K31" i="8" s="1"/>
  <c r="H31" i="8"/>
  <c r="G31" i="8"/>
  <c r="F31" i="8"/>
  <c r="D31" i="8"/>
  <c r="C31" i="8"/>
  <c r="E31" i="8" s="1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3" i="8" s="1"/>
  <c r="K10" i="8"/>
  <c r="H10" i="8"/>
  <c r="E10" i="8"/>
  <c r="X9" i="8"/>
  <c r="Q9" i="8"/>
  <c r="N9" i="8"/>
  <c r="K9" i="8"/>
  <c r="H9" i="8"/>
  <c r="H32" i="8" s="1"/>
  <c r="E9" i="8"/>
  <c r="E33" i="8" s="1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K31" i="7" s="1"/>
  <c r="G31" i="7"/>
  <c r="F31" i="7"/>
  <c r="H31" i="7" s="1"/>
  <c r="D31" i="7"/>
  <c r="C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H33" i="7" s="1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N31" i="6" s="1"/>
  <c r="J31" i="6"/>
  <c r="I31" i="6"/>
  <c r="G31" i="6"/>
  <c r="F31" i="6"/>
  <c r="H31" i="6" s="1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N9" i="6"/>
  <c r="N32" i="6" s="1"/>
  <c r="K9" i="6"/>
  <c r="K32" i="6" s="1"/>
  <c r="H9" i="6"/>
  <c r="E9" i="6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Q31" i="5" s="1"/>
  <c r="M31" i="5"/>
  <c r="L31" i="5"/>
  <c r="J31" i="5"/>
  <c r="I31" i="5"/>
  <c r="K31" i="5" s="1"/>
  <c r="G31" i="5"/>
  <c r="F31" i="5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1" i="5" s="1"/>
  <c r="Q9" i="5"/>
  <c r="Q32" i="5" s="1"/>
  <c r="N9" i="5"/>
  <c r="K9" i="5"/>
  <c r="H9" i="5"/>
  <c r="E9" i="5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N31" i="4"/>
  <c r="M31" i="4"/>
  <c r="L31" i="4"/>
  <c r="J31" i="4"/>
  <c r="I31" i="4"/>
  <c r="G31" i="4"/>
  <c r="F31" i="4"/>
  <c r="H31" i="4" s="1"/>
  <c r="D31" i="4"/>
  <c r="E31" i="4" s="1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1" i="4" s="1"/>
  <c r="Q9" i="4"/>
  <c r="N9" i="4"/>
  <c r="K9" i="4"/>
  <c r="H9" i="4"/>
  <c r="E9" i="4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H31" i="3" s="1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K9" i="3"/>
  <c r="H9" i="3"/>
  <c r="E9" i="3"/>
  <c r="E33" i="3" s="1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H31" i="2" s="1"/>
  <c r="D31" i="2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R33" i="2" s="1"/>
  <c r="K10" i="2"/>
  <c r="H10" i="2"/>
  <c r="E10" i="2"/>
  <c r="R9" i="2"/>
  <c r="K9" i="2"/>
  <c r="K33" i="2" s="1"/>
  <c r="H9" i="2"/>
  <c r="H33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Q31" i="1" s="1"/>
  <c r="M31" i="1"/>
  <c r="L31" i="1"/>
  <c r="N31" i="1" s="1"/>
  <c r="J31" i="1"/>
  <c r="I31" i="1"/>
  <c r="G31" i="1"/>
  <c r="F31" i="1"/>
  <c r="H31" i="1" s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Q9" i="1"/>
  <c r="Q32" i="1" s="1"/>
  <c r="N9" i="1"/>
  <c r="N33" i="1" s="1"/>
  <c r="K9" i="1"/>
  <c r="H9" i="1"/>
  <c r="E9" i="1"/>
  <c r="N32" i="1" l="1"/>
  <c r="R33" i="3"/>
  <c r="K33" i="4"/>
  <c r="H32" i="5"/>
  <c r="X32" i="8"/>
  <c r="R32" i="10"/>
  <c r="E32" i="1"/>
  <c r="H32" i="1"/>
  <c r="K31" i="2"/>
  <c r="N32" i="4"/>
  <c r="X33" i="4"/>
  <c r="K33" i="5"/>
  <c r="E33" i="6"/>
  <c r="E32" i="6"/>
  <c r="K32" i="1"/>
  <c r="K31" i="1"/>
  <c r="K31" i="3"/>
  <c r="Q32" i="4"/>
  <c r="K32" i="4"/>
  <c r="N33" i="5"/>
  <c r="N31" i="5"/>
  <c r="H32" i="6"/>
  <c r="N33" i="6"/>
  <c r="K31" i="6"/>
  <c r="E31" i="7"/>
  <c r="E31" i="2"/>
  <c r="Q31" i="4"/>
  <c r="E32" i="8"/>
  <c r="X31" i="1"/>
  <c r="H33" i="4"/>
  <c r="K32" i="8"/>
  <c r="R32" i="2"/>
  <c r="H33" i="3"/>
  <c r="E32" i="4"/>
  <c r="K31" i="4"/>
  <c r="H31" i="5"/>
  <c r="N32" i="5"/>
  <c r="X32" i="6"/>
  <c r="N32" i="8"/>
  <c r="H33" i="10"/>
  <c r="K32" i="2"/>
  <c r="K32" i="3"/>
  <c r="H32" i="3"/>
  <c r="H32" i="4"/>
  <c r="E32" i="5"/>
  <c r="Q32" i="6"/>
  <c r="Q33" i="8"/>
  <c r="K33" i="10"/>
  <c r="Q33" i="6"/>
  <c r="Q31" i="6"/>
  <c r="K33" i="1"/>
  <c r="X31" i="6"/>
  <c r="E33" i="7"/>
  <c r="X31" i="8"/>
  <c r="H33" i="1"/>
  <c r="X33" i="1"/>
  <c r="H32" i="2"/>
  <c r="R31" i="3"/>
  <c r="E32" i="3"/>
  <c r="X32" i="4"/>
  <c r="E33" i="4"/>
  <c r="Q33" i="4"/>
  <c r="K32" i="5"/>
  <c r="H33" i="5"/>
  <c r="X33" i="5"/>
  <c r="K33" i="6"/>
  <c r="K32" i="7"/>
  <c r="R33" i="7"/>
  <c r="K33" i="8"/>
  <c r="H32" i="10"/>
  <c r="K33" i="3"/>
  <c r="X32" i="1"/>
  <c r="E33" i="1"/>
  <c r="Q33" i="1"/>
  <c r="R31" i="2"/>
  <c r="E32" i="2"/>
  <c r="R32" i="3"/>
  <c r="N33" i="4"/>
  <c r="X32" i="5"/>
  <c r="E33" i="5"/>
  <c r="Q33" i="5"/>
  <c r="H33" i="6"/>
  <c r="X33" i="6"/>
  <c r="H32" i="7"/>
  <c r="H33" i="8"/>
  <c r="X33" i="8"/>
  <c r="R31" i="10"/>
  <c r="E32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<sst xmlns="http://schemas.openxmlformats.org/spreadsheetml/2006/main" count="429" uniqueCount="99">
  <si>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</si>
  <si>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</si>
  <si>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</si>
  <si>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</si>
  <si>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</si>
  <si>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</si>
  <si>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</si>
  <si>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</si>
  <si>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</si>
  <si>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</si>
  <si>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</si>
  <si>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</si>
  <si>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</si>
  <si>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</si>
  <si>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</si>
  <si>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</si>
  <si>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</si>
  <si>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</si>
  <si>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</si>
  <si>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</si>
  <si>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</si>
  <si>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</si>
  <si>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</si>
  <si>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</si>
  <si>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</si>
  <si>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</si>
  <si>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</si>
  <si>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</si>
  <si>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</si>
  <si>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</si>
  <si>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</si>
  <si>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</si>
  <si>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</si>
  <si>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</si>
  <si>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</si>
  <si>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</si>
  <si>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</si>
  <si>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</si>
  <si>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</si>
  <si>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</si>
  <si>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</si>
  <si>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</si>
  <si>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</si>
  <si>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</si>
  <si>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</si>
  <si>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</si>
  <si>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</si>
  <si>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</si>
  <si>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</si>
  <si>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</si>
  <si>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</si>
  <si>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</si>
  <si>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</si>
  <si>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</si>
  <si>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</si>
  <si>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</si>
  <si>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</si>
  <si>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</si>
  <si>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</si>
  <si>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</si>
  <si>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</si>
  <si>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</si>
  <si>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</si>
  <si>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</si>
  <si>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</si>
  <si>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</si>
  <si>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</si>
  <si>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</si>
  <si>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</si>
  <si>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</si>
  <si>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</si>
  <si>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</si>
  <si>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</si>
  <si>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</si>
  <si>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</si>
  <si>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</si>
  <si>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</si>
  <si>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</si>
  <si>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</si>
  <si>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</si>
  <si>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</si>
  <si>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</si>
  <si>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</si>
  <si>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</si>
  <si>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</si>
  <si>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</si>
  <si>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</si>
  <si>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</si>
  <si>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</si>
  <si>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</si>
  <si>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</si>
  <si>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</si>
  <si>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</si>
  <si>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</si>
  <si>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</si>
  <si>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OCTOBER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</si>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</sst>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44105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44105</v>
      </c>
      <c r="C9" s="46">
        <v>6614</v>
      </c>
      <c r="D9" s="45">
        <v>6614</v>
      </c>
      <c r="E9" s="44">
        <f t="shared" ref="E9:E30" si="0">AVERAGE(C9:D9)</f>
        <v>6614</v>
      </c>
      <c r="F9" s="46">
        <v>6628</v>
      </c>
      <c r="G9" s="45">
        <v>6628</v>
      </c>
      <c r="H9" s="44">
        <f t="shared" ref="H9:H30" si="1">AVERAGE(F9:G9)</f>
        <v>6628</v>
      </c>
      <c r="I9" s="46">
        <v>6639</v>
      </c>
      <c r="J9" s="45">
        <v>6639</v>
      </c>
      <c r="K9" s="44">
        <f t="shared" ref="K9:K30" si="2">AVERAGE(I9:J9)</f>
        <v>6639</v>
      </c>
      <c r="L9" s="46">
        <v>6642.5</v>
      </c>
      <c r="M9" s="45">
        <v>6642.5</v>
      </c>
      <c r="N9" s="44">
        <f t="shared" ref="N9:N30" si="3">AVERAGE(L9:M9)</f>
        <v>6642.5</v>
      </c>
      <c r="O9" s="46">
        <v>6662.5</v>
      </c>
      <c r="P9" s="45">
        <v>6662.5</v>
      </c>
      <c r="Q9" s="44">
        <f t="shared" ref="Q9:Q30" si="4">AVERAGE(O9:P9)</f>
        <v>6662.5</v>
      </c>
      <c r="R9" s="52">
        <v>6614</v>
      </c>
      <c r="S9" s="51">
        <v>1.2966</v>
      </c>
      <c r="T9" s="53">
        <v>1.1763999999999999</v>
      </c>
      <c r="U9" s="50">
        <v>105.47</v>
      </c>
      <c r="V9" s="43">
        <v>5101.03</v>
      </c>
      <c r="W9" s="43">
        <v>5108.29</v>
      </c>
      <c r="X9" s="49">
        <f t="shared" ref="X9:X30" si="5">R9/T9</f>
        <v>5622.2373342400551</v>
      </c>
      <c r="Y9" s="48">
        <v>1.2975000000000001</v>
      </c>
    </row>
    <row r="10" spans="1:25" x14ac:dyDescent="0.2">
      <c r="B10" s="47">
        <v>44106</v>
      </c>
      <c r="C10" s="46">
        <v>6409.5</v>
      </c>
      <c r="D10" s="45">
        <v>6409.5</v>
      </c>
      <c r="E10" s="44">
        <f t="shared" si="0"/>
        <v>6409.5</v>
      </c>
      <c r="F10" s="46">
        <v>6418.5</v>
      </c>
      <c r="G10" s="45">
        <v>6418.5</v>
      </c>
      <c r="H10" s="44">
        <f t="shared" si="1"/>
        <v>6418.5</v>
      </c>
      <c r="I10" s="46">
        <v>6433</v>
      </c>
      <c r="J10" s="45">
        <v>6433</v>
      </c>
      <c r="K10" s="44">
        <f t="shared" si="2"/>
        <v>6433</v>
      </c>
      <c r="L10" s="46">
        <v>6438</v>
      </c>
      <c r="M10" s="45">
        <v>6438</v>
      </c>
      <c r="N10" s="44">
        <f t="shared" si="3"/>
        <v>6438</v>
      </c>
      <c r="O10" s="46">
        <v>6458</v>
      </c>
      <c r="P10" s="45">
        <v>6458</v>
      </c>
      <c r="Q10" s="44">
        <f t="shared" si="4"/>
        <v>6458</v>
      </c>
      <c r="R10" s="52">
        <v>6409.5</v>
      </c>
      <c r="S10" s="51">
        <v>1.294</v>
      </c>
      <c r="T10" s="51">
        <v>1.1725000000000001</v>
      </c>
      <c r="U10" s="50">
        <v>105.18</v>
      </c>
      <c r="V10" s="43">
        <v>4953.25</v>
      </c>
      <c r="W10" s="43">
        <v>4957.1400000000003</v>
      </c>
      <c r="X10" s="49">
        <f t="shared" si="5"/>
        <v>5466.5245202558635</v>
      </c>
      <c r="Y10" s="48">
        <v>1.2948</v>
      </c>
    </row>
    <row r="11" spans="1:25" x14ac:dyDescent="0.2">
      <c r="B11" s="47">
        <v>44109</v>
      </c>
      <c r="C11" s="46">
        <v>6507.5</v>
      </c>
      <c r="D11" s="45">
        <v>6507.5</v>
      </c>
      <c r="E11" s="44">
        <f t="shared" si="0"/>
        <v>6507.5</v>
      </c>
      <c r="F11" s="46">
        <v>6519.5</v>
      </c>
      <c r="G11" s="45">
        <v>6519.5</v>
      </c>
      <c r="H11" s="44">
        <f t="shared" si="1"/>
        <v>6519.5</v>
      </c>
      <c r="I11" s="46">
        <v>6531.5</v>
      </c>
      <c r="J11" s="45">
        <v>6531.5</v>
      </c>
      <c r="K11" s="44">
        <f t="shared" si="2"/>
        <v>6531.5</v>
      </c>
      <c r="L11" s="46">
        <v>6536.5</v>
      </c>
      <c r="M11" s="45">
        <v>6536.5</v>
      </c>
      <c r="N11" s="44">
        <f t="shared" si="3"/>
        <v>6536.5</v>
      </c>
      <c r="O11" s="46">
        <v>6556.5</v>
      </c>
      <c r="P11" s="45">
        <v>6556.5</v>
      </c>
      <c r="Q11" s="44">
        <f t="shared" si="4"/>
        <v>6556.5</v>
      </c>
      <c r="R11" s="52">
        <v>6507.5</v>
      </c>
      <c r="S11" s="51">
        <v>1.2952999999999999</v>
      </c>
      <c r="T11" s="51">
        <v>1.1765000000000001</v>
      </c>
      <c r="U11" s="50">
        <v>105.61</v>
      </c>
      <c r="V11" s="43">
        <v>5023.93</v>
      </c>
      <c r="W11" s="43">
        <v>5030.09</v>
      </c>
      <c r="X11" s="49">
        <f t="shared" si="5"/>
        <v>5531.2367190820223</v>
      </c>
      <c r="Y11" s="48">
        <v>1.2961</v>
      </c>
    </row>
    <row r="12" spans="1:25" x14ac:dyDescent="0.2">
      <c r="B12" s="47">
        <v>44110</v>
      </c>
      <c r="C12" s="46">
        <v>6509</v>
      </c>
      <c r="D12" s="45">
        <v>6509</v>
      </c>
      <c r="E12" s="44">
        <f t="shared" si="0"/>
        <v>6509</v>
      </c>
      <c r="F12" s="46">
        <v>6528</v>
      </c>
      <c r="G12" s="45">
        <v>6528</v>
      </c>
      <c r="H12" s="44">
        <f t="shared" si="1"/>
        <v>6528</v>
      </c>
      <c r="I12" s="46">
        <v>6547.5</v>
      </c>
      <c r="J12" s="45">
        <v>6547.5</v>
      </c>
      <c r="K12" s="44">
        <f t="shared" si="2"/>
        <v>6547.5</v>
      </c>
      <c r="L12" s="46">
        <v>6562.5</v>
      </c>
      <c r="M12" s="45">
        <v>6562.5</v>
      </c>
      <c r="N12" s="44">
        <f t="shared" si="3"/>
        <v>6562.5</v>
      </c>
      <c r="O12" s="46">
        <v>6582.5</v>
      </c>
      <c r="P12" s="45">
        <v>6582.5</v>
      </c>
      <c r="Q12" s="44">
        <f t="shared" si="4"/>
        <v>6582.5</v>
      </c>
      <c r="R12" s="52">
        <v>6509</v>
      </c>
      <c r="S12" s="51">
        <v>1.2952999999999999</v>
      </c>
      <c r="T12" s="51">
        <v>1.1796</v>
      </c>
      <c r="U12" s="50">
        <v>105.62</v>
      </c>
      <c r="V12" s="43">
        <v>5025.09</v>
      </c>
      <c r="W12" s="43">
        <v>5036.6499999999996</v>
      </c>
      <c r="X12" s="49">
        <f t="shared" si="5"/>
        <v>5517.9721939640558</v>
      </c>
      <c r="Y12" s="48">
        <v>1.2961</v>
      </c>
    </row>
    <row r="13" spans="1:25" x14ac:dyDescent="0.2">
      <c r="B13" s="47">
        <v>44111</v>
      </c>
      <c r="C13" s="46">
        <v>6525</v>
      </c>
      <c r="D13" s="45">
        <v>6525</v>
      </c>
      <c r="E13" s="44">
        <f t="shared" si="0"/>
        <v>6525</v>
      </c>
      <c r="F13" s="46">
        <v>6538</v>
      </c>
      <c r="G13" s="45">
        <v>6538</v>
      </c>
      <c r="H13" s="44">
        <f t="shared" si="1"/>
        <v>6538</v>
      </c>
      <c r="I13" s="46">
        <v>6568</v>
      </c>
      <c r="J13" s="45">
        <v>6568</v>
      </c>
      <c r="K13" s="44">
        <f t="shared" si="2"/>
        <v>6568</v>
      </c>
      <c r="L13" s="46">
        <v>6603</v>
      </c>
      <c r="M13" s="45">
        <v>6603</v>
      </c>
      <c r="N13" s="44">
        <f t="shared" si="3"/>
        <v>6603</v>
      </c>
      <c r="O13" s="46">
        <v>6632</v>
      </c>
      <c r="P13" s="45">
        <v>6632</v>
      </c>
      <c r="Q13" s="44">
        <f t="shared" si="4"/>
        <v>6632</v>
      </c>
      <c r="R13" s="52">
        <v>6525</v>
      </c>
      <c r="S13" s="51">
        <v>1.2878000000000001</v>
      </c>
      <c r="T13" s="51">
        <v>1.1774</v>
      </c>
      <c r="U13" s="50">
        <v>106.02</v>
      </c>
      <c r="V13" s="43">
        <v>5066.78</v>
      </c>
      <c r="W13" s="43">
        <v>5074.12</v>
      </c>
      <c r="X13" s="49">
        <f t="shared" si="5"/>
        <v>5541.8719211822663</v>
      </c>
      <c r="Y13" s="48">
        <v>1.2885</v>
      </c>
    </row>
    <row r="14" spans="1:25" x14ac:dyDescent="0.2">
      <c r="B14" s="47">
        <v>44112</v>
      </c>
      <c r="C14" s="46">
        <v>6611.5</v>
      </c>
      <c r="D14" s="45">
        <v>6611.5</v>
      </c>
      <c r="E14" s="44">
        <f t="shared" si="0"/>
        <v>6611.5</v>
      </c>
      <c r="F14" s="46">
        <v>6622.5</v>
      </c>
      <c r="G14" s="45">
        <v>6622.5</v>
      </c>
      <c r="H14" s="44">
        <f t="shared" si="1"/>
        <v>6622.5</v>
      </c>
      <c r="I14" s="46">
        <v>6646</v>
      </c>
      <c r="J14" s="45">
        <v>6646</v>
      </c>
      <c r="K14" s="44">
        <f t="shared" si="2"/>
        <v>6646</v>
      </c>
      <c r="L14" s="46">
        <v>6677.5</v>
      </c>
      <c r="M14" s="45">
        <v>6677.5</v>
      </c>
      <c r="N14" s="44">
        <f t="shared" si="3"/>
        <v>6677.5</v>
      </c>
      <c r="O14" s="46">
        <v>6702.5</v>
      </c>
      <c r="P14" s="45">
        <v>6702.5</v>
      </c>
      <c r="Q14" s="44">
        <f t="shared" si="4"/>
        <v>6702.5</v>
      </c>
      <c r="R14" s="52">
        <v>6611.5</v>
      </c>
      <c r="S14" s="51">
        <v>1.2904</v>
      </c>
      <c r="T14" s="51">
        <v>1.1759999999999999</v>
      </c>
      <c r="U14" s="50">
        <v>106.01</v>
      </c>
      <c r="V14" s="43">
        <v>5123.6099999999997</v>
      </c>
      <c r="W14" s="43">
        <v>5129.3500000000004</v>
      </c>
      <c r="X14" s="49">
        <f t="shared" si="5"/>
        <v>5622.0238095238101</v>
      </c>
      <c r="Y14" s="48">
        <v>1.2910999999999999</v>
      </c>
    </row>
    <row r="15" spans="1:25" x14ac:dyDescent="0.2">
      <c r="B15" s="47">
        <v>44113</v>
      </c>
      <c r="C15" s="46">
        <v>6740.5</v>
      </c>
      <c r="D15" s="45">
        <v>6740.5</v>
      </c>
      <c r="E15" s="44">
        <f t="shared" si="0"/>
        <v>6740.5</v>
      </c>
      <c r="F15" s="46">
        <v>6741</v>
      </c>
      <c r="G15" s="45">
        <v>6741</v>
      </c>
      <c r="H15" s="44">
        <f t="shared" si="1"/>
        <v>6741</v>
      </c>
      <c r="I15" s="46">
        <v>6752</v>
      </c>
      <c r="J15" s="45">
        <v>6752</v>
      </c>
      <c r="K15" s="44">
        <f t="shared" si="2"/>
        <v>6752</v>
      </c>
      <c r="L15" s="46">
        <v>6764</v>
      </c>
      <c r="M15" s="45">
        <v>6764</v>
      </c>
      <c r="N15" s="44">
        <f t="shared" si="3"/>
        <v>6764</v>
      </c>
      <c r="O15" s="46">
        <v>6784</v>
      </c>
      <c r="P15" s="45">
        <v>6784</v>
      </c>
      <c r="Q15" s="44">
        <f t="shared" si="4"/>
        <v>6784</v>
      </c>
      <c r="R15" s="52">
        <v>6740.5</v>
      </c>
      <c r="S15" s="51">
        <v>1.2943</v>
      </c>
      <c r="T15" s="51">
        <v>1.18</v>
      </c>
      <c r="U15" s="50">
        <v>105.92</v>
      </c>
      <c r="V15" s="43">
        <v>5207.83</v>
      </c>
      <c r="W15" s="43">
        <v>5205</v>
      </c>
      <c r="X15" s="49">
        <f t="shared" si="5"/>
        <v>5712.2881355932204</v>
      </c>
      <c r="Y15" s="48">
        <v>1.2950999999999999</v>
      </c>
    </row>
    <row r="16" spans="1:25" x14ac:dyDescent="0.2">
      <c r="B16" s="47">
        <v>44116</v>
      </c>
      <c r="C16" s="46">
        <v>6769</v>
      </c>
      <c r="D16" s="45">
        <v>6769</v>
      </c>
      <c r="E16" s="44">
        <f t="shared" si="0"/>
        <v>6769</v>
      </c>
      <c r="F16" s="46">
        <v>6770.5</v>
      </c>
      <c r="G16" s="45">
        <v>6770.5</v>
      </c>
      <c r="H16" s="44">
        <f t="shared" si="1"/>
        <v>6770.5</v>
      </c>
      <c r="I16" s="46">
        <v>6782</v>
      </c>
      <c r="J16" s="45">
        <v>6782</v>
      </c>
      <c r="K16" s="44">
        <f t="shared" si="2"/>
        <v>6782</v>
      </c>
      <c r="L16" s="46">
        <v>6796</v>
      </c>
      <c r="M16" s="45">
        <v>6796</v>
      </c>
      <c r="N16" s="44">
        <f t="shared" si="3"/>
        <v>6796</v>
      </c>
      <c r="O16" s="46">
        <v>6816</v>
      </c>
      <c r="P16" s="45">
        <v>6816</v>
      </c>
      <c r="Q16" s="44">
        <f t="shared" si="4"/>
        <v>6816</v>
      </c>
      <c r="R16" s="52">
        <v>6769</v>
      </c>
      <c r="S16" s="51">
        <v>1.3022</v>
      </c>
      <c r="T16" s="51">
        <v>1.1795</v>
      </c>
      <c r="U16" s="50">
        <v>105.46</v>
      </c>
      <c r="V16" s="43">
        <v>5198.13</v>
      </c>
      <c r="W16" s="43">
        <v>5196.09</v>
      </c>
      <c r="X16" s="49">
        <f t="shared" si="5"/>
        <v>5738.8724035608311</v>
      </c>
      <c r="Y16" s="48">
        <v>1.3029999999999999</v>
      </c>
    </row>
    <row r="17" spans="2:25" x14ac:dyDescent="0.2">
      <c r="B17" s="47">
        <v>44117</v>
      </c>
      <c r="C17" s="46">
        <v>6699.5</v>
      </c>
      <c r="D17" s="45">
        <v>6699.5</v>
      </c>
      <c r="E17" s="44">
        <f t="shared" si="0"/>
        <v>6699.5</v>
      </c>
      <c r="F17" s="46">
        <v>6705.5</v>
      </c>
      <c r="G17" s="45">
        <v>6705.5</v>
      </c>
      <c r="H17" s="44">
        <f t="shared" si="1"/>
        <v>6705.5</v>
      </c>
      <c r="I17" s="46">
        <v>6727.5</v>
      </c>
      <c r="J17" s="45">
        <v>6727.5</v>
      </c>
      <c r="K17" s="44">
        <f t="shared" si="2"/>
        <v>6727.5</v>
      </c>
      <c r="L17" s="46">
        <v>6752.5</v>
      </c>
      <c r="M17" s="45">
        <v>6752.5</v>
      </c>
      <c r="N17" s="44">
        <f t="shared" si="3"/>
        <v>6752.5</v>
      </c>
      <c r="O17" s="46">
        <v>6772.5</v>
      </c>
      <c r="P17" s="45">
        <v>6772.5</v>
      </c>
      <c r="Q17" s="44">
        <f t="shared" si="4"/>
        <v>6772.5</v>
      </c>
      <c r="R17" s="52">
        <v>6699.5</v>
      </c>
      <c r="S17" s="51">
        <v>1.3031999999999999</v>
      </c>
      <c r="T17" s="51">
        <v>1.1789000000000001</v>
      </c>
      <c r="U17" s="50">
        <v>105.51</v>
      </c>
      <c r="V17" s="43">
        <v>5140.8100000000004</v>
      </c>
      <c r="W17" s="43">
        <v>5142.25</v>
      </c>
      <c r="X17" s="49">
        <f t="shared" si="5"/>
        <v>5682.8399355331239</v>
      </c>
      <c r="Y17" s="48">
        <v>1.304</v>
      </c>
    </row>
    <row r="18" spans="2:25" x14ac:dyDescent="0.2">
      <c r="B18" s="47">
        <v>44118</v>
      </c>
      <c r="C18" s="46">
        <v>6702</v>
      </c>
      <c r="D18" s="45">
        <v>6702</v>
      </c>
      <c r="E18" s="44">
        <f t="shared" si="0"/>
        <v>6702</v>
      </c>
      <c r="F18" s="46">
        <v>6715.5</v>
      </c>
      <c r="G18" s="45">
        <v>6715.5</v>
      </c>
      <c r="H18" s="44">
        <f t="shared" si="1"/>
        <v>6715.5</v>
      </c>
      <c r="I18" s="46">
        <v>6743.5</v>
      </c>
      <c r="J18" s="45">
        <v>6743.5</v>
      </c>
      <c r="K18" s="44">
        <f t="shared" si="2"/>
        <v>6743.5</v>
      </c>
      <c r="L18" s="46">
        <v>6770.5</v>
      </c>
      <c r="M18" s="45">
        <v>6770.5</v>
      </c>
      <c r="N18" s="44">
        <f t="shared" si="3"/>
        <v>6770.5</v>
      </c>
      <c r="O18" s="46">
        <v>6798.5</v>
      </c>
      <c r="P18" s="45">
        <v>6798.5</v>
      </c>
      <c r="Q18" s="44">
        <f t="shared" si="4"/>
        <v>6798.5</v>
      </c>
      <c r="R18" s="52">
        <v>6702</v>
      </c>
      <c r="S18" s="51">
        <v>1.2982</v>
      </c>
      <c r="T18" s="51">
        <v>1.1748000000000001</v>
      </c>
      <c r="U18" s="50">
        <v>105.34</v>
      </c>
      <c r="V18" s="43">
        <v>5162.53</v>
      </c>
      <c r="W18" s="43">
        <v>5169.75</v>
      </c>
      <c r="X18" s="49">
        <f t="shared" si="5"/>
        <v>5704.8008171603678</v>
      </c>
      <c r="Y18" s="48">
        <v>1.2989999999999999</v>
      </c>
    </row>
    <row r="19" spans="2:25" x14ac:dyDescent="0.2">
      <c r="B19" s="47">
        <v>44119</v>
      </c>
      <c r="C19" s="46">
        <v>6683.5</v>
      </c>
      <c r="D19" s="45">
        <v>6683.5</v>
      </c>
      <c r="E19" s="44">
        <f t="shared" si="0"/>
        <v>6683.5</v>
      </c>
      <c r="F19" s="46">
        <v>6698</v>
      </c>
      <c r="G19" s="45">
        <v>6698</v>
      </c>
      <c r="H19" s="44">
        <f t="shared" si="1"/>
        <v>6698</v>
      </c>
      <c r="I19" s="46">
        <v>6724</v>
      </c>
      <c r="J19" s="45">
        <v>6724</v>
      </c>
      <c r="K19" s="44">
        <f t="shared" si="2"/>
        <v>6724</v>
      </c>
      <c r="L19" s="46">
        <v>6746</v>
      </c>
      <c r="M19" s="45">
        <v>6746</v>
      </c>
      <c r="N19" s="44">
        <f t="shared" si="3"/>
        <v>6746</v>
      </c>
      <c r="O19" s="46">
        <v>6774</v>
      </c>
      <c r="P19" s="45">
        <v>6774</v>
      </c>
      <c r="Q19" s="44">
        <f t="shared" si="4"/>
        <v>6774</v>
      </c>
      <c r="R19" s="52">
        <v>6683.5</v>
      </c>
      <c r="S19" s="51">
        <v>1.2927</v>
      </c>
      <c r="T19" s="51">
        <v>1.1708000000000001</v>
      </c>
      <c r="U19" s="50">
        <v>105.27</v>
      </c>
      <c r="V19" s="43">
        <v>5170.1899999999996</v>
      </c>
      <c r="W19" s="43">
        <v>5178.2</v>
      </c>
      <c r="X19" s="49">
        <f t="shared" si="5"/>
        <v>5708.4899214212501</v>
      </c>
      <c r="Y19" s="48">
        <v>1.2935000000000001</v>
      </c>
    </row>
    <row r="20" spans="2:25" x14ac:dyDescent="0.2">
      <c r="B20" s="47">
        <v>44120</v>
      </c>
      <c r="C20" s="46">
        <v>6728</v>
      </c>
      <c r="D20" s="45">
        <v>6728</v>
      </c>
      <c r="E20" s="44">
        <f t="shared" si="0"/>
        <v>6728</v>
      </c>
      <c r="F20" s="46">
        <v>6740.5</v>
      </c>
      <c r="G20" s="45">
        <v>6740.5</v>
      </c>
      <c r="H20" s="44">
        <f t="shared" si="1"/>
        <v>6740.5</v>
      </c>
      <c r="I20" s="46">
        <v>6756</v>
      </c>
      <c r="J20" s="45">
        <v>6756</v>
      </c>
      <c r="K20" s="44">
        <f t="shared" si="2"/>
        <v>6756</v>
      </c>
      <c r="L20" s="46">
        <v>6770</v>
      </c>
      <c r="M20" s="45">
        <v>6770</v>
      </c>
      <c r="N20" s="44">
        <f t="shared" si="3"/>
        <v>6770</v>
      </c>
      <c r="O20" s="46">
        <v>6798</v>
      </c>
      <c r="P20" s="45">
        <v>6798</v>
      </c>
      <c r="Q20" s="44">
        <f t="shared" si="4"/>
        <v>6798</v>
      </c>
      <c r="R20" s="52">
        <v>6728</v>
      </c>
      <c r="S20" s="51">
        <v>1.2914000000000001</v>
      </c>
      <c r="T20" s="51">
        <v>1.1732</v>
      </c>
      <c r="U20" s="50">
        <v>105.26</v>
      </c>
      <c r="V20" s="43">
        <v>5209.8500000000004</v>
      </c>
      <c r="W20" s="43">
        <v>5216.7</v>
      </c>
      <c r="X20" s="49">
        <f t="shared" si="5"/>
        <v>5734.7425843845895</v>
      </c>
      <c r="Y20" s="48">
        <v>1.2921</v>
      </c>
    </row>
    <row r="21" spans="2:25" x14ac:dyDescent="0.2">
      <c r="B21" s="47">
        <v>44123</v>
      </c>
      <c r="C21" s="46">
        <v>6755</v>
      </c>
      <c r="D21" s="45">
        <v>6755</v>
      </c>
      <c r="E21" s="44">
        <f t="shared" si="0"/>
        <v>6755</v>
      </c>
      <c r="F21" s="46">
        <v>6773.5</v>
      </c>
      <c r="G21" s="45">
        <v>6773.5</v>
      </c>
      <c r="H21" s="44">
        <f t="shared" si="1"/>
        <v>6773.5</v>
      </c>
      <c r="I21" s="46">
        <v>6786</v>
      </c>
      <c r="J21" s="45">
        <v>6786</v>
      </c>
      <c r="K21" s="44">
        <f t="shared" si="2"/>
        <v>6786</v>
      </c>
      <c r="L21" s="46">
        <v>6805</v>
      </c>
      <c r="M21" s="45">
        <v>6805</v>
      </c>
      <c r="N21" s="44">
        <f t="shared" si="3"/>
        <v>6805</v>
      </c>
      <c r="O21" s="46">
        <v>6830</v>
      </c>
      <c r="P21" s="45">
        <v>6830</v>
      </c>
      <c r="Q21" s="44">
        <f t="shared" si="4"/>
        <v>6830</v>
      </c>
      <c r="R21" s="52">
        <v>6755</v>
      </c>
      <c r="S21" s="51">
        <v>1.3012999999999999</v>
      </c>
      <c r="T21" s="51">
        <v>1.1786000000000001</v>
      </c>
      <c r="U21" s="50">
        <v>105.32</v>
      </c>
      <c r="V21" s="43">
        <v>5190.96</v>
      </c>
      <c r="W21" s="43">
        <v>5201.9799999999996</v>
      </c>
      <c r="X21" s="49">
        <f t="shared" si="5"/>
        <v>5731.3762090615983</v>
      </c>
      <c r="Y21" s="48">
        <v>1.3021</v>
      </c>
    </row>
    <row r="22" spans="2:25" x14ac:dyDescent="0.2">
      <c r="B22" s="47">
        <v>44124</v>
      </c>
      <c r="C22" s="46">
        <v>6814</v>
      </c>
      <c r="D22" s="45">
        <v>6814</v>
      </c>
      <c r="E22" s="44">
        <f t="shared" si="0"/>
        <v>6814</v>
      </c>
      <c r="F22" s="46">
        <v>6836.5</v>
      </c>
      <c r="G22" s="45">
        <v>6836.5</v>
      </c>
      <c r="H22" s="44">
        <f t="shared" si="1"/>
        <v>6836.5</v>
      </c>
      <c r="I22" s="46">
        <v>6844.5</v>
      </c>
      <c r="J22" s="45">
        <v>6844.5</v>
      </c>
      <c r="K22" s="44">
        <f t="shared" si="2"/>
        <v>6844.5</v>
      </c>
      <c r="L22" s="46">
        <v>6860.5</v>
      </c>
      <c r="M22" s="45">
        <v>6860.5</v>
      </c>
      <c r="N22" s="44">
        <f t="shared" si="3"/>
        <v>6860.5</v>
      </c>
      <c r="O22" s="46">
        <v>6883.5</v>
      </c>
      <c r="P22" s="45">
        <v>6883.5</v>
      </c>
      <c r="Q22" s="44">
        <f t="shared" si="4"/>
        <v>6883.5</v>
      </c>
      <c r="R22" s="52">
        <v>6814</v>
      </c>
      <c r="S22" s="51">
        <v>1.2937000000000001</v>
      </c>
      <c r="T22" s="51">
        <v>1.1806000000000001</v>
      </c>
      <c r="U22" s="50">
        <v>105.68</v>
      </c>
      <c r="V22" s="43">
        <v>5267.06</v>
      </c>
      <c r="W22" s="43">
        <v>5281.19</v>
      </c>
      <c r="X22" s="49">
        <f t="shared" si="5"/>
        <v>5771.6415382009145</v>
      </c>
      <c r="Y22" s="48">
        <v>1.2945</v>
      </c>
    </row>
    <row r="23" spans="2:25" x14ac:dyDescent="0.2">
      <c r="B23" s="47">
        <v>44125</v>
      </c>
      <c r="C23" s="46">
        <v>6953</v>
      </c>
      <c r="D23" s="45">
        <v>6953</v>
      </c>
      <c r="E23" s="44">
        <f t="shared" si="0"/>
        <v>6953</v>
      </c>
      <c r="F23" s="46">
        <v>6964.5</v>
      </c>
      <c r="G23" s="45">
        <v>6964.5</v>
      </c>
      <c r="H23" s="44">
        <f t="shared" si="1"/>
        <v>6964.5</v>
      </c>
      <c r="I23" s="46">
        <v>6964.5</v>
      </c>
      <c r="J23" s="45">
        <v>6964.5</v>
      </c>
      <c r="K23" s="44">
        <f t="shared" si="2"/>
        <v>6964.5</v>
      </c>
      <c r="L23" s="46">
        <v>6969.5</v>
      </c>
      <c r="M23" s="45">
        <v>6969.5</v>
      </c>
      <c r="N23" s="44">
        <f t="shared" si="3"/>
        <v>6969.5</v>
      </c>
      <c r="O23" s="46">
        <v>6991.5</v>
      </c>
      <c r="P23" s="45">
        <v>6991.5</v>
      </c>
      <c r="Q23" s="44">
        <f t="shared" si="4"/>
        <v>6991.5</v>
      </c>
      <c r="R23" s="52">
        <v>6953</v>
      </c>
      <c r="S23" s="51">
        <v>1.3059000000000001</v>
      </c>
      <c r="T23" s="51">
        <v>1.1852</v>
      </c>
      <c r="U23" s="50">
        <v>104.86</v>
      </c>
      <c r="V23" s="43">
        <v>5324.3</v>
      </c>
      <c r="W23" s="43">
        <v>5329.84</v>
      </c>
      <c r="X23" s="49">
        <f t="shared" si="5"/>
        <v>5866.5204184947688</v>
      </c>
      <c r="Y23" s="48">
        <v>1.3067</v>
      </c>
    </row>
    <row r="24" spans="2:25" x14ac:dyDescent="0.2">
      <c r="B24" s="47">
        <v>44126</v>
      </c>
      <c r="C24" s="46">
        <v>6886</v>
      </c>
      <c r="D24" s="45">
        <v>6886</v>
      </c>
      <c r="E24" s="44">
        <f t="shared" si="0"/>
        <v>6886</v>
      </c>
      <c r="F24" s="46">
        <v>6901.5</v>
      </c>
      <c r="G24" s="45">
        <v>6901.5</v>
      </c>
      <c r="H24" s="44">
        <f t="shared" si="1"/>
        <v>6901.5</v>
      </c>
      <c r="I24" s="46">
        <v>6902.5</v>
      </c>
      <c r="J24" s="45">
        <v>6902.5</v>
      </c>
      <c r="K24" s="44">
        <f t="shared" si="2"/>
        <v>6902.5</v>
      </c>
      <c r="L24" s="46">
        <v>6904.5</v>
      </c>
      <c r="M24" s="45">
        <v>6904.5</v>
      </c>
      <c r="N24" s="44">
        <f t="shared" si="3"/>
        <v>6904.5</v>
      </c>
      <c r="O24" s="46">
        <v>6917.5</v>
      </c>
      <c r="P24" s="45">
        <v>6917.5</v>
      </c>
      <c r="Q24" s="44">
        <f t="shared" si="4"/>
        <v>6917.5</v>
      </c>
      <c r="R24" s="52">
        <v>6886</v>
      </c>
      <c r="S24" s="51">
        <v>1.3097000000000001</v>
      </c>
      <c r="T24" s="51">
        <v>1.1825000000000001</v>
      </c>
      <c r="U24" s="50">
        <v>104.67</v>
      </c>
      <c r="V24" s="43">
        <v>5257.69</v>
      </c>
      <c r="W24" s="43">
        <v>5266.31</v>
      </c>
      <c r="X24" s="49">
        <f t="shared" si="5"/>
        <v>5823.2558139534876</v>
      </c>
      <c r="Y24" s="48">
        <v>1.3105</v>
      </c>
    </row>
    <row r="25" spans="2:25" x14ac:dyDescent="0.2">
      <c r="B25" s="47">
        <v>44127</v>
      </c>
      <c r="C25" s="46">
        <v>6879.5</v>
      </c>
      <c r="D25" s="45">
        <v>6879.5</v>
      </c>
      <c r="E25" s="44">
        <f t="shared" si="0"/>
        <v>6879.5</v>
      </c>
      <c r="F25" s="46">
        <v>6897.5</v>
      </c>
      <c r="G25" s="45">
        <v>6897.5</v>
      </c>
      <c r="H25" s="44">
        <f t="shared" si="1"/>
        <v>6897.5</v>
      </c>
      <c r="I25" s="46">
        <v>6905.5</v>
      </c>
      <c r="J25" s="45">
        <v>6905.5</v>
      </c>
      <c r="K25" s="44">
        <f t="shared" si="2"/>
        <v>6905.5</v>
      </c>
      <c r="L25" s="46">
        <v>6907.5</v>
      </c>
      <c r="M25" s="45">
        <v>6907.5</v>
      </c>
      <c r="N25" s="44">
        <f t="shared" si="3"/>
        <v>6907.5</v>
      </c>
      <c r="O25" s="46">
        <v>6920.5</v>
      </c>
      <c r="P25" s="45">
        <v>6920.5</v>
      </c>
      <c r="Q25" s="44">
        <f t="shared" si="4"/>
        <v>6920.5</v>
      </c>
      <c r="R25" s="52">
        <v>6879.5</v>
      </c>
      <c r="S25" s="51">
        <v>1.3068</v>
      </c>
      <c r="T25" s="51">
        <v>1.1846000000000001</v>
      </c>
      <c r="U25" s="50">
        <v>104.78</v>
      </c>
      <c r="V25" s="43">
        <v>5264.39</v>
      </c>
      <c r="W25" s="43">
        <v>5274.53</v>
      </c>
      <c r="X25" s="49">
        <f t="shared" si="5"/>
        <v>5807.4455512409249</v>
      </c>
      <c r="Y25" s="48">
        <v>1.3077000000000001</v>
      </c>
    </row>
    <row r="26" spans="2:25" x14ac:dyDescent="0.2">
      <c r="B26" s="47">
        <v>44130</v>
      </c>
      <c r="C26" s="46">
        <v>6806</v>
      </c>
      <c r="D26" s="45">
        <v>6806</v>
      </c>
      <c r="E26" s="44">
        <f t="shared" si="0"/>
        <v>6806</v>
      </c>
      <c r="F26" s="46">
        <v>6824.5</v>
      </c>
      <c r="G26" s="45">
        <v>6824.5</v>
      </c>
      <c r="H26" s="44">
        <f t="shared" si="1"/>
        <v>6824.5</v>
      </c>
      <c r="I26" s="46">
        <v>6834</v>
      </c>
      <c r="J26" s="45">
        <v>6834</v>
      </c>
      <c r="K26" s="44">
        <f t="shared" si="2"/>
        <v>6834</v>
      </c>
      <c r="L26" s="46">
        <v>6839</v>
      </c>
      <c r="M26" s="45">
        <v>6839</v>
      </c>
      <c r="N26" s="44">
        <f t="shared" si="3"/>
        <v>6839</v>
      </c>
      <c r="O26" s="46">
        <v>6850.5</v>
      </c>
      <c r="P26" s="45">
        <v>6850.5</v>
      </c>
      <c r="Q26" s="44">
        <f t="shared" si="4"/>
        <v>6850.5</v>
      </c>
      <c r="R26" s="52">
        <v>6806</v>
      </c>
      <c r="S26" s="51">
        <v>1.3025</v>
      </c>
      <c r="T26" s="51">
        <v>1.1814</v>
      </c>
      <c r="U26" s="50">
        <v>105.02</v>
      </c>
      <c r="V26" s="43">
        <v>5225.34</v>
      </c>
      <c r="W26" s="43">
        <v>5235.92</v>
      </c>
      <c r="X26" s="49">
        <f t="shared" si="5"/>
        <v>5760.9615710174367</v>
      </c>
      <c r="Y26" s="48">
        <v>1.3033999999999999</v>
      </c>
    </row>
    <row r="27" spans="2:25" x14ac:dyDescent="0.2">
      <c r="B27" s="47">
        <v>44131</v>
      </c>
      <c r="C27" s="46">
        <v>6787.5</v>
      </c>
      <c r="D27" s="45">
        <v>6787.5</v>
      </c>
      <c r="E27" s="44">
        <f t="shared" si="0"/>
        <v>6787.5</v>
      </c>
      <c r="F27" s="46">
        <v>6807.5</v>
      </c>
      <c r="G27" s="45">
        <v>6807.5</v>
      </c>
      <c r="H27" s="44">
        <f t="shared" si="1"/>
        <v>6807.5</v>
      </c>
      <c r="I27" s="46">
        <v>6821.5</v>
      </c>
      <c r="J27" s="45">
        <v>6821.5</v>
      </c>
      <c r="K27" s="44">
        <f t="shared" si="2"/>
        <v>6821.5</v>
      </c>
      <c r="L27" s="46">
        <v>6834.5</v>
      </c>
      <c r="M27" s="45">
        <v>6834.5</v>
      </c>
      <c r="N27" s="44">
        <f t="shared" si="3"/>
        <v>6834.5</v>
      </c>
      <c r="O27" s="46">
        <v>6845.5</v>
      </c>
      <c r="P27" s="45">
        <v>6845.5</v>
      </c>
      <c r="Q27" s="44">
        <f t="shared" si="4"/>
        <v>6845.5</v>
      </c>
      <c r="R27" s="52">
        <v>6787.5</v>
      </c>
      <c r="S27" s="51">
        <v>1.3029999999999999</v>
      </c>
      <c r="T27" s="51">
        <v>1.1828000000000001</v>
      </c>
      <c r="U27" s="50">
        <v>104.67</v>
      </c>
      <c r="V27" s="43">
        <v>5209.13</v>
      </c>
      <c r="W27" s="43">
        <v>5220.88</v>
      </c>
      <c r="X27" s="49">
        <f t="shared" si="5"/>
        <v>5738.5018599932364</v>
      </c>
      <c r="Y27" s="48">
        <v>1.3039000000000001</v>
      </c>
    </row>
    <row r="28" spans="2:25" x14ac:dyDescent="0.2">
      <c r="B28" s="47">
        <v>44132</v>
      </c>
      <c r="C28" s="46">
        <v>6694.5</v>
      </c>
      <c r="D28" s="45">
        <v>6694.5</v>
      </c>
      <c r="E28" s="44">
        <f t="shared" si="0"/>
        <v>6694.5</v>
      </c>
      <c r="F28" s="46">
        <v>6713.5</v>
      </c>
      <c r="G28" s="45">
        <v>6713.5</v>
      </c>
      <c r="H28" s="44">
        <f t="shared" si="1"/>
        <v>6713.5</v>
      </c>
      <c r="I28" s="46">
        <v>6726.5</v>
      </c>
      <c r="J28" s="45">
        <v>6726.5</v>
      </c>
      <c r="K28" s="44">
        <f t="shared" si="2"/>
        <v>6726.5</v>
      </c>
      <c r="L28" s="46">
        <v>6737.5</v>
      </c>
      <c r="M28" s="45">
        <v>6737.5</v>
      </c>
      <c r="N28" s="44">
        <f t="shared" si="3"/>
        <v>6737.5</v>
      </c>
      <c r="O28" s="46">
        <v>6749</v>
      </c>
      <c r="P28" s="45">
        <v>6749</v>
      </c>
      <c r="Q28" s="44">
        <f t="shared" si="4"/>
        <v>6749</v>
      </c>
      <c r="R28" s="52">
        <v>6694.5</v>
      </c>
      <c r="S28" s="51">
        <v>1.2941</v>
      </c>
      <c r="T28" s="51">
        <v>1.1727000000000001</v>
      </c>
      <c r="U28" s="50">
        <v>104.39</v>
      </c>
      <c r="V28" s="43">
        <v>5173.09</v>
      </c>
      <c r="W28" s="43">
        <v>5184.57</v>
      </c>
      <c r="X28" s="49">
        <f t="shared" si="5"/>
        <v>5708.6211307239701</v>
      </c>
      <c r="Y28" s="48">
        <v>1.2948999999999999</v>
      </c>
    </row>
    <row r="29" spans="2:25" x14ac:dyDescent="0.2">
      <c r="B29" s="47">
        <v>44133</v>
      </c>
      <c r="C29" s="46">
        <v>6692</v>
      </c>
      <c r="D29" s="45">
        <v>6692</v>
      </c>
      <c r="E29" s="44">
        <f t="shared" si="0"/>
        <v>6692</v>
      </c>
      <c r="F29" s="46">
        <v>6708</v>
      </c>
      <c r="G29" s="45">
        <v>6708</v>
      </c>
      <c r="H29" s="44">
        <f t="shared" si="1"/>
        <v>6708</v>
      </c>
      <c r="I29" s="46">
        <v>6722</v>
      </c>
      <c r="J29" s="45">
        <v>6722</v>
      </c>
      <c r="K29" s="44">
        <f t="shared" si="2"/>
        <v>6722</v>
      </c>
      <c r="L29" s="46">
        <v>6728</v>
      </c>
      <c r="M29" s="45">
        <v>6728</v>
      </c>
      <c r="N29" s="44">
        <f t="shared" si="3"/>
        <v>6728</v>
      </c>
      <c r="O29" s="46">
        <v>6739.5</v>
      </c>
      <c r="P29" s="45">
        <v>6739.5</v>
      </c>
      <c r="Q29" s="44">
        <f t="shared" si="4"/>
        <v>6739.5</v>
      </c>
      <c r="R29" s="52">
        <v>6692</v>
      </c>
      <c r="S29" s="51">
        <v>1.2935000000000001</v>
      </c>
      <c r="T29" s="51">
        <v>1.1704000000000001</v>
      </c>
      <c r="U29" s="50">
        <v>104.37</v>
      </c>
      <c r="V29" s="43">
        <v>5173.5600000000004</v>
      </c>
      <c r="W29" s="43">
        <v>5182.32</v>
      </c>
      <c r="X29" s="49">
        <f t="shared" si="5"/>
        <v>5717.7033492822957</v>
      </c>
      <c r="Y29" s="48">
        <v>1.2944</v>
      </c>
    </row>
    <row r="30" spans="2:25" x14ac:dyDescent="0.2">
      <c r="B30" s="47">
        <v>44134</v>
      </c>
      <c r="C30" s="46">
        <v>6694.5</v>
      </c>
      <c r="D30" s="45">
        <v>6694.5</v>
      </c>
      <c r="E30" s="44">
        <f t="shared" si="0"/>
        <v>6694.5</v>
      </c>
      <c r="F30" s="46">
        <v>6706</v>
      </c>
      <c r="G30" s="45">
        <v>6706</v>
      </c>
      <c r="H30" s="44">
        <f t="shared" si="1"/>
        <v>6706</v>
      </c>
      <c r="I30" s="46">
        <v>6719</v>
      </c>
      <c r="J30" s="45">
        <v>6719</v>
      </c>
      <c r="K30" s="44">
        <f t="shared" si="2"/>
        <v>6719</v>
      </c>
      <c r="L30" s="46">
        <v>6725</v>
      </c>
      <c r="M30" s="45">
        <v>6725</v>
      </c>
      <c r="N30" s="44">
        <f t="shared" si="3"/>
        <v>6725</v>
      </c>
      <c r="O30" s="46">
        <v>6734.5</v>
      </c>
      <c r="P30" s="45">
        <v>6734.5</v>
      </c>
      <c r="Q30" s="44">
        <f t="shared" si="4"/>
        <v>6734.5</v>
      </c>
      <c r="R30" s="52">
        <v>6694.5</v>
      </c>
      <c r="S30" s="51">
        <v>1.2972999999999999</v>
      </c>
      <c r="T30" s="51">
        <v>1.1700999999999999</v>
      </c>
      <c r="U30" s="50">
        <v>104.48</v>
      </c>
      <c r="V30" s="43">
        <v>5160.33</v>
      </c>
      <c r="W30" s="43">
        <v>5165.6099999999997</v>
      </c>
      <c r="X30" s="49">
        <f t="shared" si="5"/>
        <v>5721.3058712930524</v>
      </c>
      <c r="Y30" s="48">
        <v>1.2982</v>
      </c>
    </row>
    <row r="31" spans="2:25" s="10" customFormat="1" x14ac:dyDescent="0.2">
      <c r="B31" s="42" t="s">
        <v>11</v>
      </c>
      <c r="C31" s="41">
        <f>ROUND(AVERAGE(C9:C30),2)</f>
        <v>6702.77</v>
      </c>
      <c r="D31" s="40">
        <f>ROUND(AVERAGE(D9:D30),2)</f>
        <v>6702.77</v>
      </c>
      <c r="E31" s="39">
        <f>ROUND(AVERAGE(C31:D31),2)</f>
        <v>6702.77</v>
      </c>
      <c r="F31" s="41">
        <f>ROUND(AVERAGE(F9:F30),2)</f>
        <v>6716.3</v>
      </c>
      <c r="G31" s="40">
        <f>ROUND(AVERAGE(G9:G30),2)</f>
        <v>6716.3</v>
      </c>
      <c r="H31" s="39">
        <f>ROUND(AVERAGE(F31:G31),2)</f>
        <v>6716.3</v>
      </c>
      <c r="I31" s="41">
        <f>ROUND(AVERAGE(I9:I30),2)</f>
        <v>6730.73</v>
      </c>
      <c r="J31" s="40">
        <f>ROUND(AVERAGE(J9:J30),2)</f>
        <v>6730.73</v>
      </c>
      <c r="K31" s="39">
        <f>ROUND(AVERAGE(I31:J31),2)</f>
        <v>6730.73</v>
      </c>
      <c r="L31" s="41">
        <f>ROUND(AVERAGE(L9:L30),2)</f>
        <v>6744.09</v>
      </c>
      <c r="M31" s="40">
        <f>ROUND(AVERAGE(M9:M30),2)</f>
        <v>6744.09</v>
      </c>
      <c r="N31" s="39">
        <f>ROUND(AVERAGE(L31:M31),2)</f>
        <v>6744.09</v>
      </c>
      <c r="O31" s="41">
        <f>ROUND(AVERAGE(O9:O30),2)</f>
        <v>6763.59</v>
      </c>
      <c r="P31" s="40">
        <f>ROUND(AVERAGE(P9:P30),2)</f>
        <v>6763.59</v>
      </c>
      <c r="Q31" s="39">
        <f>ROUND(AVERAGE(O31:P31),2)</f>
        <v>6763.59</v>
      </c>
      <c r="R31" s="38">
        <f>ROUND(AVERAGE(R9:R30),2)</f>
        <v>6702.77</v>
      </c>
      <c r="S31" s="37">
        <f>ROUND(AVERAGE(S9:S30),4)</f>
        <v>1.2977000000000001</v>
      </c>
      <c r="T31" s="36">
        <f>ROUND(AVERAGE(T9:T30),4)</f>
        <v>1.1775</v>
      </c>
      <c r="U31" s="175">
        <f>ROUND(AVERAGE(U9:U30),2)</f>
        <v>105.22</v>
      </c>
      <c r="V31" s="35">
        <f>AVERAGE(V9:V30)</f>
        <v>5164.94909090909</v>
      </c>
      <c r="W31" s="35">
        <f>AVERAGE(W9:W30)</f>
        <v>5172.1263636363628</v>
      </c>
      <c r="X31" s="35">
        <f>AVERAGE(X9:X30)</f>
        <v>5692.3288004165051</v>
      </c>
      <c r="Y31" s="34">
        <f>AVERAGE(Y9:Y30)</f>
        <v>1.2985045454545454</v>
      </c>
    </row>
    <row r="32" spans="2:25" s="5" customFormat="1" x14ac:dyDescent="0.2">
      <c r="B32" s="33" t="s">
        <v>12</v>
      </c>
      <c r="C32" s="32">
        <f t="shared" ref="C32:Y32" si="6">MAX(C9:C30)</f>
        <v>6953</v>
      </c>
      <c r="D32" s="31">
        <f t="shared" si="6"/>
        <v>6953</v>
      </c>
      <c r="E32" s="30">
        <f t="shared" si="6"/>
        <v>6953</v>
      </c>
      <c r="F32" s="32">
        <f t="shared" si="6"/>
        <v>6964.5</v>
      </c>
      <c r="G32" s="31">
        <f t="shared" si="6"/>
        <v>6964.5</v>
      </c>
      <c r="H32" s="30">
        <f t="shared" si="6"/>
        <v>6964.5</v>
      </c>
      <c r="I32" s="32">
        <f t="shared" si="6"/>
        <v>6964.5</v>
      </c>
      <c r="J32" s="31">
        <f t="shared" si="6"/>
        <v>6964.5</v>
      </c>
      <c r="K32" s="30">
        <f t="shared" si="6"/>
        <v>6964.5</v>
      </c>
      <c r="L32" s="32">
        <f t="shared" si="6"/>
        <v>6969.5</v>
      </c>
      <c r="M32" s="31">
        <f t="shared" si="6"/>
        <v>6969.5</v>
      </c>
      <c r="N32" s="30">
        <f t="shared" si="6"/>
        <v>6969.5</v>
      </c>
      <c r="O32" s="32">
        <f t="shared" si="6"/>
        <v>6991.5</v>
      </c>
      <c r="P32" s="31">
        <f t="shared" si="6"/>
        <v>6991.5</v>
      </c>
      <c r="Q32" s="30">
        <f t="shared" si="6"/>
        <v>6991.5</v>
      </c>
      <c r="R32" s="29">
        <f t="shared" si="6"/>
        <v>6953</v>
      </c>
      <c r="S32" s="28">
        <f t="shared" si="6"/>
        <v>1.3097000000000001</v>
      </c>
      <c r="T32" s="27">
        <f t="shared" si="6"/>
        <v>1.1852</v>
      </c>
      <c r="U32" s="26">
        <f t="shared" si="6"/>
        <v>106.02</v>
      </c>
      <c r="V32" s="25">
        <f t="shared" si="6"/>
        <v>5324.3</v>
      </c>
      <c r="W32" s="25">
        <f t="shared" si="6"/>
        <v>5329.84</v>
      </c>
      <c r="X32" s="25">
        <f t="shared" si="6"/>
        <v>5866.5204184947688</v>
      </c>
      <c r="Y32" s="24">
        <f t="shared" si="6"/>
        <v>1.3105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6409.5</v>
      </c>
      <c r="D33" s="21">
        <f t="shared" si="7"/>
        <v>6409.5</v>
      </c>
      <c r="E33" s="20">
        <f t="shared" si="7"/>
        <v>6409.5</v>
      </c>
      <c r="F33" s="22">
        <f t="shared" si="7"/>
        <v>6418.5</v>
      </c>
      <c r="G33" s="21">
        <f t="shared" si="7"/>
        <v>6418.5</v>
      </c>
      <c r="H33" s="20">
        <f t="shared" si="7"/>
        <v>6418.5</v>
      </c>
      <c r="I33" s="22">
        <f t="shared" si="7"/>
        <v>6433</v>
      </c>
      <c r="J33" s="21">
        <f t="shared" si="7"/>
        <v>6433</v>
      </c>
      <c r="K33" s="20">
        <f t="shared" si="7"/>
        <v>6433</v>
      </c>
      <c r="L33" s="22">
        <f t="shared" si="7"/>
        <v>6438</v>
      </c>
      <c r="M33" s="21">
        <f t="shared" si="7"/>
        <v>6438</v>
      </c>
      <c r="N33" s="20">
        <f t="shared" si="7"/>
        <v>6438</v>
      </c>
      <c r="O33" s="22">
        <f t="shared" si="7"/>
        <v>6458</v>
      </c>
      <c r="P33" s="21">
        <f t="shared" si="7"/>
        <v>6458</v>
      </c>
      <c r="Q33" s="20">
        <f t="shared" si="7"/>
        <v>6458</v>
      </c>
      <c r="R33" s="19">
        <f t="shared" si="7"/>
        <v>6409.5</v>
      </c>
      <c r="S33" s="18">
        <f t="shared" si="7"/>
        <v>1.2878000000000001</v>
      </c>
      <c r="T33" s="17">
        <f t="shared" si="7"/>
        <v>1.1700999999999999</v>
      </c>
      <c r="U33" s="16">
        <f t="shared" si="7"/>
        <v>104.37</v>
      </c>
      <c r="V33" s="15">
        <f t="shared" si="7"/>
        <v>4953.25</v>
      </c>
      <c r="W33" s="15">
        <f t="shared" si="7"/>
        <v>4957.1400000000003</v>
      </c>
      <c r="X33" s="15">
        <f t="shared" si="7"/>
        <v>5466.5245202558635</v>
      </c>
      <c r="Y33" s="14">
        <f t="shared" si="7"/>
        <v>1.2885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view="pageBreakPreview" zoomScale="60" zoomScaleNormal="100" workbookViewId="0">
      <pane ySplit="8" topLeftCell="A9" activePane="bottomLeft" state="frozen"/>
      <selection activeCell="C46" sqref="C46"/>
      <selection pane="bottomLeft" activeCell="V36" sqref="V36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44105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44105</v>
      </c>
      <c r="C9" s="46">
        <v>1490</v>
      </c>
      <c r="D9" s="45">
        <v>1490</v>
      </c>
      <c r="E9" s="44">
        <f t="shared" ref="E9:E30" si="0">AVERAGE(C9:D9)</f>
        <v>1490</v>
      </c>
      <c r="F9" s="46">
        <v>1510.5</v>
      </c>
      <c r="G9" s="45">
        <v>1510.5</v>
      </c>
      <c r="H9" s="44">
        <f t="shared" ref="H9:H30" si="1">AVERAGE(F9:G9)</f>
        <v>1510.5</v>
      </c>
      <c r="I9" s="46">
        <v>1507.5</v>
      </c>
      <c r="J9" s="45">
        <v>1507.5</v>
      </c>
      <c r="K9" s="44">
        <f t="shared" ref="K9:K30" si="2">AVERAGE(I9:J9)</f>
        <v>1507.5</v>
      </c>
      <c r="L9" s="52">
        <v>1490</v>
      </c>
      <c r="M9" s="51">
        <v>1.2966</v>
      </c>
      <c r="N9" s="53">
        <v>1.1763999999999999</v>
      </c>
      <c r="O9" s="50">
        <v>105.47</v>
      </c>
      <c r="P9" s="43">
        <v>1149.1600000000001</v>
      </c>
      <c r="Q9" s="43">
        <v>1164.1600000000001</v>
      </c>
      <c r="R9" s="49">
        <f t="shared" ref="R9:R30" si="3">L9/N9</f>
        <v>1266.5759945596737</v>
      </c>
      <c r="S9" s="48">
        <v>1.2975000000000001</v>
      </c>
    </row>
    <row r="10" spans="1:19" x14ac:dyDescent="0.2">
      <c r="B10" s="47">
        <v>44106</v>
      </c>
      <c r="C10" s="46">
        <v>1500</v>
      </c>
      <c r="D10" s="45">
        <v>1500</v>
      </c>
      <c r="E10" s="44">
        <f t="shared" si="0"/>
        <v>1500</v>
      </c>
      <c r="F10" s="46">
        <v>1550</v>
      </c>
      <c r="G10" s="45">
        <v>1550</v>
      </c>
      <c r="H10" s="44">
        <f t="shared" si="1"/>
        <v>1550</v>
      </c>
      <c r="I10" s="46">
        <v>1547</v>
      </c>
      <c r="J10" s="45">
        <v>1547</v>
      </c>
      <c r="K10" s="44">
        <f t="shared" si="2"/>
        <v>1547</v>
      </c>
      <c r="L10" s="52">
        <v>1500</v>
      </c>
      <c r="M10" s="51">
        <v>1.294</v>
      </c>
      <c r="N10" s="51">
        <v>1.1725000000000001</v>
      </c>
      <c r="O10" s="50">
        <v>105.18</v>
      </c>
      <c r="P10" s="43">
        <v>1159.2</v>
      </c>
      <c r="Q10" s="43">
        <v>1197.0999999999999</v>
      </c>
      <c r="R10" s="49">
        <f t="shared" si="3"/>
        <v>1279.3176972281449</v>
      </c>
      <c r="S10" s="48">
        <v>1.2948</v>
      </c>
    </row>
    <row r="11" spans="1:19" x14ac:dyDescent="0.2">
      <c r="B11" s="47">
        <v>44109</v>
      </c>
      <c r="C11" s="46">
        <v>1490</v>
      </c>
      <c r="D11" s="45">
        <v>1490</v>
      </c>
      <c r="E11" s="44">
        <f t="shared" si="0"/>
        <v>1490</v>
      </c>
      <c r="F11" s="46">
        <v>1550</v>
      </c>
      <c r="G11" s="45">
        <v>1550</v>
      </c>
      <c r="H11" s="44">
        <f t="shared" si="1"/>
        <v>1550</v>
      </c>
      <c r="I11" s="46">
        <v>1547</v>
      </c>
      <c r="J11" s="45">
        <v>1547</v>
      </c>
      <c r="K11" s="44">
        <f t="shared" si="2"/>
        <v>1547</v>
      </c>
      <c r="L11" s="52">
        <v>1490</v>
      </c>
      <c r="M11" s="51">
        <v>1.2952999999999999</v>
      </c>
      <c r="N11" s="51">
        <v>1.1765000000000001</v>
      </c>
      <c r="O11" s="50">
        <v>105.61</v>
      </c>
      <c r="P11" s="43">
        <v>1150.31</v>
      </c>
      <c r="Q11" s="43">
        <v>1195.9000000000001</v>
      </c>
      <c r="R11" s="49">
        <f t="shared" si="3"/>
        <v>1266.4683382915425</v>
      </c>
      <c r="S11" s="48">
        <v>1.2961</v>
      </c>
    </row>
    <row r="12" spans="1:19" x14ac:dyDescent="0.2">
      <c r="B12" s="47">
        <v>44110</v>
      </c>
      <c r="C12" s="46">
        <v>1500</v>
      </c>
      <c r="D12" s="45">
        <v>1500</v>
      </c>
      <c r="E12" s="44">
        <f t="shared" si="0"/>
        <v>1500</v>
      </c>
      <c r="F12" s="46">
        <v>1550</v>
      </c>
      <c r="G12" s="45">
        <v>1550</v>
      </c>
      <c r="H12" s="44">
        <f t="shared" si="1"/>
        <v>1550</v>
      </c>
      <c r="I12" s="46">
        <v>1547</v>
      </c>
      <c r="J12" s="45">
        <v>1547</v>
      </c>
      <c r="K12" s="44">
        <f t="shared" si="2"/>
        <v>1547</v>
      </c>
      <c r="L12" s="52">
        <v>1500</v>
      </c>
      <c r="M12" s="51">
        <v>1.2952999999999999</v>
      </c>
      <c r="N12" s="51">
        <v>1.1796</v>
      </c>
      <c r="O12" s="50">
        <v>105.62</v>
      </c>
      <c r="P12" s="43">
        <v>1158.03</v>
      </c>
      <c r="Q12" s="43">
        <v>1195.9000000000001</v>
      </c>
      <c r="R12" s="49">
        <f t="shared" si="3"/>
        <v>1271.617497456765</v>
      </c>
      <c r="S12" s="48">
        <v>1.2961</v>
      </c>
    </row>
    <row r="13" spans="1:19" x14ac:dyDescent="0.2">
      <c r="B13" s="47">
        <v>44111</v>
      </c>
      <c r="C13" s="46">
        <v>1510.5</v>
      </c>
      <c r="D13" s="45">
        <v>1510.5</v>
      </c>
      <c r="E13" s="44">
        <f t="shared" si="0"/>
        <v>1510.5</v>
      </c>
      <c r="F13" s="46">
        <v>1550</v>
      </c>
      <c r="G13" s="45">
        <v>1550</v>
      </c>
      <c r="H13" s="44">
        <f t="shared" si="1"/>
        <v>1550</v>
      </c>
      <c r="I13" s="46">
        <v>1547</v>
      </c>
      <c r="J13" s="45">
        <v>1547</v>
      </c>
      <c r="K13" s="44">
        <f t="shared" si="2"/>
        <v>1547</v>
      </c>
      <c r="L13" s="52">
        <v>1510.5</v>
      </c>
      <c r="M13" s="51">
        <v>1.2878000000000001</v>
      </c>
      <c r="N13" s="51">
        <v>1.1774</v>
      </c>
      <c r="O13" s="50">
        <v>106.02</v>
      </c>
      <c r="P13" s="43">
        <v>1172.93</v>
      </c>
      <c r="Q13" s="43">
        <v>1202.95</v>
      </c>
      <c r="R13" s="49">
        <f t="shared" si="3"/>
        <v>1282.911499915067</v>
      </c>
      <c r="S13" s="48">
        <v>1.2885</v>
      </c>
    </row>
    <row r="14" spans="1:19" x14ac:dyDescent="0.2">
      <c r="B14" s="47">
        <v>44112</v>
      </c>
      <c r="C14" s="46">
        <v>1510</v>
      </c>
      <c r="D14" s="45">
        <v>1510</v>
      </c>
      <c r="E14" s="44">
        <f t="shared" si="0"/>
        <v>1510</v>
      </c>
      <c r="F14" s="46">
        <v>1550</v>
      </c>
      <c r="G14" s="45">
        <v>1550</v>
      </c>
      <c r="H14" s="44">
        <f t="shared" si="1"/>
        <v>1550</v>
      </c>
      <c r="I14" s="46">
        <v>1547</v>
      </c>
      <c r="J14" s="45">
        <v>1547</v>
      </c>
      <c r="K14" s="44">
        <f t="shared" si="2"/>
        <v>1547</v>
      </c>
      <c r="L14" s="52">
        <v>1510</v>
      </c>
      <c r="M14" s="51">
        <v>1.2904</v>
      </c>
      <c r="N14" s="51">
        <v>1.1759999999999999</v>
      </c>
      <c r="O14" s="50">
        <v>106.01</v>
      </c>
      <c r="P14" s="43">
        <v>1170.18</v>
      </c>
      <c r="Q14" s="43">
        <v>1200.53</v>
      </c>
      <c r="R14" s="49">
        <f t="shared" si="3"/>
        <v>1284.0136054421769</v>
      </c>
      <c r="S14" s="48">
        <v>1.2910999999999999</v>
      </c>
    </row>
    <row r="15" spans="1:19" x14ac:dyDescent="0.2">
      <c r="B15" s="47">
        <v>44113</v>
      </c>
      <c r="C15" s="46">
        <v>1500</v>
      </c>
      <c r="D15" s="45">
        <v>1500</v>
      </c>
      <c r="E15" s="44">
        <f t="shared" si="0"/>
        <v>1500</v>
      </c>
      <c r="F15" s="46">
        <v>1550</v>
      </c>
      <c r="G15" s="45">
        <v>1550</v>
      </c>
      <c r="H15" s="44">
        <f t="shared" si="1"/>
        <v>1550</v>
      </c>
      <c r="I15" s="46">
        <v>1544</v>
      </c>
      <c r="J15" s="45">
        <v>1544</v>
      </c>
      <c r="K15" s="44">
        <f t="shared" si="2"/>
        <v>1544</v>
      </c>
      <c r="L15" s="52">
        <v>1500</v>
      </c>
      <c r="M15" s="51">
        <v>1.2943</v>
      </c>
      <c r="N15" s="51">
        <v>1.18</v>
      </c>
      <c r="O15" s="50">
        <v>105.92</v>
      </c>
      <c r="P15" s="43">
        <v>1158.93</v>
      </c>
      <c r="Q15" s="43">
        <v>1196.82</v>
      </c>
      <c r="R15" s="49">
        <f t="shared" si="3"/>
        <v>1271.1864406779662</v>
      </c>
      <c r="S15" s="48">
        <v>1.2950999999999999</v>
      </c>
    </row>
    <row r="16" spans="1:19" x14ac:dyDescent="0.2">
      <c r="B16" s="47">
        <v>44116</v>
      </c>
      <c r="C16" s="46">
        <v>1490</v>
      </c>
      <c r="D16" s="45">
        <v>1490</v>
      </c>
      <c r="E16" s="44">
        <f t="shared" si="0"/>
        <v>1490</v>
      </c>
      <c r="F16" s="46">
        <v>1516.5</v>
      </c>
      <c r="G16" s="45">
        <v>1516.5</v>
      </c>
      <c r="H16" s="44">
        <f t="shared" si="1"/>
        <v>1516.5</v>
      </c>
      <c r="I16" s="46">
        <v>1512</v>
      </c>
      <c r="J16" s="45">
        <v>1512</v>
      </c>
      <c r="K16" s="44">
        <f t="shared" si="2"/>
        <v>1512</v>
      </c>
      <c r="L16" s="52">
        <v>1490</v>
      </c>
      <c r="M16" s="51">
        <v>1.3022</v>
      </c>
      <c r="N16" s="51">
        <v>1.1795</v>
      </c>
      <c r="O16" s="50">
        <v>105.46</v>
      </c>
      <c r="P16" s="43">
        <v>1144.22</v>
      </c>
      <c r="Q16" s="43">
        <v>1163.8499999999999</v>
      </c>
      <c r="R16" s="49">
        <f t="shared" si="3"/>
        <v>1263.2471386180584</v>
      </c>
      <c r="S16" s="48">
        <v>1.3029999999999999</v>
      </c>
    </row>
    <row r="17" spans="2:19" x14ac:dyDescent="0.2">
      <c r="B17" s="47">
        <v>44117</v>
      </c>
      <c r="C17" s="46">
        <v>1470</v>
      </c>
      <c r="D17" s="45">
        <v>1470</v>
      </c>
      <c r="E17" s="44">
        <f t="shared" si="0"/>
        <v>1470</v>
      </c>
      <c r="F17" s="46">
        <v>1530</v>
      </c>
      <c r="G17" s="45">
        <v>1530</v>
      </c>
      <c r="H17" s="44">
        <f t="shared" si="1"/>
        <v>1530</v>
      </c>
      <c r="I17" s="46">
        <v>1526</v>
      </c>
      <c r="J17" s="45">
        <v>1526</v>
      </c>
      <c r="K17" s="44">
        <f t="shared" si="2"/>
        <v>1526</v>
      </c>
      <c r="L17" s="52">
        <v>1470</v>
      </c>
      <c r="M17" s="51">
        <v>1.3031999999999999</v>
      </c>
      <c r="N17" s="51">
        <v>1.1789000000000001</v>
      </c>
      <c r="O17" s="50">
        <v>105.51</v>
      </c>
      <c r="P17" s="43">
        <v>1127.99</v>
      </c>
      <c r="Q17" s="43">
        <v>1173.31</v>
      </c>
      <c r="R17" s="49">
        <f t="shared" si="3"/>
        <v>1246.9250996691831</v>
      </c>
      <c r="S17" s="48">
        <v>1.304</v>
      </c>
    </row>
    <row r="18" spans="2:19" x14ac:dyDescent="0.2">
      <c r="B18" s="47">
        <v>44118</v>
      </c>
      <c r="C18" s="46">
        <v>1480</v>
      </c>
      <c r="D18" s="45">
        <v>1480</v>
      </c>
      <c r="E18" s="44">
        <f t="shared" si="0"/>
        <v>1480</v>
      </c>
      <c r="F18" s="46">
        <v>1545</v>
      </c>
      <c r="G18" s="45">
        <v>1545</v>
      </c>
      <c r="H18" s="44">
        <f t="shared" si="1"/>
        <v>1545</v>
      </c>
      <c r="I18" s="46">
        <v>1543</v>
      </c>
      <c r="J18" s="45">
        <v>1543</v>
      </c>
      <c r="K18" s="44">
        <f t="shared" si="2"/>
        <v>1543</v>
      </c>
      <c r="L18" s="52">
        <v>1480</v>
      </c>
      <c r="M18" s="51">
        <v>1.2982</v>
      </c>
      <c r="N18" s="51">
        <v>1.1748000000000001</v>
      </c>
      <c r="O18" s="50">
        <v>105.34</v>
      </c>
      <c r="P18" s="43">
        <v>1140.04</v>
      </c>
      <c r="Q18" s="43">
        <v>1189.3800000000001</v>
      </c>
      <c r="R18" s="49">
        <f t="shared" si="3"/>
        <v>1259.7889002383383</v>
      </c>
      <c r="S18" s="48">
        <v>1.2989999999999999</v>
      </c>
    </row>
    <row r="19" spans="2:19" x14ac:dyDescent="0.2">
      <c r="B19" s="47">
        <v>44119</v>
      </c>
      <c r="C19" s="46">
        <v>1536</v>
      </c>
      <c r="D19" s="45">
        <v>1536</v>
      </c>
      <c r="E19" s="44">
        <f t="shared" si="0"/>
        <v>1536</v>
      </c>
      <c r="F19" s="46">
        <v>1560</v>
      </c>
      <c r="G19" s="45">
        <v>1560</v>
      </c>
      <c r="H19" s="44">
        <f t="shared" si="1"/>
        <v>1560</v>
      </c>
      <c r="I19" s="46">
        <v>1558</v>
      </c>
      <c r="J19" s="45">
        <v>1558</v>
      </c>
      <c r="K19" s="44">
        <f t="shared" si="2"/>
        <v>1558</v>
      </c>
      <c r="L19" s="52">
        <v>1536</v>
      </c>
      <c r="M19" s="51">
        <v>1.2927</v>
      </c>
      <c r="N19" s="51">
        <v>1.1708000000000001</v>
      </c>
      <c r="O19" s="50">
        <v>105.27</v>
      </c>
      <c r="P19" s="43">
        <v>1188.21</v>
      </c>
      <c r="Q19" s="43">
        <v>1206.03</v>
      </c>
      <c r="R19" s="49">
        <f t="shared" si="3"/>
        <v>1311.9234711308507</v>
      </c>
      <c r="S19" s="48">
        <v>1.2935000000000001</v>
      </c>
    </row>
    <row r="20" spans="2:19" x14ac:dyDescent="0.2">
      <c r="B20" s="47">
        <v>44120</v>
      </c>
      <c r="C20" s="46">
        <v>1520</v>
      </c>
      <c r="D20" s="45">
        <v>1520</v>
      </c>
      <c r="E20" s="44">
        <f t="shared" si="0"/>
        <v>1520</v>
      </c>
      <c r="F20" s="46">
        <v>1580</v>
      </c>
      <c r="G20" s="45">
        <v>1580</v>
      </c>
      <c r="H20" s="44">
        <f t="shared" si="1"/>
        <v>1580</v>
      </c>
      <c r="I20" s="46">
        <v>1578</v>
      </c>
      <c r="J20" s="45">
        <v>1578</v>
      </c>
      <c r="K20" s="44">
        <f t="shared" si="2"/>
        <v>1578</v>
      </c>
      <c r="L20" s="52">
        <v>1520</v>
      </c>
      <c r="M20" s="51">
        <v>1.2914000000000001</v>
      </c>
      <c r="N20" s="51">
        <v>1.1732</v>
      </c>
      <c r="O20" s="50">
        <v>105.26</v>
      </c>
      <c r="P20" s="43">
        <v>1177.02</v>
      </c>
      <c r="Q20" s="43">
        <v>1222.82</v>
      </c>
      <c r="R20" s="49">
        <f t="shared" si="3"/>
        <v>1295.6017729287419</v>
      </c>
      <c r="S20" s="48">
        <v>1.2921</v>
      </c>
    </row>
    <row r="21" spans="2:19" x14ac:dyDescent="0.2">
      <c r="B21" s="47">
        <v>44123</v>
      </c>
      <c r="C21" s="46">
        <v>1560</v>
      </c>
      <c r="D21" s="45">
        <v>1560</v>
      </c>
      <c r="E21" s="44">
        <f t="shared" si="0"/>
        <v>1560</v>
      </c>
      <c r="F21" s="46">
        <v>1580</v>
      </c>
      <c r="G21" s="45">
        <v>1580</v>
      </c>
      <c r="H21" s="44">
        <f t="shared" si="1"/>
        <v>1580</v>
      </c>
      <c r="I21" s="46">
        <v>1578</v>
      </c>
      <c r="J21" s="45">
        <v>1578</v>
      </c>
      <c r="K21" s="44">
        <f t="shared" si="2"/>
        <v>1578</v>
      </c>
      <c r="L21" s="52">
        <v>1560</v>
      </c>
      <c r="M21" s="51">
        <v>1.3012999999999999</v>
      </c>
      <c r="N21" s="51">
        <v>1.1786000000000001</v>
      </c>
      <c r="O21" s="50">
        <v>105.32</v>
      </c>
      <c r="P21" s="43">
        <v>1198.8</v>
      </c>
      <c r="Q21" s="43">
        <v>1213.42</v>
      </c>
      <c r="R21" s="49">
        <f t="shared" si="3"/>
        <v>1323.6042762599693</v>
      </c>
      <c r="S21" s="48">
        <v>1.3021</v>
      </c>
    </row>
    <row r="22" spans="2:19" x14ac:dyDescent="0.2">
      <c r="B22" s="47">
        <v>44124</v>
      </c>
      <c r="C22" s="46">
        <v>1580</v>
      </c>
      <c r="D22" s="45">
        <v>1580</v>
      </c>
      <c r="E22" s="44">
        <f t="shared" si="0"/>
        <v>1580</v>
      </c>
      <c r="F22" s="46">
        <v>1600</v>
      </c>
      <c r="G22" s="45">
        <v>1600</v>
      </c>
      <c r="H22" s="44">
        <f t="shared" si="1"/>
        <v>1600</v>
      </c>
      <c r="I22" s="46">
        <v>1598</v>
      </c>
      <c r="J22" s="45">
        <v>1598</v>
      </c>
      <c r="K22" s="44">
        <f t="shared" si="2"/>
        <v>1598</v>
      </c>
      <c r="L22" s="52">
        <v>1580</v>
      </c>
      <c r="M22" s="51">
        <v>1.2937000000000001</v>
      </c>
      <c r="N22" s="51">
        <v>1.1806000000000001</v>
      </c>
      <c r="O22" s="50">
        <v>105.68</v>
      </c>
      <c r="P22" s="43">
        <v>1221.3</v>
      </c>
      <c r="Q22" s="43">
        <v>1236</v>
      </c>
      <c r="R22" s="49">
        <f t="shared" si="3"/>
        <v>1338.302558021345</v>
      </c>
      <c r="S22" s="48">
        <v>1.2945</v>
      </c>
    </row>
    <row r="23" spans="2:19" x14ac:dyDescent="0.2">
      <c r="B23" s="47">
        <v>44125</v>
      </c>
      <c r="C23" s="46">
        <v>1580</v>
      </c>
      <c r="D23" s="45">
        <v>1580</v>
      </c>
      <c r="E23" s="44">
        <f t="shared" si="0"/>
        <v>1580</v>
      </c>
      <c r="F23" s="46">
        <v>1600</v>
      </c>
      <c r="G23" s="45">
        <v>1600</v>
      </c>
      <c r="H23" s="44">
        <f t="shared" si="1"/>
        <v>1600</v>
      </c>
      <c r="I23" s="46">
        <v>1598</v>
      </c>
      <c r="J23" s="45">
        <v>1598</v>
      </c>
      <c r="K23" s="44">
        <f t="shared" si="2"/>
        <v>1598</v>
      </c>
      <c r="L23" s="52">
        <v>1580</v>
      </c>
      <c r="M23" s="51">
        <v>1.3059000000000001</v>
      </c>
      <c r="N23" s="51">
        <v>1.1852</v>
      </c>
      <c r="O23" s="50">
        <v>104.86</v>
      </c>
      <c r="P23" s="43">
        <v>1209.8900000000001</v>
      </c>
      <c r="Q23" s="43">
        <v>1224.46</v>
      </c>
      <c r="R23" s="49">
        <f t="shared" si="3"/>
        <v>1333.1083361457981</v>
      </c>
      <c r="S23" s="48">
        <v>1.3067</v>
      </c>
    </row>
    <row r="24" spans="2:19" x14ac:dyDescent="0.2">
      <c r="B24" s="47">
        <v>44126</v>
      </c>
      <c r="C24" s="46">
        <v>1570</v>
      </c>
      <c r="D24" s="45">
        <v>1570</v>
      </c>
      <c r="E24" s="44">
        <f t="shared" si="0"/>
        <v>1570</v>
      </c>
      <c r="F24" s="46">
        <v>1590</v>
      </c>
      <c r="G24" s="45">
        <v>1590</v>
      </c>
      <c r="H24" s="44">
        <f t="shared" si="1"/>
        <v>1590</v>
      </c>
      <c r="I24" s="46">
        <v>1588</v>
      </c>
      <c r="J24" s="45">
        <v>1588</v>
      </c>
      <c r="K24" s="44">
        <f t="shared" si="2"/>
        <v>1588</v>
      </c>
      <c r="L24" s="52">
        <v>1570</v>
      </c>
      <c r="M24" s="51">
        <v>1.3097000000000001</v>
      </c>
      <c r="N24" s="51">
        <v>1.1825000000000001</v>
      </c>
      <c r="O24" s="50">
        <v>104.67</v>
      </c>
      <c r="P24" s="43">
        <v>1198.75</v>
      </c>
      <c r="Q24" s="43">
        <v>1213.28</v>
      </c>
      <c r="R24" s="49">
        <f t="shared" si="3"/>
        <v>1327.6955602536996</v>
      </c>
      <c r="S24" s="48">
        <v>1.3105</v>
      </c>
    </row>
    <row r="25" spans="2:19" x14ac:dyDescent="0.2">
      <c r="B25" s="47">
        <v>44127</v>
      </c>
      <c r="C25" s="46">
        <v>1530</v>
      </c>
      <c r="D25" s="45">
        <v>1530</v>
      </c>
      <c r="E25" s="44">
        <f t="shared" si="0"/>
        <v>1530</v>
      </c>
      <c r="F25" s="46">
        <v>1570</v>
      </c>
      <c r="G25" s="45">
        <v>1570</v>
      </c>
      <c r="H25" s="44">
        <f t="shared" si="1"/>
        <v>1570</v>
      </c>
      <c r="I25" s="46">
        <v>1568</v>
      </c>
      <c r="J25" s="45">
        <v>1568</v>
      </c>
      <c r="K25" s="44">
        <f t="shared" si="2"/>
        <v>1568</v>
      </c>
      <c r="L25" s="52">
        <v>1530</v>
      </c>
      <c r="M25" s="51">
        <v>1.3068</v>
      </c>
      <c r="N25" s="51">
        <v>1.1846000000000001</v>
      </c>
      <c r="O25" s="50">
        <v>104.78</v>
      </c>
      <c r="P25" s="43">
        <v>1170.8</v>
      </c>
      <c r="Q25" s="43">
        <v>1200.58</v>
      </c>
      <c r="R25" s="49">
        <f t="shared" si="3"/>
        <v>1291.5752152625357</v>
      </c>
      <c r="S25" s="48">
        <v>1.3077000000000001</v>
      </c>
    </row>
    <row r="26" spans="2:19" x14ac:dyDescent="0.2">
      <c r="B26" s="47">
        <v>44130</v>
      </c>
      <c r="C26" s="46">
        <v>1520</v>
      </c>
      <c r="D26" s="45">
        <v>1520</v>
      </c>
      <c r="E26" s="44">
        <f t="shared" si="0"/>
        <v>1520</v>
      </c>
      <c r="F26" s="46">
        <v>1540</v>
      </c>
      <c r="G26" s="45">
        <v>1540</v>
      </c>
      <c r="H26" s="44">
        <f t="shared" si="1"/>
        <v>1540</v>
      </c>
      <c r="I26" s="46">
        <v>1538.5</v>
      </c>
      <c r="J26" s="45">
        <v>1538.5</v>
      </c>
      <c r="K26" s="44">
        <f t="shared" si="2"/>
        <v>1538.5</v>
      </c>
      <c r="L26" s="52">
        <v>1520</v>
      </c>
      <c r="M26" s="51">
        <v>1.3025</v>
      </c>
      <c r="N26" s="51">
        <v>1.1814</v>
      </c>
      <c r="O26" s="50">
        <v>105.02</v>
      </c>
      <c r="P26" s="43">
        <v>1166.99</v>
      </c>
      <c r="Q26" s="43">
        <v>1181.53</v>
      </c>
      <c r="R26" s="49">
        <f t="shared" si="3"/>
        <v>1286.609107838158</v>
      </c>
      <c r="S26" s="48">
        <v>1.3033999999999999</v>
      </c>
    </row>
    <row r="27" spans="2:19" x14ac:dyDescent="0.2">
      <c r="B27" s="47">
        <v>44131</v>
      </c>
      <c r="C27" s="46">
        <v>1540</v>
      </c>
      <c r="D27" s="45">
        <v>1540</v>
      </c>
      <c r="E27" s="44">
        <f t="shared" si="0"/>
        <v>1540</v>
      </c>
      <c r="F27" s="46">
        <v>1570</v>
      </c>
      <c r="G27" s="45">
        <v>1570</v>
      </c>
      <c r="H27" s="44">
        <f t="shared" si="1"/>
        <v>1570</v>
      </c>
      <c r="I27" s="46">
        <v>1568.5</v>
      </c>
      <c r="J27" s="45">
        <v>1568.5</v>
      </c>
      <c r="K27" s="44">
        <f t="shared" si="2"/>
        <v>1568.5</v>
      </c>
      <c r="L27" s="52">
        <v>1540</v>
      </c>
      <c r="M27" s="51">
        <v>1.3029999999999999</v>
      </c>
      <c r="N27" s="51">
        <v>1.1828000000000001</v>
      </c>
      <c r="O27" s="50">
        <v>104.67</v>
      </c>
      <c r="P27" s="43">
        <v>1181.8900000000001</v>
      </c>
      <c r="Q27" s="43">
        <v>1204.08</v>
      </c>
      <c r="R27" s="49">
        <f t="shared" si="3"/>
        <v>1301.9952654717617</v>
      </c>
      <c r="S27" s="48">
        <v>1.3039000000000001</v>
      </c>
    </row>
    <row r="28" spans="2:19" x14ac:dyDescent="0.2">
      <c r="B28" s="47">
        <v>44132</v>
      </c>
      <c r="C28" s="46">
        <v>1550</v>
      </c>
      <c r="D28" s="45">
        <v>1550</v>
      </c>
      <c r="E28" s="44">
        <f t="shared" si="0"/>
        <v>1550</v>
      </c>
      <c r="F28" s="46">
        <v>1570</v>
      </c>
      <c r="G28" s="45">
        <v>1570</v>
      </c>
      <c r="H28" s="44">
        <f t="shared" si="1"/>
        <v>1570</v>
      </c>
      <c r="I28" s="46">
        <v>1568.5</v>
      </c>
      <c r="J28" s="45">
        <v>1568.5</v>
      </c>
      <c r="K28" s="44">
        <f t="shared" si="2"/>
        <v>1568.5</v>
      </c>
      <c r="L28" s="52">
        <v>1550</v>
      </c>
      <c r="M28" s="51">
        <v>1.2941</v>
      </c>
      <c r="N28" s="51">
        <v>1.1727000000000001</v>
      </c>
      <c r="O28" s="50">
        <v>104.39</v>
      </c>
      <c r="P28" s="43">
        <v>1197.74</v>
      </c>
      <c r="Q28" s="43">
        <v>1212.45</v>
      </c>
      <c r="R28" s="49">
        <f t="shared" si="3"/>
        <v>1321.7361644069242</v>
      </c>
      <c r="S28" s="48">
        <v>1.2948999999999999</v>
      </c>
    </row>
    <row r="29" spans="2:19" x14ac:dyDescent="0.2">
      <c r="B29" s="47">
        <v>44133</v>
      </c>
      <c r="C29" s="46">
        <v>1501</v>
      </c>
      <c r="D29" s="45">
        <v>1501</v>
      </c>
      <c r="E29" s="44">
        <f t="shared" si="0"/>
        <v>1501</v>
      </c>
      <c r="F29" s="46">
        <v>1521</v>
      </c>
      <c r="G29" s="45">
        <v>1521</v>
      </c>
      <c r="H29" s="44">
        <f t="shared" si="1"/>
        <v>1521</v>
      </c>
      <c r="I29" s="46">
        <v>1519.5</v>
      </c>
      <c r="J29" s="45">
        <v>1519.5</v>
      </c>
      <c r="K29" s="44">
        <f t="shared" si="2"/>
        <v>1519.5</v>
      </c>
      <c r="L29" s="52">
        <v>1501</v>
      </c>
      <c r="M29" s="51">
        <v>1.2935000000000001</v>
      </c>
      <c r="N29" s="51">
        <v>1.1704000000000001</v>
      </c>
      <c r="O29" s="50">
        <v>104.37</v>
      </c>
      <c r="P29" s="43">
        <v>1160.42</v>
      </c>
      <c r="Q29" s="43">
        <v>1175.06</v>
      </c>
      <c r="R29" s="49">
        <f t="shared" si="3"/>
        <v>1282.4675324675322</v>
      </c>
      <c r="S29" s="48">
        <v>1.2944</v>
      </c>
    </row>
    <row r="30" spans="2:19" x14ac:dyDescent="0.2">
      <c r="B30" s="47">
        <v>44134</v>
      </c>
      <c r="C30" s="46">
        <v>1510</v>
      </c>
      <c r="D30" s="45">
        <v>1510</v>
      </c>
      <c r="E30" s="44">
        <f t="shared" si="0"/>
        <v>1510</v>
      </c>
      <c r="F30" s="46">
        <v>1530</v>
      </c>
      <c r="G30" s="45">
        <v>1530</v>
      </c>
      <c r="H30" s="44">
        <f t="shared" si="1"/>
        <v>1530</v>
      </c>
      <c r="I30" s="46">
        <v>1528.5</v>
      </c>
      <c r="J30" s="45">
        <v>1528.5</v>
      </c>
      <c r="K30" s="44">
        <f t="shared" si="2"/>
        <v>1528.5</v>
      </c>
      <c r="L30" s="52">
        <v>1510</v>
      </c>
      <c r="M30" s="51">
        <v>1.2972999999999999</v>
      </c>
      <c r="N30" s="51">
        <v>1.1700999999999999</v>
      </c>
      <c r="O30" s="50">
        <v>104.48</v>
      </c>
      <c r="P30" s="43">
        <v>1163.96</v>
      </c>
      <c r="Q30" s="43">
        <v>1178.55</v>
      </c>
      <c r="R30" s="49">
        <f t="shared" si="3"/>
        <v>1290.4879924792754</v>
      </c>
      <c r="S30" s="48">
        <v>1.2982</v>
      </c>
    </row>
    <row r="31" spans="2:19" s="10" customFormat="1" x14ac:dyDescent="0.2">
      <c r="B31" s="42" t="s">
        <v>11</v>
      </c>
      <c r="C31" s="41">
        <f>ROUND(AVERAGE(C9:C30),2)</f>
        <v>1519.89</v>
      </c>
      <c r="D31" s="40">
        <f>ROUND(AVERAGE(D9:D30),2)</f>
        <v>1519.89</v>
      </c>
      <c r="E31" s="39">
        <f>ROUND(AVERAGE(C31:D31),2)</f>
        <v>1519.89</v>
      </c>
      <c r="F31" s="41">
        <f>ROUND(AVERAGE(F9:F30),2)</f>
        <v>1555.14</v>
      </c>
      <c r="G31" s="40">
        <f>ROUND(AVERAGE(G9:G30),2)</f>
        <v>1555.14</v>
      </c>
      <c r="H31" s="39">
        <f>ROUND(AVERAGE(F31:G31),2)</f>
        <v>1555.14</v>
      </c>
      <c r="I31" s="41">
        <f>ROUND(AVERAGE(I9:I30),2)</f>
        <v>1552.59</v>
      </c>
      <c r="J31" s="40">
        <f>ROUND(AVERAGE(J9:J30),2)</f>
        <v>1552.59</v>
      </c>
      <c r="K31" s="39">
        <f>ROUND(AVERAGE(I31:J31),2)</f>
        <v>1552.59</v>
      </c>
      <c r="L31" s="38">
        <f>ROUND(AVERAGE(L9:L30),2)</f>
        <v>1519.89</v>
      </c>
      <c r="M31" s="37">
        <f>ROUND(AVERAGE(M9:M30),4)</f>
        <v>1.2977000000000001</v>
      </c>
      <c r="N31" s="36">
        <f>ROUND(AVERAGE(N9:N30),4)</f>
        <v>1.1775</v>
      </c>
      <c r="O31" s="175">
        <f>ROUND(AVERAGE(O9:O30),2)</f>
        <v>105.22</v>
      </c>
      <c r="P31" s="35">
        <f>AVERAGE(P9:P30)</f>
        <v>1171.2163636363637</v>
      </c>
      <c r="Q31" s="35">
        <f>AVERAGE(Q9:Q30)</f>
        <v>1197.6436363636365</v>
      </c>
      <c r="R31" s="35">
        <f>AVERAGE(R9:R30)</f>
        <v>1290.7799756710685</v>
      </c>
      <c r="S31" s="34">
        <f>AVERAGE(S9:S30)</f>
        <v>1.2985045454545454</v>
      </c>
    </row>
    <row r="32" spans="2:19" s="5" customFormat="1" x14ac:dyDescent="0.2">
      <c r="B32" s="33" t="s">
        <v>12</v>
      </c>
      <c r="C32" s="32">
        <f t="shared" ref="C32:S32" si="4">MAX(C9:C30)</f>
        <v>1580</v>
      </c>
      <c r="D32" s="31">
        <f t="shared" si="4"/>
        <v>1580</v>
      </c>
      <c r="E32" s="30">
        <f t="shared" si="4"/>
        <v>1580</v>
      </c>
      <c r="F32" s="32">
        <f t="shared" si="4"/>
        <v>1600</v>
      </c>
      <c r="G32" s="31">
        <f t="shared" si="4"/>
        <v>1600</v>
      </c>
      <c r="H32" s="30">
        <f t="shared" si="4"/>
        <v>1600</v>
      </c>
      <c r="I32" s="32">
        <f t="shared" si="4"/>
        <v>1598</v>
      </c>
      <c r="J32" s="31">
        <f t="shared" si="4"/>
        <v>1598</v>
      </c>
      <c r="K32" s="30">
        <f t="shared" si="4"/>
        <v>1598</v>
      </c>
      <c r="L32" s="29">
        <f t="shared" si="4"/>
        <v>1580</v>
      </c>
      <c r="M32" s="28">
        <f t="shared" si="4"/>
        <v>1.3097000000000001</v>
      </c>
      <c r="N32" s="27">
        <f t="shared" si="4"/>
        <v>1.1852</v>
      </c>
      <c r="O32" s="26">
        <f t="shared" si="4"/>
        <v>106.02</v>
      </c>
      <c r="P32" s="25">
        <f t="shared" si="4"/>
        <v>1221.3</v>
      </c>
      <c r="Q32" s="25">
        <f t="shared" si="4"/>
        <v>1236</v>
      </c>
      <c r="R32" s="25">
        <f t="shared" si="4"/>
        <v>1338.302558021345</v>
      </c>
      <c r="S32" s="24">
        <f t="shared" si="4"/>
        <v>1.3105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1470</v>
      </c>
      <c r="D33" s="21">
        <f t="shared" si="5"/>
        <v>1470</v>
      </c>
      <c r="E33" s="20">
        <f t="shared" si="5"/>
        <v>1470</v>
      </c>
      <c r="F33" s="22">
        <f t="shared" si="5"/>
        <v>1510.5</v>
      </c>
      <c r="G33" s="21">
        <f t="shared" si="5"/>
        <v>1510.5</v>
      </c>
      <c r="H33" s="20">
        <f t="shared" si="5"/>
        <v>1510.5</v>
      </c>
      <c r="I33" s="22">
        <f t="shared" si="5"/>
        <v>1507.5</v>
      </c>
      <c r="J33" s="21">
        <f t="shared" si="5"/>
        <v>1507.5</v>
      </c>
      <c r="K33" s="20">
        <f t="shared" si="5"/>
        <v>1507.5</v>
      </c>
      <c r="L33" s="19">
        <f t="shared" si="5"/>
        <v>1470</v>
      </c>
      <c r="M33" s="18">
        <f t="shared" si="5"/>
        <v>1.2878000000000001</v>
      </c>
      <c r="N33" s="17">
        <f t="shared" si="5"/>
        <v>1.1700999999999999</v>
      </c>
      <c r="O33" s="16">
        <f t="shared" si="5"/>
        <v>104.37</v>
      </c>
      <c r="P33" s="15">
        <f t="shared" si="5"/>
        <v>1127.99</v>
      </c>
      <c r="Q33" s="15">
        <f t="shared" si="5"/>
        <v>1163.8499999999999</v>
      </c>
      <c r="R33" s="15">
        <f t="shared" si="5"/>
        <v>1246.9250996691831</v>
      </c>
      <c r="S33" s="14">
        <f t="shared" si="5"/>
        <v>1.2885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69" orientation="landscape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44105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44105</v>
      </c>
      <c r="C9" s="46">
        <v>1505</v>
      </c>
      <c r="D9" s="45">
        <v>1505</v>
      </c>
      <c r="E9" s="44">
        <f t="shared" ref="E9:E30" si="0">AVERAGE(C9:D9)</f>
        <v>1505</v>
      </c>
      <c r="F9" s="46">
        <v>1525</v>
      </c>
      <c r="G9" s="45">
        <v>1525</v>
      </c>
      <c r="H9" s="44">
        <f t="shared" ref="H9:H30" si="1">AVERAGE(F9:G9)</f>
        <v>1525</v>
      </c>
      <c r="I9" s="46">
        <v>1556.5</v>
      </c>
      <c r="J9" s="45">
        <v>1556.5</v>
      </c>
      <c r="K9" s="44">
        <f t="shared" ref="K9:K30" si="2">AVERAGE(I9:J9)</f>
        <v>1556.5</v>
      </c>
      <c r="L9" s="52">
        <v>1505</v>
      </c>
      <c r="M9" s="51">
        <v>1.2966</v>
      </c>
      <c r="N9" s="53">
        <v>1.1763999999999999</v>
      </c>
      <c r="O9" s="50">
        <v>105.47</v>
      </c>
      <c r="P9" s="43">
        <v>1160.73</v>
      </c>
      <c r="Q9" s="43">
        <v>1175.3399999999999</v>
      </c>
      <c r="R9" s="49">
        <f t="shared" ref="R9:R30" si="3">L9/N9</f>
        <v>1279.3267596055764</v>
      </c>
      <c r="S9" s="48">
        <v>1.2975000000000001</v>
      </c>
    </row>
    <row r="10" spans="1:19" x14ac:dyDescent="0.2">
      <c r="B10" s="47">
        <v>44106</v>
      </c>
      <c r="C10" s="46">
        <v>1500</v>
      </c>
      <c r="D10" s="45">
        <v>1500</v>
      </c>
      <c r="E10" s="44">
        <f t="shared" si="0"/>
        <v>1500</v>
      </c>
      <c r="F10" s="46">
        <v>1520</v>
      </c>
      <c r="G10" s="45">
        <v>1520</v>
      </c>
      <c r="H10" s="44">
        <f t="shared" si="1"/>
        <v>1520</v>
      </c>
      <c r="I10" s="46">
        <v>1551.5</v>
      </c>
      <c r="J10" s="45">
        <v>1551.5</v>
      </c>
      <c r="K10" s="44">
        <f t="shared" si="2"/>
        <v>1551.5</v>
      </c>
      <c r="L10" s="52">
        <v>1500</v>
      </c>
      <c r="M10" s="51">
        <v>1.294</v>
      </c>
      <c r="N10" s="51">
        <v>1.1725000000000001</v>
      </c>
      <c r="O10" s="50">
        <v>105.18</v>
      </c>
      <c r="P10" s="43">
        <v>1159.2</v>
      </c>
      <c r="Q10" s="43">
        <v>1173.93</v>
      </c>
      <c r="R10" s="49">
        <f t="shared" si="3"/>
        <v>1279.3176972281449</v>
      </c>
      <c r="S10" s="48">
        <v>1.2948</v>
      </c>
    </row>
    <row r="11" spans="1:19" x14ac:dyDescent="0.2">
      <c r="B11" s="47">
        <v>44109</v>
      </c>
      <c r="C11" s="46">
        <v>1515</v>
      </c>
      <c r="D11" s="45">
        <v>1515</v>
      </c>
      <c r="E11" s="44">
        <f t="shared" si="0"/>
        <v>1515</v>
      </c>
      <c r="F11" s="46">
        <v>1535</v>
      </c>
      <c r="G11" s="45">
        <v>1535</v>
      </c>
      <c r="H11" s="44">
        <f t="shared" si="1"/>
        <v>1535</v>
      </c>
      <c r="I11" s="46">
        <v>1566.5</v>
      </c>
      <c r="J11" s="45">
        <v>1566.5</v>
      </c>
      <c r="K11" s="44">
        <f t="shared" si="2"/>
        <v>1566.5</v>
      </c>
      <c r="L11" s="52">
        <v>1515</v>
      </c>
      <c r="M11" s="51">
        <v>1.2952999999999999</v>
      </c>
      <c r="N11" s="51">
        <v>1.1765000000000001</v>
      </c>
      <c r="O11" s="50">
        <v>105.61</v>
      </c>
      <c r="P11" s="43">
        <v>1169.6099999999999</v>
      </c>
      <c r="Q11" s="43">
        <v>1184.32</v>
      </c>
      <c r="R11" s="49">
        <f t="shared" si="3"/>
        <v>1287.7178070548234</v>
      </c>
      <c r="S11" s="48">
        <v>1.2961</v>
      </c>
    </row>
    <row r="12" spans="1:19" x14ac:dyDescent="0.2">
      <c r="B12" s="47">
        <v>44110</v>
      </c>
      <c r="C12" s="46">
        <v>1550</v>
      </c>
      <c r="D12" s="45">
        <v>1550</v>
      </c>
      <c r="E12" s="44">
        <f t="shared" si="0"/>
        <v>1550</v>
      </c>
      <c r="F12" s="46">
        <v>1560</v>
      </c>
      <c r="G12" s="45">
        <v>1560</v>
      </c>
      <c r="H12" s="44">
        <f t="shared" si="1"/>
        <v>1560</v>
      </c>
      <c r="I12" s="46">
        <v>1591</v>
      </c>
      <c r="J12" s="45">
        <v>1591</v>
      </c>
      <c r="K12" s="44">
        <f t="shared" si="2"/>
        <v>1591</v>
      </c>
      <c r="L12" s="52">
        <v>1550</v>
      </c>
      <c r="M12" s="51">
        <v>1.2952999999999999</v>
      </c>
      <c r="N12" s="51">
        <v>1.1796</v>
      </c>
      <c r="O12" s="50">
        <v>105.62</v>
      </c>
      <c r="P12" s="43">
        <v>1196.6300000000001</v>
      </c>
      <c r="Q12" s="43">
        <v>1203.6099999999999</v>
      </c>
      <c r="R12" s="49">
        <f t="shared" si="3"/>
        <v>1314.0047473719906</v>
      </c>
      <c r="S12" s="48">
        <v>1.2961</v>
      </c>
    </row>
    <row r="13" spans="1:19" x14ac:dyDescent="0.2">
      <c r="B13" s="47">
        <v>44111</v>
      </c>
      <c r="C13" s="46">
        <v>1565</v>
      </c>
      <c r="D13" s="45">
        <v>1565</v>
      </c>
      <c r="E13" s="44">
        <f t="shared" si="0"/>
        <v>1565</v>
      </c>
      <c r="F13" s="46">
        <v>1575.5</v>
      </c>
      <c r="G13" s="45">
        <v>1575.5</v>
      </c>
      <c r="H13" s="44">
        <f t="shared" si="1"/>
        <v>1575.5</v>
      </c>
      <c r="I13" s="46">
        <v>1606.5</v>
      </c>
      <c r="J13" s="45">
        <v>1606.5</v>
      </c>
      <c r="K13" s="44">
        <f t="shared" si="2"/>
        <v>1606.5</v>
      </c>
      <c r="L13" s="52">
        <v>1565</v>
      </c>
      <c r="M13" s="51">
        <v>1.2878000000000001</v>
      </c>
      <c r="N13" s="51">
        <v>1.1774</v>
      </c>
      <c r="O13" s="50">
        <v>106.02</v>
      </c>
      <c r="P13" s="43">
        <v>1215.25</v>
      </c>
      <c r="Q13" s="43">
        <v>1222.74</v>
      </c>
      <c r="R13" s="49">
        <f t="shared" si="3"/>
        <v>1329.1999320536777</v>
      </c>
      <c r="S13" s="48">
        <v>1.2885</v>
      </c>
    </row>
    <row r="14" spans="1:19" x14ac:dyDescent="0.2">
      <c r="B14" s="47">
        <v>44112</v>
      </c>
      <c r="C14" s="46">
        <v>1560</v>
      </c>
      <c r="D14" s="45">
        <v>1560</v>
      </c>
      <c r="E14" s="44">
        <f t="shared" si="0"/>
        <v>1560</v>
      </c>
      <c r="F14" s="46">
        <v>1580</v>
      </c>
      <c r="G14" s="45">
        <v>1580</v>
      </c>
      <c r="H14" s="44">
        <f t="shared" si="1"/>
        <v>1580</v>
      </c>
      <c r="I14" s="46">
        <v>1607.5</v>
      </c>
      <c r="J14" s="45">
        <v>1607.5</v>
      </c>
      <c r="K14" s="44">
        <f t="shared" si="2"/>
        <v>1607.5</v>
      </c>
      <c r="L14" s="52">
        <v>1560</v>
      </c>
      <c r="M14" s="51">
        <v>1.2904</v>
      </c>
      <c r="N14" s="51">
        <v>1.1759999999999999</v>
      </c>
      <c r="O14" s="50">
        <v>106.01</v>
      </c>
      <c r="P14" s="43">
        <v>1208.93</v>
      </c>
      <c r="Q14" s="43">
        <v>1223.76</v>
      </c>
      <c r="R14" s="49">
        <f t="shared" si="3"/>
        <v>1326.5306122448981</v>
      </c>
      <c r="S14" s="48">
        <v>1.2910999999999999</v>
      </c>
    </row>
    <row r="15" spans="1:19" x14ac:dyDescent="0.2">
      <c r="B15" s="47">
        <v>44113</v>
      </c>
      <c r="C15" s="46">
        <v>1600</v>
      </c>
      <c r="D15" s="45">
        <v>1600</v>
      </c>
      <c r="E15" s="44">
        <f t="shared" si="0"/>
        <v>1600</v>
      </c>
      <c r="F15" s="46">
        <v>1604</v>
      </c>
      <c r="G15" s="45">
        <v>1604</v>
      </c>
      <c r="H15" s="44">
        <f t="shared" si="1"/>
        <v>1604</v>
      </c>
      <c r="I15" s="46">
        <v>1631.5</v>
      </c>
      <c r="J15" s="45">
        <v>1631.5</v>
      </c>
      <c r="K15" s="44">
        <f t="shared" si="2"/>
        <v>1631.5</v>
      </c>
      <c r="L15" s="52">
        <v>1600</v>
      </c>
      <c r="M15" s="51">
        <v>1.2943</v>
      </c>
      <c r="N15" s="51">
        <v>1.18</v>
      </c>
      <c r="O15" s="50">
        <v>105.92</v>
      </c>
      <c r="P15" s="43">
        <v>1236.19</v>
      </c>
      <c r="Q15" s="43">
        <v>1238.51</v>
      </c>
      <c r="R15" s="49">
        <f t="shared" si="3"/>
        <v>1355.9322033898306</v>
      </c>
      <c r="S15" s="48">
        <v>1.2950999999999999</v>
      </c>
    </row>
    <row r="16" spans="1:19" x14ac:dyDescent="0.2">
      <c r="B16" s="47">
        <v>44116</v>
      </c>
      <c r="C16" s="46">
        <v>1616</v>
      </c>
      <c r="D16" s="45">
        <v>1616</v>
      </c>
      <c r="E16" s="44">
        <f t="shared" si="0"/>
        <v>1616</v>
      </c>
      <c r="F16" s="46">
        <v>1620</v>
      </c>
      <c r="G16" s="45">
        <v>1620</v>
      </c>
      <c r="H16" s="44">
        <f t="shared" si="1"/>
        <v>1620</v>
      </c>
      <c r="I16" s="46">
        <v>1647.5</v>
      </c>
      <c r="J16" s="45">
        <v>1647.5</v>
      </c>
      <c r="K16" s="44">
        <f t="shared" si="2"/>
        <v>1647.5</v>
      </c>
      <c r="L16" s="52">
        <v>1616</v>
      </c>
      <c r="M16" s="51">
        <v>1.3022</v>
      </c>
      <c r="N16" s="51">
        <v>1.1795</v>
      </c>
      <c r="O16" s="50">
        <v>105.46</v>
      </c>
      <c r="P16" s="43">
        <v>1240.98</v>
      </c>
      <c r="Q16" s="43">
        <v>1243.28</v>
      </c>
      <c r="R16" s="49">
        <f t="shared" si="3"/>
        <v>1370.0720644340822</v>
      </c>
      <c r="S16" s="48">
        <v>1.3029999999999999</v>
      </c>
    </row>
    <row r="17" spans="2:19" x14ac:dyDescent="0.2">
      <c r="B17" s="47">
        <v>44117</v>
      </c>
      <c r="C17" s="46">
        <v>1623.5</v>
      </c>
      <c r="D17" s="45">
        <v>1623.5</v>
      </c>
      <c r="E17" s="44">
        <f t="shared" si="0"/>
        <v>1623.5</v>
      </c>
      <c r="F17" s="46">
        <v>1629</v>
      </c>
      <c r="G17" s="45">
        <v>1629</v>
      </c>
      <c r="H17" s="44">
        <f t="shared" si="1"/>
        <v>1629</v>
      </c>
      <c r="I17" s="46">
        <v>1656.5</v>
      </c>
      <c r="J17" s="45">
        <v>1656.5</v>
      </c>
      <c r="K17" s="44">
        <f t="shared" si="2"/>
        <v>1656.5</v>
      </c>
      <c r="L17" s="52">
        <v>1623.5</v>
      </c>
      <c r="M17" s="51">
        <v>1.3031999999999999</v>
      </c>
      <c r="N17" s="51">
        <v>1.1789000000000001</v>
      </c>
      <c r="O17" s="50">
        <v>105.51</v>
      </c>
      <c r="P17" s="43">
        <v>1245.78</v>
      </c>
      <c r="Q17" s="43">
        <v>1249.23</v>
      </c>
      <c r="R17" s="49">
        <f t="shared" si="3"/>
        <v>1377.1312240223938</v>
      </c>
      <c r="S17" s="48">
        <v>1.304</v>
      </c>
    </row>
    <row r="18" spans="2:19" x14ac:dyDescent="0.2">
      <c r="B18" s="47">
        <v>44118</v>
      </c>
      <c r="C18" s="46">
        <v>1620.5</v>
      </c>
      <c r="D18" s="45">
        <v>1620.5</v>
      </c>
      <c r="E18" s="44">
        <f t="shared" si="0"/>
        <v>1620.5</v>
      </c>
      <c r="F18" s="46">
        <v>1636.5</v>
      </c>
      <c r="G18" s="45">
        <v>1636.5</v>
      </c>
      <c r="H18" s="44">
        <f t="shared" si="1"/>
        <v>1636.5</v>
      </c>
      <c r="I18" s="46">
        <v>1664</v>
      </c>
      <c r="J18" s="45">
        <v>1664</v>
      </c>
      <c r="K18" s="44">
        <f t="shared" si="2"/>
        <v>1664</v>
      </c>
      <c r="L18" s="52">
        <v>1620.5</v>
      </c>
      <c r="M18" s="51">
        <v>1.2982</v>
      </c>
      <c r="N18" s="51">
        <v>1.1748000000000001</v>
      </c>
      <c r="O18" s="50">
        <v>105.34</v>
      </c>
      <c r="P18" s="43">
        <v>1248.27</v>
      </c>
      <c r="Q18" s="43">
        <v>1259.82</v>
      </c>
      <c r="R18" s="49">
        <f t="shared" si="3"/>
        <v>1379.3837248893428</v>
      </c>
      <c r="S18" s="48">
        <v>1.2989999999999999</v>
      </c>
    </row>
    <row r="19" spans="2:19" x14ac:dyDescent="0.2">
      <c r="B19" s="47">
        <v>44119</v>
      </c>
      <c r="C19" s="46">
        <v>1635</v>
      </c>
      <c r="D19" s="45">
        <v>1635</v>
      </c>
      <c r="E19" s="44">
        <f t="shared" si="0"/>
        <v>1635</v>
      </c>
      <c r="F19" s="46">
        <v>1650</v>
      </c>
      <c r="G19" s="45">
        <v>1650</v>
      </c>
      <c r="H19" s="44">
        <f t="shared" si="1"/>
        <v>1650</v>
      </c>
      <c r="I19" s="46">
        <v>1677.5</v>
      </c>
      <c r="J19" s="45">
        <v>1677.5</v>
      </c>
      <c r="K19" s="44">
        <f t="shared" si="2"/>
        <v>1677.5</v>
      </c>
      <c r="L19" s="52">
        <v>1635</v>
      </c>
      <c r="M19" s="51">
        <v>1.2927</v>
      </c>
      <c r="N19" s="51">
        <v>1.1708000000000001</v>
      </c>
      <c r="O19" s="50">
        <v>105.27</v>
      </c>
      <c r="P19" s="43">
        <v>1264.79</v>
      </c>
      <c r="Q19" s="43">
        <v>1275.6099999999999</v>
      </c>
      <c r="R19" s="49">
        <f t="shared" si="3"/>
        <v>1396.4810386060813</v>
      </c>
      <c r="S19" s="48">
        <v>1.2935000000000001</v>
      </c>
    </row>
    <row r="20" spans="2:19" x14ac:dyDescent="0.2">
      <c r="B20" s="47">
        <v>44120</v>
      </c>
      <c r="C20" s="46">
        <v>1650</v>
      </c>
      <c r="D20" s="45">
        <v>1650</v>
      </c>
      <c r="E20" s="44">
        <f t="shared" si="0"/>
        <v>1650</v>
      </c>
      <c r="F20" s="46">
        <v>1664.5</v>
      </c>
      <c r="G20" s="45">
        <v>1664.5</v>
      </c>
      <c r="H20" s="44">
        <f t="shared" si="1"/>
        <v>1664.5</v>
      </c>
      <c r="I20" s="46">
        <v>1692</v>
      </c>
      <c r="J20" s="45">
        <v>1692</v>
      </c>
      <c r="K20" s="44">
        <f t="shared" si="2"/>
        <v>1692</v>
      </c>
      <c r="L20" s="52">
        <v>1650</v>
      </c>
      <c r="M20" s="51">
        <v>1.2914000000000001</v>
      </c>
      <c r="N20" s="51">
        <v>1.1732</v>
      </c>
      <c r="O20" s="50">
        <v>105.26</v>
      </c>
      <c r="P20" s="43">
        <v>1277.68</v>
      </c>
      <c r="Q20" s="43">
        <v>1288.21</v>
      </c>
      <c r="R20" s="49">
        <f t="shared" si="3"/>
        <v>1406.4098192976473</v>
      </c>
      <c r="S20" s="48">
        <v>1.2921</v>
      </c>
    </row>
    <row r="21" spans="2:19" x14ac:dyDescent="0.2">
      <c r="B21" s="47">
        <v>44123</v>
      </c>
      <c r="C21" s="46">
        <v>1650</v>
      </c>
      <c r="D21" s="45">
        <v>1650</v>
      </c>
      <c r="E21" s="44">
        <f t="shared" si="0"/>
        <v>1650</v>
      </c>
      <c r="F21" s="46">
        <v>1670</v>
      </c>
      <c r="G21" s="45">
        <v>1670</v>
      </c>
      <c r="H21" s="44">
        <f t="shared" si="1"/>
        <v>1670</v>
      </c>
      <c r="I21" s="46">
        <v>1697.5</v>
      </c>
      <c r="J21" s="45">
        <v>1697.5</v>
      </c>
      <c r="K21" s="44">
        <f t="shared" si="2"/>
        <v>1697.5</v>
      </c>
      <c r="L21" s="52">
        <v>1650</v>
      </c>
      <c r="M21" s="51">
        <v>1.3012999999999999</v>
      </c>
      <c r="N21" s="51">
        <v>1.1786000000000001</v>
      </c>
      <c r="O21" s="50">
        <v>105.32</v>
      </c>
      <c r="P21" s="43">
        <v>1267.96</v>
      </c>
      <c r="Q21" s="43">
        <v>1282.54</v>
      </c>
      <c r="R21" s="49">
        <f t="shared" si="3"/>
        <v>1399.9660614288136</v>
      </c>
      <c r="S21" s="48">
        <v>1.3021</v>
      </c>
    </row>
    <row r="22" spans="2:19" x14ac:dyDescent="0.2">
      <c r="B22" s="47">
        <v>44124</v>
      </c>
      <c r="C22" s="46">
        <v>1665</v>
      </c>
      <c r="D22" s="45">
        <v>1665</v>
      </c>
      <c r="E22" s="44">
        <f t="shared" si="0"/>
        <v>1665</v>
      </c>
      <c r="F22" s="46">
        <v>1685</v>
      </c>
      <c r="G22" s="45">
        <v>1685</v>
      </c>
      <c r="H22" s="44">
        <f t="shared" si="1"/>
        <v>1685</v>
      </c>
      <c r="I22" s="46">
        <v>1712.5</v>
      </c>
      <c r="J22" s="45">
        <v>1712.5</v>
      </c>
      <c r="K22" s="44">
        <f t="shared" si="2"/>
        <v>1712.5</v>
      </c>
      <c r="L22" s="52">
        <v>1665</v>
      </c>
      <c r="M22" s="51">
        <v>1.2937000000000001</v>
      </c>
      <c r="N22" s="51">
        <v>1.1806000000000001</v>
      </c>
      <c r="O22" s="50">
        <v>105.68</v>
      </c>
      <c r="P22" s="43">
        <v>1287.01</v>
      </c>
      <c r="Q22" s="43">
        <v>1301.6600000000001</v>
      </c>
      <c r="R22" s="49">
        <f t="shared" si="3"/>
        <v>1410.2998475351515</v>
      </c>
      <c r="S22" s="48">
        <v>1.2945</v>
      </c>
    </row>
    <row r="23" spans="2:19" x14ac:dyDescent="0.2">
      <c r="B23" s="47">
        <v>44125</v>
      </c>
      <c r="C23" s="46">
        <v>1660</v>
      </c>
      <c r="D23" s="45">
        <v>1660</v>
      </c>
      <c r="E23" s="44">
        <f t="shared" si="0"/>
        <v>1660</v>
      </c>
      <c r="F23" s="46">
        <v>1680</v>
      </c>
      <c r="G23" s="45">
        <v>1680</v>
      </c>
      <c r="H23" s="44">
        <f t="shared" si="1"/>
        <v>1680</v>
      </c>
      <c r="I23" s="46">
        <v>1707.5</v>
      </c>
      <c r="J23" s="45">
        <v>1707.5</v>
      </c>
      <c r="K23" s="44">
        <f t="shared" si="2"/>
        <v>1707.5</v>
      </c>
      <c r="L23" s="52">
        <v>1660</v>
      </c>
      <c r="M23" s="51">
        <v>1.3059000000000001</v>
      </c>
      <c r="N23" s="51">
        <v>1.1852</v>
      </c>
      <c r="O23" s="50">
        <v>104.86</v>
      </c>
      <c r="P23" s="43">
        <v>1271.1500000000001</v>
      </c>
      <c r="Q23" s="43">
        <v>1285.68</v>
      </c>
      <c r="R23" s="49">
        <f t="shared" si="3"/>
        <v>1400.6074924063448</v>
      </c>
      <c r="S23" s="48">
        <v>1.3067</v>
      </c>
    </row>
    <row r="24" spans="2:19" x14ac:dyDescent="0.2">
      <c r="B24" s="47">
        <v>44126</v>
      </c>
      <c r="C24" s="46">
        <v>1660</v>
      </c>
      <c r="D24" s="45">
        <v>1660</v>
      </c>
      <c r="E24" s="44">
        <f t="shared" si="0"/>
        <v>1660</v>
      </c>
      <c r="F24" s="46">
        <v>1689.5</v>
      </c>
      <c r="G24" s="45">
        <v>1689.5</v>
      </c>
      <c r="H24" s="44">
        <f t="shared" si="1"/>
        <v>1689.5</v>
      </c>
      <c r="I24" s="46">
        <v>1716.5</v>
      </c>
      <c r="J24" s="45">
        <v>1716.5</v>
      </c>
      <c r="K24" s="44">
        <f t="shared" si="2"/>
        <v>1716.5</v>
      </c>
      <c r="L24" s="52">
        <v>1660</v>
      </c>
      <c r="M24" s="51">
        <v>1.3097000000000001</v>
      </c>
      <c r="N24" s="51">
        <v>1.1825000000000001</v>
      </c>
      <c r="O24" s="50">
        <v>104.67</v>
      </c>
      <c r="P24" s="43">
        <v>1267.47</v>
      </c>
      <c r="Q24" s="43">
        <v>1289.2</v>
      </c>
      <c r="R24" s="49">
        <f t="shared" si="3"/>
        <v>1403.8054968287524</v>
      </c>
      <c r="S24" s="48">
        <v>1.3105</v>
      </c>
    </row>
    <row r="25" spans="2:19" x14ac:dyDescent="0.2">
      <c r="B25" s="47">
        <v>44127</v>
      </c>
      <c r="C25" s="46">
        <v>1660.5</v>
      </c>
      <c r="D25" s="45">
        <v>1660.5</v>
      </c>
      <c r="E25" s="44">
        <f t="shared" si="0"/>
        <v>1660.5</v>
      </c>
      <c r="F25" s="46">
        <v>1689.5</v>
      </c>
      <c r="G25" s="45">
        <v>1689.5</v>
      </c>
      <c r="H25" s="44">
        <f t="shared" si="1"/>
        <v>1689.5</v>
      </c>
      <c r="I25" s="46">
        <v>1716.5</v>
      </c>
      <c r="J25" s="45">
        <v>1716.5</v>
      </c>
      <c r="K25" s="44">
        <f t="shared" si="2"/>
        <v>1716.5</v>
      </c>
      <c r="L25" s="52">
        <v>1660.5</v>
      </c>
      <c r="M25" s="51">
        <v>1.3068</v>
      </c>
      <c r="N25" s="51">
        <v>1.1846000000000001</v>
      </c>
      <c r="O25" s="50">
        <v>104.78</v>
      </c>
      <c r="P25" s="43">
        <v>1270.6600000000001</v>
      </c>
      <c r="Q25" s="43">
        <v>1291.96</v>
      </c>
      <c r="R25" s="49">
        <f t="shared" si="3"/>
        <v>1401.7389836231639</v>
      </c>
      <c r="S25" s="48">
        <v>1.3077000000000001</v>
      </c>
    </row>
    <row r="26" spans="2:19" x14ac:dyDescent="0.2">
      <c r="B26" s="47">
        <v>44130</v>
      </c>
      <c r="C26" s="46">
        <v>1669</v>
      </c>
      <c r="D26" s="45">
        <v>1669</v>
      </c>
      <c r="E26" s="44">
        <f t="shared" si="0"/>
        <v>1669</v>
      </c>
      <c r="F26" s="46">
        <v>1699</v>
      </c>
      <c r="G26" s="45">
        <v>1699</v>
      </c>
      <c r="H26" s="44">
        <f t="shared" si="1"/>
        <v>1699</v>
      </c>
      <c r="I26" s="46">
        <v>1725</v>
      </c>
      <c r="J26" s="45">
        <v>1725</v>
      </c>
      <c r="K26" s="44">
        <f t="shared" si="2"/>
        <v>1725</v>
      </c>
      <c r="L26" s="52">
        <v>1669</v>
      </c>
      <c r="M26" s="51">
        <v>1.3025</v>
      </c>
      <c r="N26" s="51">
        <v>1.1814</v>
      </c>
      <c r="O26" s="50">
        <v>105.02</v>
      </c>
      <c r="P26" s="43">
        <v>1281.3800000000001</v>
      </c>
      <c r="Q26" s="43">
        <v>1303.51</v>
      </c>
      <c r="R26" s="49">
        <f t="shared" si="3"/>
        <v>1412.7306585407143</v>
      </c>
      <c r="S26" s="48">
        <v>1.3033999999999999</v>
      </c>
    </row>
    <row r="27" spans="2:19" x14ac:dyDescent="0.2">
      <c r="B27" s="47">
        <v>44131</v>
      </c>
      <c r="C27" s="46">
        <v>1676.5</v>
      </c>
      <c r="D27" s="45">
        <v>1676.5</v>
      </c>
      <c r="E27" s="44">
        <f t="shared" si="0"/>
        <v>1676.5</v>
      </c>
      <c r="F27" s="46">
        <v>1705</v>
      </c>
      <c r="G27" s="45">
        <v>1705</v>
      </c>
      <c r="H27" s="44">
        <f t="shared" si="1"/>
        <v>1705</v>
      </c>
      <c r="I27" s="46">
        <v>1730.5</v>
      </c>
      <c r="J27" s="45">
        <v>1730.5</v>
      </c>
      <c r="K27" s="44">
        <f t="shared" si="2"/>
        <v>1730.5</v>
      </c>
      <c r="L27" s="52">
        <v>1676.5</v>
      </c>
      <c r="M27" s="51">
        <v>1.3029999999999999</v>
      </c>
      <c r="N27" s="51">
        <v>1.1828000000000001</v>
      </c>
      <c r="O27" s="50">
        <v>104.67</v>
      </c>
      <c r="P27" s="43">
        <v>1286.6500000000001</v>
      </c>
      <c r="Q27" s="43">
        <v>1307.6199999999999</v>
      </c>
      <c r="R27" s="49">
        <f t="shared" si="3"/>
        <v>1417.3993912749406</v>
      </c>
      <c r="S27" s="48">
        <v>1.3039000000000001</v>
      </c>
    </row>
    <row r="28" spans="2:19" x14ac:dyDescent="0.2">
      <c r="B28" s="47">
        <v>44132</v>
      </c>
      <c r="C28" s="46">
        <v>1680</v>
      </c>
      <c r="D28" s="45">
        <v>1680</v>
      </c>
      <c r="E28" s="44">
        <f t="shared" si="0"/>
        <v>1680</v>
      </c>
      <c r="F28" s="46">
        <v>1708.5</v>
      </c>
      <c r="G28" s="45">
        <v>1708.5</v>
      </c>
      <c r="H28" s="44">
        <f t="shared" si="1"/>
        <v>1708.5</v>
      </c>
      <c r="I28" s="46">
        <v>1734</v>
      </c>
      <c r="J28" s="45">
        <v>1734</v>
      </c>
      <c r="K28" s="44">
        <f t="shared" si="2"/>
        <v>1734</v>
      </c>
      <c r="L28" s="52">
        <v>1680</v>
      </c>
      <c r="M28" s="51">
        <v>1.2941</v>
      </c>
      <c r="N28" s="51">
        <v>1.1727000000000001</v>
      </c>
      <c r="O28" s="50">
        <v>104.39</v>
      </c>
      <c r="P28" s="43">
        <v>1298.2</v>
      </c>
      <c r="Q28" s="43">
        <v>1319.41</v>
      </c>
      <c r="R28" s="49">
        <f t="shared" si="3"/>
        <v>1432.5914556152468</v>
      </c>
      <c r="S28" s="48">
        <v>1.2948999999999999</v>
      </c>
    </row>
    <row r="29" spans="2:19" x14ac:dyDescent="0.2">
      <c r="B29" s="47">
        <v>44133</v>
      </c>
      <c r="C29" s="46">
        <v>1680.5</v>
      </c>
      <c r="D29" s="45">
        <v>1680.5</v>
      </c>
      <c r="E29" s="44">
        <f t="shared" si="0"/>
        <v>1680.5</v>
      </c>
      <c r="F29" s="46">
        <v>1708.5</v>
      </c>
      <c r="G29" s="45">
        <v>1708.5</v>
      </c>
      <c r="H29" s="44">
        <f t="shared" si="1"/>
        <v>1708.5</v>
      </c>
      <c r="I29" s="46">
        <v>1733.5</v>
      </c>
      <c r="J29" s="45">
        <v>1733.5</v>
      </c>
      <c r="K29" s="44">
        <f t="shared" si="2"/>
        <v>1733.5</v>
      </c>
      <c r="L29" s="52">
        <v>1680.5</v>
      </c>
      <c r="M29" s="51">
        <v>1.2935000000000001</v>
      </c>
      <c r="N29" s="51">
        <v>1.1704000000000001</v>
      </c>
      <c r="O29" s="50">
        <v>104.37</v>
      </c>
      <c r="P29" s="43">
        <v>1299.19</v>
      </c>
      <c r="Q29" s="43">
        <v>1319.92</v>
      </c>
      <c r="R29" s="49">
        <f t="shared" si="3"/>
        <v>1435.8339029391659</v>
      </c>
      <c r="S29" s="48">
        <v>1.2944</v>
      </c>
    </row>
    <row r="30" spans="2:19" x14ac:dyDescent="0.2">
      <c r="B30" s="47">
        <v>44134</v>
      </c>
      <c r="C30" s="46">
        <v>1690</v>
      </c>
      <c r="D30" s="45">
        <v>1690</v>
      </c>
      <c r="E30" s="44">
        <f t="shared" si="0"/>
        <v>1690</v>
      </c>
      <c r="F30" s="46">
        <v>1717.5</v>
      </c>
      <c r="G30" s="45">
        <v>1717.5</v>
      </c>
      <c r="H30" s="44">
        <f t="shared" si="1"/>
        <v>1717.5</v>
      </c>
      <c r="I30" s="46">
        <v>1742.5</v>
      </c>
      <c r="J30" s="45">
        <v>1742.5</v>
      </c>
      <c r="K30" s="44">
        <f t="shared" si="2"/>
        <v>1742.5</v>
      </c>
      <c r="L30" s="52">
        <v>1690</v>
      </c>
      <c r="M30" s="51">
        <v>1.2972999999999999</v>
      </c>
      <c r="N30" s="51">
        <v>1.1700999999999999</v>
      </c>
      <c r="O30" s="50">
        <v>104.48</v>
      </c>
      <c r="P30" s="43">
        <v>1302.71</v>
      </c>
      <c r="Q30" s="43">
        <v>1322.99</v>
      </c>
      <c r="R30" s="49">
        <f t="shared" si="3"/>
        <v>1444.3209982052817</v>
      </c>
      <c r="S30" s="48">
        <v>1.2982</v>
      </c>
    </row>
    <row r="31" spans="2:19" s="10" customFormat="1" x14ac:dyDescent="0.2">
      <c r="B31" s="42" t="s">
        <v>11</v>
      </c>
      <c r="C31" s="41">
        <f>ROUND(AVERAGE(C9:C30),2)</f>
        <v>1619.61</v>
      </c>
      <c r="D31" s="40">
        <f>ROUND(AVERAGE(D9:D30),2)</f>
        <v>1619.61</v>
      </c>
      <c r="E31" s="39">
        <f>ROUND(AVERAGE(C31:D31),2)</f>
        <v>1619.61</v>
      </c>
      <c r="F31" s="41">
        <f>ROUND(AVERAGE(F9:F30),2)</f>
        <v>1638.73</v>
      </c>
      <c r="G31" s="40">
        <f>ROUND(AVERAGE(G9:G30),2)</f>
        <v>1638.73</v>
      </c>
      <c r="H31" s="39">
        <f>ROUND(AVERAGE(F31:G31),2)</f>
        <v>1638.73</v>
      </c>
      <c r="I31" s="41">
        <f>ROUND(AVERAGE(I9:I30),2)</f>
        <v>1666.57</v>
      </c>
      <c r="J31" s="40">
        <f>ROUND(AVERAGE(J9:J30),2)</f>
        <v>1666.57</v>
      </c>
      <c r="K31" s="39">
        <f>ROUND(AVERAGE(I31:J31),2)</f>
        <v>1666.57</v>
      </c>
      <c r="L31" s="38">
        <f>ROUND(AVERAGE(L9:L30),2)</f>
        <v>1619.61</v>
      </c>
      <c r="M31" s="37">
        <f>ROUND(AVERAGE(M9:M30),4)</f>
        <v>1.2977000000000001</v>
      </c>
      <c r="N31" s="36">
        <f>ROUND(AVERAGE(N9:N30),4)</f>
        <v>1.1775</v>
      </c>
      <c r="O31" s="175">
        <f>ROUND(AVERAGE(O9:O30),2)</f>
        <v>105.22</v>
      </c>
      <c r="P31" s="35">
        <f>AVERAGE(P9:P30)</f>
        <v>1248.0190909090909</v>
      </c>
      <c r="Q31" s="35">
        <f>AVERAGE(Q9:Q30)</f>
        <v>1261.9477272727274</v>
      </c>
      <c r="R31" s="35">
        <f>AVERAGE(R9:R30)</f>
        <v>1375.4909962998208</v>
      </c>
      <c r="S31" s="34">
        <f>AVERAGE(S9:S30)</f>
        <v>1.2985045454545454</v>
      </c>
    </row>
    <row r="32" spans="2:19" s="5" customFormat="1" x14ac:dyDescent="0.2">
      <c r="B32" s="33" t="s">
        <v>12</v>
      </c>
      <c r="C32" s="32">
        <f t="shared" ref="C32:S32" si="4">MAX(C9:C30)</f>
        <v>1690</v>
      </c>
      <c r="D32" s="31">
        <f t="shared" si="4"/>
        <v>1690</v>
      </c>
      <c r="E32" s="30">
        <f t="shared" si="4"/>
        <v>1690</v>
      </c>
      <c r="F32" s="32">
        <f t="shared" si="4"/>
        <v>1717.5</v>
      </c>
      <c r="G32" s="31">
        <f t="shared" si="4"/>
        <v>1717.5</v>
      </c>
      <c r="H32" s="30">
        <f t="shared" si="4"/>
        <v>1717.5</v>
      </c>
      <c r="I32" s="32">
        <f t="shared" si="4"/>
        <v>1742.5</v>
      </c>
      <c r="J32" s="31">
        <f t="shared" si="4"/>
        <v>1742.5</v>
      </c>
      <c r="K32" s="30">
        <f t="shared" si="4"/>
        <v>1742.5</v>
      </c>
      <c r="L32" s="29">
        <f t="shared" si="4"/>
        <v>1690</v>
      </c>
      <c r="M32" s="28">
        <f t="shared" si="4"/>
        <v>1.3097000000000001</v>
      </c>
      <c r="N32" s="27">
        <f t="shared" si="4"/>
        <v>1.1852</v>
      </c>
      <c r="O32" s="26">
        <f t="shared" si="4"/>
        <v>106.02</v>
      </c>
      <c r="P32" s="25">
        <f t="shared" si="4"/>
        <v>1302.71</v>
      </c>
      <c r="Q32" s="25">
        <f t="shared" si="4"/>
        <v>1322.99</v>
      </c>
      <c r="R32" s="25">
        <f t="shared" si="4"/>
        <v>1444.3209982052817</v>
      </c>
      <c r="S32" s="24">
        <f t="shared" si="4"/>
        <v>1.3105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1500</v>
      </c>
      <c r="D33" s="21">
        <f t="shared" si="5"/>
        <v>1500</v>
      </c>
      <c r="E33" s="20">
        <f t="shared" si="5"/>
        <v>1500</v>
      </c>
      <c r="F33" s="22">
        <f t="shared" si="5"/>
        <v>1520</v>
      </c>
      <c r="G33" s="21">
        <f t="shared" si="5"/>
        <v>1520</v>
      </c>
      <c r="H33" s="20">
        <f t="shared" si="5"/>
        <v>1520</v>
      </c>
      <c r="I33" s="22">
        <f t="shared" si="5"/>
        <v>1551.5</v>
      </c>
      <c r="J33" s="21">
        <f t="shared" si="5"/>
        <v>1551.5</v>
      </c>
      <c r="K33" s="20">
        <f t="shared" si="5"/>
        <v>1551.5</v>
      </c>
      <c r="L33" s="19">
        <f t="shared" si="5"/>
        <v>1500</v>
      </c>
      <c r="M33" s="18">
        <f t="shared" si="5"/>
        <v>1.2878000000000001</v>
      </c>
      <c r="N33" s="17">
        <f t="shared" si="5"/>
        <v>1.1700999999999999</v>
      </c>
      <c r="O33" s="16">
        <f t="shared" si="5"/>
        <v>104.37</v>
      </c>
      <c r="P33" s="15">
        <f t="shared" si="5"/>
        <v>1159.2</v>
      </c>
      <c r="Q33" s="15">
        <f t="shared" si="5"/>
        <v>1173.93</v>
      </c>
      <c r="R33" s="15">
        <f t="shared" si="5"/>
        <v>1279.3176972281449</v>
      </c>
      <c r="S33" s="14">
        <f t="shared" si="5"/>
        <v>1.2885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tabSelected="1" zoomScaleNormal="100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44105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44105</v>
      </c>
      <c r="C9" s="46">
        <v>1716</v>
      </c>
      <c r="D9" s="45">
        <v>1716</v>
      </c>
      <c r="E9" s="44">
        <f t="shared" ref="E9:E30" si="0">AVERAGE(C9:D9)</f>
        <v>1716</v>
      </c>
      <c r="F9" s="46">
        <v>1754</v>
      </c>
      <c r="G9" s="45">
        <v>1754</v>
      </c>
      <c r="H9" s="44">
        <f t="shared" ref="H9:H30" si="1">AVERAGE(F9:G9)</f>
        <v>1754</v>
      </c>
      <c r="I9" s="46">
        <v>1826</v>
      </c>
      <c r="J9" s="45">
        <v>1826</v>
      </c>
      <c r="K9" s="44">
        <f t="shared" ref="K9:K30" si="2">AVERAGE(I9:J9)</f>
        <v>1826</v>
      </c>
      <c r="L9" s="46">
        <v>1904</v>
      </c>
      <c r="M9" s="45">
        <v>1904</v>
      </c>
      <c r="N9" s="44">
        <f t="shared" ref="N9:N30" si="3">AVERAGE(L9:M9)</f>
        <v>1904</v>
      </c>
      <c r="O9" s="46">
        <v>1982.5</v>
      </c>
      <c r="P9" s="45">
        <v>1982.5</v>
      </c>
      <c r="Q9" s="44">
        <f t="shared" ref="Q9:Q30" si="4">AVERAGE(O9:P9)</f>
        <v>1982.5</v>
      </c>
      <c r="R9" s="52">
        <v>1716</v>
      </c>
      <c r="S9" s="51">
        <v>1.2966</v>
      </c>
      <c r="T9" s="53">
        <v>1.1763999999999999</v>
      </c>
      <c r="U9" s="50">
        <v>105.47</v>
      </c>
      <c r="V9" s="43">
        <v>1323.46</v>
      </c>
      <c r="W9" s="43">
        <v>1351.83</v>
      </c>
      <c r="X9" s="49">
        <f t="shared" ref="X9:X30" si="5">R9/T9</f>
        <v>1458.6875212512753</v>
      </c>
      <c r="Y9" s="48">
        <v>1.2975000000000001</v>
      </c>
    </row>
    <row r="10" spans="1:25" x14ac:dyDescent="0.2">
      <c r="B10" s="47">
        <v>44106</v>
      </c>
      <c r="C10" s="46">
        <v>1705</v>
      </c>
      <c r="D10" s="45">
        <v>1705</v>
      </c>
      <c r="E10" s="44">
        <f t="shared" si="0"/>
        <v>1705</v>
      </c>
      <c r="F10" s="46">
        <v>1740</v>
      </c>
      <c r="G10" s="45">
        <v>1740</v>
      </c>
      <c r="H10" s="44">
        <f t="shared" si="1"/>
        <v>1740</v>
      </c>
      <c r="I10" s="46">
        <v>1813</v>
      </c>
      <c r="J10" s="45">
        <v>1813</v>
      </c>
      <c r="K10" s="44">
        <f t="shared" si="2"/>
        <v>1813</v>
      </c>
      <c r="L10" s="46">
        <v>1891</v>
      </c>
      <c r="M10" s="45">
        <v>1891</v>
      </c>
      <c r="N10" s="44">
        <f t="shared" si="3"/>
        <v>1891</v>
      </c>
      <c r="O10" s="46">
        <v>1969.5</v>
      </c>
      <c r="P10" s="45">
        <v>1969.5</v>
      </c>
      <c r="Q10" s="44">
        <f t="shared" si="4"/>
        <v>1969.5</v>
      </c>
      <c r="R10" s="52">
        <v>1705</v>
      </c>
      <c r="S10" s="51">
        <v>1.294</v>
      </c>
      <c r="T10" s="51">
        <v>1.1725000000000001</v>
      </c>
      <c r="U10" s="50">
        <v>105.18</v>
      </c>
      <c r="V10" s="43">
        <v>1317.62</v>
      </c>
      <c r="W10" s="43">
        <v>1343.84</v>
      </c>
      <c r="X10" s="49">
        <f t="shared" si="5"/>
        <v>1454.1577825159914</v>
      </c>
      <c r="Y10" s="48">
        <v>1.2948</v>
      </c>
    </row>
    <row r="11" spans="1:25" x14ac:dyDescent="0.2">
      <c r="B11" s="47">
        <v>44109</v>
      </c>
      <c r="C11" s="46">
        <v>1741.5</v>
      </c>
      <c r="D11" s="45">
        <v>1741.5</v>
      </c>
      <c r="E11" s="44">
        <f t="shared" si="0"/>
        <v>1741.5</v>
      </c>
      <c r="F11" s="46">
        <v>1773</v>
      </c>
      <c r="G11" s="45">
        <v>1773</v>
      </c>
      <c r="H11" s="44">
        <f t="shared" si="1"/>
        <v>1773</v>
      </c>
      <c r="I11" s="46">
        <v>1845</v>
      </c>
      <c r="J11" s="45">
        <v>1845</v>
      </c>
      <c r="K11" s="44">
        <f t="shared" si="2"/>
        <v>1845</v>
      </c>
      <c r="L11" s="46">
        <v>1920.5</v>
      </c>
      <c r="M11" s="45">
        <v>1920.5</v>
      </c>
      <c r="N11" s="44">
        <f t="shared" si="3"/>
        <v>1920.5</v>
      </c>
      <c r="O11" s="46">
        <v>1999</v>
      </c>
      <c r="P11" s="45">
        <v>1999</v>
      </c>
      <c r="Q11" s="44">
        <f t="shared" si="4"/>
        <v>1999</v>
      </c>
      <c r="R11" s="52">
        <v>1741.5</v>
      </c>
      <c r="S11" s="51">
        <v>1.2952999999999999</v>
      </c>
      <c r="T11" s="51">
        <v>1.1765000000000001</v>
      </c>
      <c r="U11" s="50">
        <v>105.61</v>
      </c>
      <c r="V11" s="43">
        <v>1344.48</v>
      </c>
      <c r="W11" s="43">
        <v>1367.95</v>
      </c>
      <c r="X11" s="49">
        <f t="shared" si="5"/>
        <v>1480.2379940501487</v>
      </c>
      <c r="Y11" s="48">
        <v>1.2961</v>
      </c>
    </row>
    <row r="12" spans="1:25" x14ac:dyDescent="0.2">
      <c r="B12" s="47">
        <v>44110</v>
      </c>
      <c r="C12" s="46">
        <v>1755</v>
      </c>
      <c r="D12" s="45">
        <v>1755</v>
      </c>
      <c r="E12" s="44">
        <f t="shared" si="0"/>
        <v>1755</v>
      </c>
      <c r="F12" s="46">
        <v>1783</v>
      </c>
      <c r="G12" s="45">
        <v>1783</v>
      </c>
      <c r="H12" s="44">
        <f t="shared" si="1"/>
        <v>1783</v>
      </c>
      <c r="I12" s="46">
        <v>1849.5</v>
      </c>
      <c r="J12" s="45">
        <v>1849.5</v>
      </c>
      <c r="K12" s="44">
        <f t="shared" si="2"/>
        <v>1849.5</v>
      </c>
      <c r="L12" s="46">
        <v>1923.5</v>
      </c>
      <c r="M12" s="45">
        <v>1923.5</v>
      </c>
      <c r="N12" s="44">
        <f t="shared" si="3"/>
        <v>1923.5</v>
      </c>
      <c r="O12" s="46">
        <v>2002</v>
      </c>
      <c r="P12" s="45">
        <v>2002</v>
      </c>
      <c r="Q12" s="44">
        <f t="shared" si="4"/>
        <v>2002</v>
      </c>
      <c r="R12" s="52">
        <v>1755</v>
      </c>
      <c r="S12" s="51">
        <v>1.2952999999999999</v>
      </c>
      <c r="T12" s="51">
        <v>1.1796</v>
      </c>
      <c r="U12" s="50">
        <v>105.62</v>
      </c>
      <c r="V12" s="43">
        <v>1354.9</v>
      </c>
      <c r="W12" s="43">
        <v>1375.67</v>
      </c>
      <c r="X12" s="49">
        <f t="shared" si="5"/>
        <v>1487.792472024415</v>
      </c>
      <c r="Y12" s="48">
        <v>1.2961</v>
      </c>
    </row>
    <row r="13" spans="1:25" x14ac:dyDescent="0.2">
      <c r="B13" s="47">
        <v>44111</v>
      </c>
      <c r="C13" s="46">
        <v>1745.5</v>
      </c>
      <c r="D13" s="45">
        <v>1745.5</v>
      </c>
      <c r="E13" s="44">
        <f t="shared" si="0"/>
        <v>1745.5</v>
      </c>
      <c r="F13" s="46">
        <v>1772.5</v>
      </c>
      <c r="G13" s="45">
        <v>1772.5</v>
      </c>
      <c r="H13" s="44">
        <f t="shared" si="1"/>
        <v>1772.5</v>
      </c>
      <c r="I13" s="46">
        <v>1835.5</v>
      </c>
      <c r="J13" s="45">
        <v>1835.5</v>
      </c>
      <c r="K13" s="44">
        <f t="shared" si="2"/>
        <v>1835.5</v>
      </c>
      <c r="L13" s="46">
        <v>1906.5</v>
      </c>
      <c r="M13" s="45">
        <v>1906.5</v>
      </c>
      <c r="N13" s="44">
        <f t="shared" si="3"/>
        <v>1906.5</v>
      </c>
      <c r="O13" s="46">
        <v>1981.5</v>
      </c>
      <c r="P13" s="45">
        <v>1981.5</v>
      </c>
      <c r="Q13" s="44">
        <f t="shared" si="4"/>
        <v>1981.5</v>
      </c>
      <c r="R13" s="52">
        <v>1745.5</v>
      </c>
      <c r="S13" s="51">
        <v>1.2878000000000001</v>
      </c>
      <c r="T13" s="51">
        <v>1.1774</v>
      </c>
      <c r="U13" s="50">
        <v>106.02</v>
      </c>
      <c r="V13" s="43">
        <v>1355.41</v>
      </c>
      <c r="W13" s="43">
        <v>1375.63</v>
      </c>
      <c r="X13" s="49">
        <f t="shared" si="5"/>
        <v>1482.5038219806354</v>
      </c>
      <c r="Y13" s="48">
        <v>1.2885</v>
      </c>
    </row>
    <row r="14" spans="1:25" x14ac:dyDescent="0.2">
      <c r="B14" s="47">
        <v>44112</v>
      </c>
      <c r="C14" s="46">
        <v>1786</v>
      </c>
      <c r="D14" s="45">
        <v>1786</v>
      </c>
      <c r="E14" s="44">
        <f t="shared" si="0"/>
        <v>1786</v>
      </c>
      <c r="F14" s="46">
        <v>1802</v>
      </c>
      <c r="G14" s="45">
        <v>1802</v>
      </c>
      <c r="H14" s="44">
        <f t="shared" si="1"/>
        <v>1802</v>
      </c>
      <c r="I14" s="46">
        <v>1855.5</v>
      </c>
      <c r="J14" s="45">
        <v>1855.5</v>
      </c>
      <c r="K14" s="44">
        <f t="shared" si="2"/>
        <v>1855.5</v>
      </c>
      <c r="L14" s="46">
        <v>1922.5</v>
      </c>
      <c r="M14" s="45">
        <v>1922.5</v>
      </c>
      <c r="N14" s="44">
        <f t="shared" si="3"/>
        <v>1922.5</v>
      </c>
      <c r="O14" s="46">
        <v>1990.5</v>
      </c>
      <c r="P14" s="45">
        <v>1990.5</v>
      </c>
      <c r="Q14" s="44">
        <f t="shared" si="4"/>
        <v>1990.5</v>
      </c>
      <c r="R14" s="52">
        <v>1786</v>
      </c>
      <c r="S14" s="51">
        <v>1.2904</v>
      </c>
      <c r="T14" s="51">
        <v>1.1759999999999999</v>
      </c>
      <c r="U14" s="50">
        <v>106.01</v>
      </c>
      <c r="V14" s="43">
        <v>1384.07</v>
      </c>
      <c r="W14" s="43">
        <v>1395.71</v>
      </c>
      <c r="X14" s="49">
        <f t="shared" si="5"/>
        <v>1518.7074829931973</v>
      </c>
      <c r="Y14" s="48">
        <v>1.2910999999999999</v>
      </c>
    </row>
    <row r="15" spans="1:25" x14ac:dyDescent="0.2">
      <c r="B15" s="47">
        <v>44113</v>
      </c>
      <c r="C15" s="46">
        <v>1805.5</v>
      </c>
      <c r="D15" s="45">
        <v>1805.5</v>
      </c>
      <c r="E15" s="44">
        <f t="shared" si="0"/>
        <v>1805.5</v>
      </c>
      <c r="F15" s="46">
        <v>1820</v>
      </c>
      <c r="G15" s="45">
        <v>1820</v>
      </c>
      <c r="H15" s="44">
        <f t="shared" si="1"/>
        <v>1820</v>
      </c>
      <c r="I15" s="46">
        <v>1876.5</v>
      </c>
      <c r="J15" s="45">
        <v>1876.5</v>
      </c>
      <c r="K15" s="44">
        <f t="shared" si="2"/>
        <v>1876.5</v>
      </c>
      <c r="L15" s="46">
        <v>1942.5</v>
      </c>
      <c r="M15" s="45">
        <v>1942.5</v>
      </c>
      <c r="N15" s="44">
        <f t="shared" si="3"/>
        <v>1942.5</v>
      </c>
      <c r="O15" s="46">
        <v>2010.5</v>
      </c>
      <c r="P15" s="45">
        <v>2010.5</v>
      </c>
      <c r="Q15" s="44">
        <f t="shared" si="4"/>
        <v>2010.5</v>
      </c>
      <c r="R15" s="52">
        <v>1805.5</v>
      </c>
      <c r="S15" s="51">
        <v>1.2943</v>
      </c>
      <c r="T15" s="51">
        <v>1.18</v>
      </c>
      <c r="U15" s="50">
        <v>105.92</v>
      </c>
      <c r="V15" s="43">
        <v>1394.96</v>
      </c>
      <c r="W15" s="43">
        <v>1405.3</v>
      </c>
      <c r="X15" s="49">
        <f t="shared" si="5"/>
        <v>1530.0847457627119</v>
      </c>
      <c r="Y15" s="48">
        <v>1.2950999999999999</v>
      </c>
    </row>
    <row r="16" spans="1:25" x14ac:dyDescent="0.2">
      <c r="B16" s="47">
        <v>44116</v>
      </c>
      <c r="C16" s="46">
        <v>1829.5</v>
      </c>
      <c r="D16" s="45">
        <v>1829.5</v>
      </c>
      <c r="E16" s="44">
        <f t="shared" si="0"/>
        <v>1829.5</v>
      </c>
      <c r="F16" s="46">
        <v>1847</v>
      </c>
      <c r="G16" s="45">
        <v>1847</v>
      </c>
      <c r="H16" s="44">
        <f t="shared" si="1"/>
        <v>1847</v>
      </c>
      <c r="I16" s="46">
        <v>1903</v>
      </c>
      <c r="J16" s="45">
        <v>1903</v>
      </c>
      <c r="K16" s="44">
        <f t="shared" si="2"/>
        <v>1903</v>
      </c>
      <c r="L16" s="46">
        <v>1967.5</v>
      </c>
      <c r="M16" s="45">
        <v>1967.5</v>
      </c>
      <c r="N16" s="44">
        <f t="shared" si="3"/>
        <v>1967.5</v>
      </c>
      <c r="O16" s="46">
        <v>2036.5</v>
      </c>
      <c r="P16" s="45">
        <v>2036.5</v>
      </c>
      <c r="Q16" s="44">
        <f t="shared" si="4"/>
        <v>2036.5</v>
      </c>
      <c r="R16" s="52">
        <v>1829.5</v>
      </c>
      <c r="S16" s="51">
        <v>1.3022</v>
      </c>
      <c r="T16" s="51">
        <v>1.1795</v>
      </c>
      <c r="U16" s="50">
        <v>105.46</v>
      </c>
      <c r="V16" s="43">
        <v>1404.93</v>
      </c>
      <c r="W16" s="43">
        <v>1417.5</v>
      </c>
      <c r="X16" s="49">
        <f t="shared" si="5"/>
        <v>1551.0809665112336</v>
      </c>
      <c r="Y16" s="48">
        <v>1.3029999999999999</v>
      </c>
    </row>
    <row r="17" spans="2:25" x14ac:dyDescent="0.2">
      <c r="B17" s="47">
        <v>44117</v>
      </c>
      <c r="C17" s="46">
        <v>1841</v>
      </c>
      <c r="D17" s="45">
        <v>1841</v>
      </c>
      <c r="E17" s="44">
        <f t="shared" si="0"/>
        <v>1841</v>
      </c>
      <c r="F17" s="46">
        <v>1854</v>
      </c>
      <c r="G17" s="45">
        <v>1854</v>
      </c>
      <c r="H17" s="44">
        <f t="shared" si="1"/>
        <v>1854</v>
      </c>
      <c r="I17" s="46">
        <v>1904</v>
      </c>
      <c r="J17" s="45">
        <v>1904</v>
      </c>
      <c r="K17" s="44">
        <f t="shared" si="2"/>
        <v>1904</v>
      </c>
      <c r="L17" s="46">
        <v>1968</v>
      </c>
      <c r="M17" s="45">
        <v>1968</v>
      </c>
      <c r="N17" s="44">
        <f t="shared" si="3"/>
        <v>1968</v>
      </c>
      <c r="O17" s="46">
        <v>2038</v>
      </c>
      <c r="P17" s="45">
        <v>2038</v>
      </c>
      <c r="Q17" s="44">
        <f t="shared" si="4"/>
        <v>2038</v>
      </c>
      <c r="R17" s="52">
        <v>1841</v>
      </c>
      <c r="S17" s="51">
        <v>1.3031999999999999</v>
      </c>
      <c r="T17" s="51">
        <v>1.1789000000000001</v>
      </c>
      <c r="U17" s="50">
        <v>105.51</v>
      </c>
      <c r="V17" s="43">
        <v>1412.68</v>
      </c>
      <c r="W17" s="43">
        <v>1421.78</v>
      </c>
      <c r="X17" s="49">
        <f t="shared" si="5"/>
        <v>1561.6252438714055</v>
      </c>
      <c r="Y17" s="48">
        <v>1.304</v>
      </c>
    </row>
    <row r="18" spans="2:25" x14ac:dyDescent="0.2">
      <c r="B18" s="47">
        <v>44118</v>
      </c>
      <c r="C18" s="46">
        <v>1836</v>
      </c>
      <c r="D18" s="45">
        <v>1836</v>
      </c>
      <c r="E18" s="44">
        <f t="shared" si="0"/>
        <v>1836</v>
      </c>
      <c r="F18" s="46">
        <v>1853.5</v>
      </c>
      <c r="G18" s="45">
        <v>1853.5</v>
      </c>
      <c r="H18" s="44">
        <f t="shared" si="1"/>
        <v>1853.5</v>
      </c>
      <c r="I18" s="46">
        <v>1905.5</v>
      </c>
      <c r="J18" s="45">
        <v>1905.5</v>
      </c>
      <c r="K18" s="44">
        <f t="shared" si="2"/>
        <v>1905.5</v>
      </c>
      <c r="L18" s="46">
        <v>1969</v>
      </c>
      <c r="M18" s="45">
        <v>1969</v>
      </c>
      <c r="N18" s="44">
        <f t="shared" si="3"/>
        <v>1969</v>
      </c>
      <c r="O18" s="46">
        <v>2039</v>
      </c>
      <c r="P18" s="45">
        <v>2039</v>
      </c>
      <c r="Q18" s="44">
        <f t="shared" si="4"/>
        <v>2039</v>
      </c>
      <c r="R18" s="52">
        <v>1836</v>
      </c>
      <c r="S18" s="51">
        <v>1.2982</v>
      </c>
      <c r="T18" s="51">
        <v>1.1748000000000001</v>
      </c>
      <c r="U18" s="50">
        <v>105.34</v>
      </c>
      <c r="V18" s="43">
        <v>1414.27</v>
      </c>
      <c r="W18" s="43">
        <v>1426.87</v>
      </c>
      <c r="X18" s="49">
        <f t="shared" si="5"/>
        <v>1562.8192032686413</v>
      </c>
      <c r="Y18" s="48">
        <v>1.2989999999999999</v>
      </c>
    </row>
    <row r="19" spans="2:25" x14ac:dyDescent="0.2">
      <c r="B19" s="47">
        <v>44119</v>
      </c>
      <c r="C19" s="46">
        <v>1824</v>
      </c>
      <c r="D19" s="45">
        <v>1824</v>
      </c>
      <c r="E19" s="44">
        <f t="shared" si="0"/>
        <v>1824</v>
      </c>
      <c r="F19" s="46">
        <v>1839.5</v>
      </c>
      <c r="G19" s="45">
        <v>1839.5</v>
      </c>
      <c r="H19" s="44">
        <f t="shared" si="1"/>
        <v>1839.5</v>
      </c>
      <c r="I19" s="46">
        <v>1896</v>
      </c>
      <c r="J19" s="45">
        <v>1896</v>
      </c>
      <c r="K19" s="44">
        <f t="shared" si="2"/>
        <v>1896</v>
      </c>
      <c r="L19" s="46">
        <v>1962.5</v>
      </c>
      <c r="M19" s="45">
        <v>1962.5</v>
      </c>
      <c r="N19" s="44">
        <f t="shared" si="3"/>
        <v>1962.5</v>
      </c>
      <c r="O19" s="46">
        <v>2032.5</v>
      </c>
      <c r="P19" s="45">
        <v>2032.5</v>
      </c>
      <c r="Q19" s="44">
        <f t="shared" si="4"/>
        <v>2032.5</v>
      </c>
      <c r="R19" s="52">
        <v>1824</v>
      </c>
      <c r="S19" s="51">
        <v>1.2927</v>
      </c>
      <c r="T19" s="51">
        <v>1.1708000000000001</v>
      </c>
      <c r="U19" s="50">
        <v>105.27</v>
      </c>
      <c r="V19" s="43">
        <v>1411</v>
      </c>
      <c r="W19" s="43">
        <v>1422.11</v>
      </c>
      <c r="X19" s="49">
        <f t="shared" si="5"/>
        <v>1557.9091219678851</v>
      </c>
      <c r="Y19" s="48">
        <v>1.2935000000000001</v>
      </c>
    </row>
    <row r="20" spans="2:25" x14ac:dyDescent="0.2">
      <c r="B20" s="47">
        <v>44120</v>
      </c>
      <c r="C20" s="46">
        <v>1865.5</v>
      </c>
      <c r="D20" s="45">
        <v>1865.5</v>
      </c>
      <c r="E20" s="44">
        <f t="shared" si="0"/>
        <v>1865.5</v>
      </c>
      <c r="F20" s="46">
        <v>1863.5</v>
      </c>
      <c r="G20" s="45">
        <v>1863.5</v>
      </c>
      <c r="H20" s="44">
        <f t="shared" si="1"/>
        <v>1863.5</v>
      </c>
      <c r="I20" s="46">
        <v>1910</v>
      </c>
      <c r="J20" s="45">
        <v>1910</v>
      </c>
      <c r="K20" s="44">
        <f t="shared" si="2"/>
        <v>1910</v>
      </c>
      <c r="L20" s="46">
        <v>1973.5</v>
      </c>
      <c r="M20" s="45">
        <v>1973.5</v>
      </c>
      <c r="N20" s="44">
        <f t="shared" si="3"/>
        <v>1973.5</v>
      </c>
      <c r="O20" s="46">
        <v>2043.5</v>
      </c>
      <c r="P20" s="45">
        <v>2043.5</v>
      </c>
      <c r="Q20" s="44">
        <f t="shared" si="4"/>
        <v>2043.5</v>
      </c>
      <c r="R20" s="52">
        <v>1865.5</v>
      </c>
      <c r="S20" s="51">
        <v>1.2914000000000001</v>
      </c>
      <c r="T20" s="51">
        <v>1.1732</v>
      </c>
      <c r="U20" s="50">
        <v>105.26</v>
      </c>
      <c r="V20" s="43">
        <v>1444.56</v>
      </c>
      <c r="W20" s="43">
        <v>1442.23</v>
      </c>
      <c r="X20" s="49">
        <f t="shared" si="5"/>
        <v>1590.0954653937947</v>
      </c>
      <c r="Y20" s="48">
        <v>1.2921</v>
      </c>
    </row>
    <row r="21" spans="2:25" x14ac:dyDescent="0.2">
      <c r="B21" s="47">
        <v>44123</v>
      </c>
      <c r="C21" s="46">
        <v>1848</v>
      </c>
      <c r="D21" s="45">
        <v>1848</v>
      </c>
      <c r="E21" s="44">
        <f t="shared" si="0"/>
        <v>1848</v>
      </c>
      <c r="F21" s="46">
        <v>1859</v>
      </c>
      <c r="G21" s="45">
        <v>1859</v>
      </c>
      <c r="H21" s="44">
        <f t="shared" si="1"/>
        <v>1859</v>
      </c>
      <c r="I21" s="46">
        <v>1911</v>
      </c>
      <c r="J21" s="45">
        <v>1911</v>
      </c>
      <c r="K21" s="44">
        <f t="shared" si="2"/>
        <v>1911</v>
      </c>
      <c r="L21" s="46">
        <v>1975.5</v>
      </c>
      <c r="M21" s="45">
        <v>1975.5</v>
      </c>
      <c r="N21" s="44">
        <f t="shared" si="3"/>
        <v>1975.5</v>
      </c>
      <c r="O21" s="46">
        <v>2044.5</v>
      </c>
      <c r="P21" s="45">
        <v>2044.5</v>
      </c>
      <c r="Q21" s="44">
        <f t="shared" si="4"/>
        <v>2044.5</v>
      </c>
      <c r="R21" s="52">
        <v>1848</v>
      </c>
      <c r="S21" s="51">
        <v>1.3012999999999999</v>
      </c>
      <c r="T21" s="51">
        <v>1.1786000000000001</v>
      </c>
      <c r="U21" s="50">
        <v>105.32</v>
      </c>
      <c r="V21" s="43">
        <v>1420.12</v>
      </c>
      <c r="W21" s="43">
        <v>1427.69</v>
      </c>
      <c r="X21" s="49">
        <f t="shared" si="5"/>
        <v>1567.9619888002715</v>
      </c>
      <c r="Y21" s="48">
        <v>1.3021</v>
      </c>
    </row>
    <row r="22" spans="2:25" x14ac:dyDescent="0.2">
      <c r="B22" s="47">
        <v>44124</v>
      </c>
      <c r="C22" s="46">
        <v>1826</v>
      </c>
      <c r="D22" s="45">
        <v>1826</v>
      </c>
      <c r="E22" s="44">
        <f t="shared" si="0"/>
        <v>1826</v>
      </c>
      <c r="F22" s="46">
        <v>1844</v>
      </c>
      <c r="G22" s="45">
        <v>1844</v>
      </c>
      <c r="H22" s="44">
        <f t="shared" si="1"/>
        <v>1844</v>
      </c>
      <c r="I22" s="46">
        <v>1902.5</v>
      </c>
      <c r="J22" s="45">
        <v>1902.5</v>
      </c>
      <c r="K22" s="44">
        <f t="shared" si="2"/>
        <v>1902.5</v>
      </c>
      <c r="L22" s="46">
        <v>1969.5</v>
      </c>
      <c r="M22" s="45">
        <v>1969.5</v>
      </c>
      <c r="N22" s="44">
        <f t="shared" si="3"/>
        <v>1969.5</v>
      </c>
      <c r="O22" s="46">
        <v>2039</v>
      </c>
      <c r="P22" s="45">
        <v>2039</v>
      </c>
      <c r="Q22" s="44">
        <f t="shared" si="4"/>
        <v>2039</v>
      </c>
      <c r="R22" s="52">
        <v>1826</v>
      </c>
      <c r="S22" s="51">
        <v>1.2937000000000001</v>
      </c>
      <c r="T22" s="51">
        <v>1.1806000000000001</v>
      </c>
      <c r="U22" s="50">
        <v>105.68</v>
      </c>
      <c r="V22" s="43">
        <v>1411.46</v>
      </c>
      <c r="W22" s="43">
        <v>1424.49</v>
      </c>
      <c r="X22" s="49">
        <f t="shared" si="5"/>
        <v>1546.6711841436556</v>
      </c>
      <c r="Y22" s="48">
        <v>1.2945</v>
      </c>
    </row>
    <row r="23" spans="2:25" x14ac:dyDescent="0.2">
      <c r="B23" s="47">
        <v>44125</v>
      </c>
      <c r="C23" s="46">
        <v>1842.5</v>
      </c>
      <c r="D23" s="45">
        <v>1842.5</v>
      </c>
      <c r="E23" s="44">
        <f t="shared" si="0"/>
        <v>1842.5</v>
      </c>
      <c r="F23" s="46">
        <v>1854.5</v>
      </c>
      <c r="G23" s="45">
        <v>1854.5</v>
      </c>
      <c r="H23" s="44">
        <f t="shared" si="1"/>
        <v>1854.5</v>
      </c>
      <c r="I23" s="46">
        <v>1913</v>
      </c>
      <c r="J23" s="45">
        <v>1913</v>
      </c>
      <c r="K23" s="44">
        <f t="shared" si="2"/>
        <v>1913</v>
      </c>
      <c r="L23" s="46">
        <v>1980.5</v>
      </c>
      <c r="M23" s="45">
        <v>1980.5</v>
      </c>
      <c r="N23" s="44">
        <f t="shared" si="3"/>
        <v>1980.5</v>
      </c>
      <c r="O23" s="46">
        <v>2050</v>
      </c>
      <c r="P23" s="45">
        <v>2050</v>
      </c>
      <c r="Q23" s="44">
        <f t="shared" si="4"/>
        <v>2050</v>
      </c>
      <c r="R23" s="52">
        <v>1842.5</v>
      </c>
      <c r="S23" s="51">
        <v>1.3059000000000001</v>
      </c>
      <c r="T23" s="51">
        <v>1.1852</v>
      </c>
      <c r="U23" s="50">
        <v>104.86</v>
      </c>
      <c r="V23" s="43">
        <v>1410.9</v>
      </c>
      <c r="W23" s="43">
        <v>1419.22</v>
      </c>
      <c r="X23" s="49">
        <f t="shared" si="5"/>
        <v>1554.5899426257172</v>
      </c>
      <c r="Y23" s="48">
        <v>1.3067</v>
      </c>
    </row>
    <row r="24" spans="2:25" x14ac:dyDescent="0.2">
      <c r="B24" s="47">
        <v>44126</v>
      </c>
      <c r="C24" s="46">
        <v>1828</v>
      </c>
      <c r="D24" s="45">
        <v>1828</v>
      </c>
      <c r="E24" s="44">
        <f t="shared" si="0"/>
        <v>1828</v>
      </c>
      <c r="F24" s="46">
        <v>1840</v>
      </c>
      <c r="G24" s="45">
        <v>1840</v>
      </c>
      <c r="H24" s="44">
        <f t="shared" si="1"/>
        <v>1840</v>
      </c>
      <c r="I24" s="46">
        <v>1893.5</v>
      </c>
      <c r="J24" s="45">
        <v>1893.5</v>
      </c>
      <c r="K24" s="44">
        <f t="shared" si="2"/>
        <v>1893.5</v>
      </c>
      <c r="L24" s="46">
        <v>1958.5</v>
      </c>
      <c r="M24" s="45">
        <v>1958.5</v>
      </c>
      <c r="N24" s="44">
        <f t="shared" si="3"/>
        <v>1958.5</v>
      </c>
      <c r="O24" s="46">
        <v>2028.5</v>
      </c>
      <c r="P24" s="45">
        <v>2028.5</v>
      </c>
      <c r="Q24" s="44">
        <f t="shared" si="4"/>
        <v>2028.5</v>
      </c>
      <c r="R24" s="52">
        <v>1828</v>
      </c>
      <c r="S24" s="51">
        <v>1.3097000000000001</v>
      </c>
      <c r="T24" s="51">
        <v>1.1825000000000001</v>
      </c>
      <c r="U24" s="50">
        <v>104.67</v>
      </c>
      <c r="V24" s="43">
        <v>1395.74</v>
      </c>
      <c r="W24" s="43">
        <v>1404.04</v>
      </c>
      <c r="X24" s="49">
        <f t="shared" si="5"/>
        <v>1545.8773784355178</v>
      </c>
      <c r="Y24" s="48">
        <v>1.3105</v>
      </c>
    </row>
    <row r="25" spans="2:25" x14ac:dyDescent="0.2">
      <c r="B25" s="47">
        <v>44127</v>
      </c>
      <c r="C25" s="46">
        <v>1829</v>
      </c>
      <c r="D25" s="45">
        <v>1829</v>
      </c>
      <c r="E25" s="44">
        <f t="shared" si="0"/>
        <v>1829</v>
      </c>
      <c r="F25" s="46">
        <v>1842.5</v>
      </c>
      <c r="G25" s="45">
        <v>1842.5</v>
      </c>
      <c r="H25" s="44">
        <f t="shared" si="1"/>
        <v>1842.5</v>
      </c>
      <c r="I25" s="46">
        <v>1895.5</v>
      </c>
      <c r="J25" s="45">
        <v>1895.5</v>
      </c>
      <c r="K25" s="44">
        <f t="shared" si="2"/>
        <v>1895.5</v>
      </c>
      <c r="L25" s="46">
        <v>1960</v>
      </c>
      <c r="M25" s="45">
        <v>1960</v>
      </c>
      <c r="N25" s="44">
        <f t="shared" si="3"/>
        <v>1960</v>
      </c>
      <c r="O25" s="46">
        <v>2030</v>
      </c>
      <c r="P25" s="45">
        <v>2030</v>
      </c>
      <c r="Q25" s="44">
        <f t="shared" si="4"/>
        <v>2030</v>
      </c>
      <c r="R25" s="52">
        <v>1829</v>
      </c>
      <c r="S25" s="51">
        <v>1.3068</v>
      </c>
      <c r="T25" s="51">
        <v>1.1846000000000001</v>
      </c>
      <c r="U25" s="50">
        <v>104.78</v>
      </c>
      <c r="V25" s="43">
        <v>1399.6</v>
      </c>
      <c r="W25" s="43">
        <v>1408.96</v>
      </c>
      <c r="X25" s="49">
        <f t="shared" si="5"/>
        <v>1543.981090663515</v>
      </c>
      <c r="Y25" s="48">
        <v>1.3077000000000001</v>
      </c>
    </row>
    <row r="26" spans="2:25" x14ac:dyDescent="0.2">
      <c r="B26" s="47">
        <v>44130</v>
      </c>
      <c r="C26" s="46">
        <v>1822.5</v>
      </c>
      <c r="D26" s="45">
        <v>1822.5</v>
      </c>
      <c r="E26" s="44">
        <f t="shared" si="0"/>
        <v>1822.5</v>
      </c>
      <c r="F26" s="46">
        <v>1837.5</v>
      </c>
      <c r="G26" s="45">
        <v>1837.5</v>
      </c>
      <c r="H26" s="44">
        <f t="shared" si="1"/>
        <v>1837.5</v>
      </c>
      <c r="I26" s="46">
        <v>1890.5</v>
      </c>
      <c r="J26" s="45">
        <v>1890.5</v>
      </c>
      <c r="K26" s="44">
        <f t="shared" si="2"/>
        <v>1890.5</v>
      </c>
      <c r="L26" s="46">
        <v>1952.5</v>
      </c>
      <c r="M26" s="45">
        <v>1952.5</v>
      </c>
      <c r="N26" s="44">
        <f t="shared" si="3"/>
        <v>1952.5</v>
      </c>
      <c r="O26" s="46">
        <v>2022.5</v>
      </c>
      <c r="P26" s="45">
        <v>2022.5</v>
      </c>
      <c r="Q26" s="44">
        <f t="shared" si="4"/>
        <v>2022.5</v>
      </c>
      <c r="R26" s="52">
        <v>1822.5</v>
      </c>
      <c r="S26" s="51">
        <v>1.3025</v>
      </c>
      <c r="T26" s="51">
        <v>1.1814</v>
      </c>
      <c r="U26" s="50">
        <v>105.02</v>
      </c>
      <c r="V26" s="43">
        <v>1399.23</v>
      </c>
      <c r="W26" s="43">
        <v>1409.77</v>
      </c>
      <c r="X26" s="49">
        <f t="shared" si="5"/>
        <v>1542.6612493651601</v>
      </c>
      <c r="Y26" s="48">
        <v>1.3033999999999999</v>
      </c>
    </row>
    <row r="27" spans="2:25" x14ac:dyDescent="0.2">
      <c r="B27" s="47">
        <v>44131</v>
      </c>
      <c r="C27" s="46">
        <v>1808</v>
      </c>
      <c r="D27" s="45">
        <v>1808</v>
      </c>
      <c r="E27" s="44">
        <f t="shared" si="0"/>
        <v>1808</v>
      </c>
      <c r="F27" s="46">
        <v>1823</v>
      </c>
      <c r="G27" s="45">
        <v>1823</v>
      </c>
      <c r="H27" s="44">
        <f t="shared" si="1"/>
        <v>1823</v>
      </c>
      <c r="I27" s="46">
        <v>1873.5</v>
      </c>
      <c r="J27" s="45">
        <v>1873.5</v>
      </c>
      <c r="K27" s="44">
        <f t="shared" si="2"/>
        <v>1873.5</v>
      </c>
      <c r="L27" s="46">
        <v>1935</v>
      </c>
      <c r="M27" s="45">
        <v>1935</v>
      </c>
      <c r="N27" s="44">
        <f t="shared" si="3"/>
        <v>1935</v>
      </c>
      <c r="O27" s="46">
        <v>2004</v>
      </c>
      <c r="P27" s="45">
        <v>2004</v>
      </c>
      <c r="Q27" s="44">
        <f t="shared" si="4"/>
        <v>2004</v>
      </c>
      <c r="R27" s="52">
        <v>1808</v>
      </c>
      <c r="S27" s="51">
        <v>1.3029999999999999</v>
      </c>
      <c r="T27" s="51">
        <v>1.1828000000000001</v>
      </c>
      <c r="U27" s="50">
        <v>104.67</v>
      </c>
      <c r="V27" s="43">
        <v>1387.57</v>
      </c>
      <c r="W27" s="43">
        <v>1398.11</v>
      </c>
      <c r="X27" s="49">
        <f t="shared" si="5"/>
        <v>1528.5762597226919</v>
      </c>
      <c r="Y27" s="48">
        <v>1.3039000000000001</v>
      </c>
    </row>
    <row r="28" spans="2:25" x14ac:dyDescent="0.2">
      <c r="B28" s="47">
        <v>44132</v>
      </c>
      <c r="C28" s="46">
        <v>1801</v>
      </c>
      <c r="D28" s="45">
        <v>1801</v>
      </c>
      <c r="E28" s="44">
        <f t="shared" si="0"/>
        <v>1801</v>
      </c>
      <c r="F28" s="46">
        <v>1815</v>
      </c>
      <c r="G28" s="45">
        <v>1815</v>
      </c>
      <c r="H28" s="44">
        <f t="shared" si="1"/>
        <v>1815</v>
      </c>
      <c r="I28" s="46">
        <v>1865</v>
      </c>
      <c r="J28" s="45">
        <v>1865</v>
      </c>
      <c r="K28" s="44">
        <f t="shared" si="2"/>
        <v>1865</v>
      </c>
      <c r="L28" s="46">
        <v>1925</v>
      </c>
      <c r="M28" s="45">
        <v>1925</v>
      </c>
      <c r="N28" s="44">
        <f t="shared" si="3"/>
        <v>1925</v>
      </c>
      <c r="O28" s="46">
        <v>1995</v>
      </c>
      <c r="P28" s="45">
        <v>1995</v>
      </c>
      <c r="Q28" s="44">
        <f t="shared" si="4"/>
        <v>1995</v>
      </c>
      <c r="R28" s="52">
        <v>1801</v>
      </c>
      <c r="S28" s="51">
        <v>1.2941</v>
      </c>
      <c r="T28" s="51">
        <v>1.1727000000000001</v>
      </c>
      <c r="U28" s="50">
        <v>104.39</v>
      </c>
      <c r="V28" s="43">
        <v>1391.7</v>
      </c>
      <c r="W28" s="43">
        <v>1401.65</v>
      </c>
      <c r="X28" s="49">
        <f t="shared" si="5"/>
        <v>1535.7721497399164</v>
      </c>
      <c r="Y28" s="48">
        <v>1.2948999999999999</v>
      </c>
    </row>
    <row r="29" spans="2:25" x14ac:dyDescent="0.2">
      <c r="B29" s="47">
        <v>44133</v>
      </c>
      <c r="C29" s="46">
        <v>1786</v>
      </c>
      <c r="D29" s="45">
        <v>1786</v>
      </c>
      <c r="E29" s="44">
        <f t="shared" si="0"/>
        <v>1786</v>
      </c>
      <c r="F29" s="46">
        <v>1795.5</v>
      </c>
      <c r="G29" s="45">
        <v>1795.5</v>
      </c>
      <c r="H29" s="44">
        <f t="shared" si="1"/>
        <v>1795.5</v>
      </c>
      <c r="I29" s="46">
        <v>1843.5</v>
      </c>
      <c r="J29" s="45">
        <v>1843.5</v>
      </c>
      <c r="K29" s="44">
        <f t="shared" si="2"/>
        <v>1843.5</v>
      </c>
      <c r="L29" s="46">
        <v>1902.5</v>
      </c>
      <c r="M29" s="45">
        <v>1902.5</v>
      </c>
      <c r="N29" s="44">
        <f t="shared" si="3"/>
        <v>1902.5</v>
      </c>
      <c r="O29" s="46">
        <v>1970.5</v>
      </c>
      <c r="P29" s="45">
        <v>1970.5</v>
      </c>
      <c r="Q29" s="44">
        <f t="shared" si="4"/>
        <v>1970.5</v>
      </c>
      <c r="R29" s="52">
        <v>1786</v>
      </c>
      <c r="S29" s="51">
        <v>1.2935000000000001</v>
      </c>
      <c r="T29" s="51">
        <v>1.1704000000000001</v>
      </c>
      <c r="U29" s="50">
        <v>104.37</v>
      </c>
      <c r="V29" s="43">
        <v>1380.75</v>
      </c>
      <c r="W29" s="43">
        <v>1387.13</v>
      </c>
      <c r="X29" s="49">
        <f t="shared" si="5"/>
        <v>1525.9740259740258</v>
      </c>
      <c r="Y29" s="48">
        <v>1.2944</v>
      </c>
    </row>
    <row r="30" spans="2:25" x14ac:dyDescent="0.2">
      <c r="B30" s="47">
        <v>44134</v>
      </c>
      <c r="C30" s="46">
        <v>1820.5</v>
      </c>
      <c r="D30" s="45">
        <v>1820.5</v>
      </c>
      <c r="E30" s="44">
        <f t="shared" si="0"/>
        <v>1820.5</v>
      </c>
      <c r="F30" s="46">
        <v>1823.5</v>
      </c>
      <c r="G30" s="45">
        <v>1823.5</v>
      </c>
      <c r="H30" s="44">
        <f t="shared" si="1"/>
        <v>1823.5</v>
      </c>
      <c r="I30" s="46">
        <v>1869</v>
      </c>
      <c r="J30" s="45">
        <v>1869</v>
      </c>
      <c r="K30" s="44">
        <f t="shared" si="2"/>
        <v>1869</v>
      </c>
      <c r="L30" s="46">
        <v>1927.5</v>
      </c>
      <c r="M30" s="45">
        <v>1927.5</v>
      </c>
      <c r="N30" s="44">
        <f t="shared" si="3"/>
        <v>1927.5</v>
      </c>
      <c r="O30" s="46">
        <v>1995</v>
      </c>
      <c r="P30" s="45">
        <v>1995</v>
      </c>
      <c r="Q30" s="44">
        <f t="shared" si="4"/>
        <v>1995</v>
      </c>
      <c r="R30" s="52">
        <v>1820.5</v>
      </c>
      <c r="S30" s="51">
        <v>1.2972999999999999</v>
      </c>
      <c r="T30" s="51">
        <v>1.1700999999999999</v>
      </c>
      <c r="U30" s="50">
        <v>104.48</v>
      </c>
      <c r="V30" s="43">
        <v>1403.3</v>
      </c>
      <c r="W30" s="43">
        <v>1404.64</v>
      </c>
      <c r="X30" s="49">
        <f t="shared" si="5"/>
        <v>1555.8499273566363</v>
      </c>
      <c r="Y30" s="48">
        <v>1.2982</v>
      </c>
    </row>
    <row r="31" spans="2:25" s="10" customFormat="1" x14ac:dyDescent="0.2">
      <c r="B31" s="42" t="s">
        <v>11</v>
      </c>
      <c r="C31" s="41">
        <f>ROUND(AVERAGE(C9:C30),2)</f>
        <v>1802.82</v>
      </c>
      <c r="D31" s="40">
        <f>ROUND(AVERAGE(D9:D30),2)</f>
        <v>1802.82</v>
      </c>
      <c r="E31" s="39">
        <f>ROUND(AVERAGE(C31:D31),2)</f>
        <v>1802.82</v>
      </c>
      <c r="F31" s="41">
        <f>ROUND(AVERAGE(F9:F30),2)</f>
        <v>1819.84</v>
      </c>
      <c r="G31" s="40">
        <f>ROUND(AVERAGE(G9:G30),2)</f>
        <v>1819.84</v>
      </c>
      <c r="H31" s="39">
        <f>ROUND(AVERAGE(F31:G31),2)</f>
        <v>1819.84</v>
      </c>
      <c r="I31" s="41">
        <f>ROUND(AVERAGE(I9:I30),2)</f>
        <v>1876.2</v>
      </c>
      <c r="J31" s="40">
        <f>ROUND(AVERAGE(J9:J30),2)</f>
        <v>1876.2</v>
      </c>
      <c r="K31" s="39">
        <f>ROUND(AVERAGE(I31:J31),2)</f>
        <v>1876.2</v>
      </c>
      <c r="L31" s="41">
        <f>ROUND(AVERAGE(L9:L30),2)</f>
        <v>1942.61</v>
      </c>
      <c r="M31" s="40">
        <f>ROUND(AVERAGE(M9:M30),2)</f>
        <v>1942.61</v>
      </c>
      <c r="N31" s="39">
        <f>ROUND(AVERAGE(L31:M31),2)</f>
        <v>1942.61</v>
      </c>
      <c r="O31" s="41">
        <f>ROUND(AVERAGE(O9:O30),2)</f>
        <v>2013.82</v>
      </c>
      <c r="P31" s="40">
        <f>ROUND(AVERAGE(P9:P30),2)</f>
        <v>2013.82</v>
      </c>
      <c r="Q31" s="39">
        <f>ROUND(AVERAGE(O31:P31),2)</f>
        <v>2013.82</v>
      </c>
      <c r="R31" s="38">
        <f>ROUND(AVERAGE(R9:R30),2)</f>
        <v>1802.82</v>
      </c>
      <c r="S31" s="37">
        <f>ROUND(AVERAGE(S9:S30),4)</f>
        <v>1.2977000000000001</v>
      </c>
      <c r="T31" s="36">
        <f>ROUND(AVERAGE(T9:T30),4)</f>
        <v>1.1775</v>
      </c>
      <c r="U31" s="175">
        <f>ROUND(AVERAGE(U9:U30),2)</f>
        <v>105.22</v>
      </c>
      <c r="V31" s="35">
        <f>AVERAGE(V9:V30)</f>
        <v>1389.2140909090908</v>
      </c>
      <c r="W31" s="35">
        <f>AVERAGE(W9:W30)</f>
        <v>1401.4600000000003</v>
      </c>
      <c r="X31" s="35">
        <f>AVERAGE(X9:X30)</f>
        <v>1531.0735008372021</v>
      </c>
      <c r="Y31" s="34">
        <f>AVERAGE(Y9:Y30)</f>
        <v>1.2985045454545454</v>
      </c>
    </row>
    <row r="32" spans="2:25" s="5" customFormat="1" x14ac:dyDescent="0.2">
      <c r="B32" s="33" t="s">
        <v>12</v>
      </c>
      <c r="C32" s="32">
        <f t="shared" ref="C32:Y32" si="6">MAX(C9:C30)</f>
        <v>1865.5</v>
      </c>
      <c r="D32" s="31">
        <f t="shared" si="6"/>
        <v>1865.5</v>
      </c>
      <c r="E32" s="30">
        <f t="shared" si="6"/>
        <v>1865.5</v>
      </c>
      <c r="F32" s="32">
        <f t="shared" si="6"/>
        <v>1863.5</v>
      </c>
      <c r="G32" s="31">
        <f t="shared" si="6"/>
        <v>1863.5</v>
      </c>
      <c r="H32" s="30">
        <f t="shared" si="6"/>
        <v>1863.5</v>
      </c>
      <c r="I32" s="32">
        <f t="shared" si="6"/>
        <v>1913</v>
      </c>
      <c r="J32" s="31">
        <f t="shared" si="6"/>
        <v>1913</v>
      </c>
      <c r="K32" s="30">
        <f t="shared" si="6"/>
        <v>1913</v>
      </c>
      <c r="L32" s="32">
        <f t="shared" si="6"/>
        <v>1980.5</v>
      </c>
      <c r="M32" s="31">
        <f t="shared" si="6"/>
        <v>1980.5</v>
      </c>
      <c r="N32" s="30">
        <f t="shared" si="6"/>
        <v>1980.5</v>
      </c>
      <c r="O32" s="32">
        <f t="shared" si="6"/>
        <v>2050</v>
      </c>
      <c r="P32" s="31">
        <f t="shared" si="6"/>
        <v>2050</v>
      </c>
      <c r="Q32" s="30">
        <f t="shared" si="6"/>
        <v>2050</v>
      </c>
      <c r="R32" s="29">
        <f t="shared" si="6"/>
        <v>1865.5</v>
      </c>
      <c r="S32" s="28">
        <f t="shared" si="6"/>
        <v>1.3097000000000001</v>
      </c>
      <c r="T32" s="27">
        <f t="shared" si="6"/>
        <v>1.1852</v>
      </c>
      <c r="U32" s="26">
        <f t="shared" si="6"/>
        <v>106.02</v>
      </c>
      <c r="V32" s="25">
        <f t="shared" si="6"/>
        <v>1444.56</v>
      </c>
      <c r="W32" s="25">
        <f t="shared" si="6"/>
        <v>1442.23</v>
      </c>
      <c r="X32" s="25">
        <f t="shared" si="6"/>
        <v>1590.0954653937947</v>
      </c>
      <c r="Y32" s="24">
        <f t="shared" si="6"/>
        <v>1.3105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1705</v>
      </c>
      <c r="D33" s="21">
        <f t="shared" si="7"/>
        <v>1705</v>
      </c>
      <c r="E33" s="20">
        <f t="shared" si="7"/>
        <v>1705</v>
      </c>
      <c r="F33" s="22">
        <f t="shared" si="7"/>
        <v>1740</v>
      </c>
      <c r="G33" s="21">
        <f t="shared" si="7"/>
        <v>1740</v>
      </c>
      <c r="H33" s="20">
        <f t="shared" si="7"/>
        <v>1740</v>
      </c>
      <c r="I33" s="22">
        <f t="shared" si="7"/>
        <v>1813</v>
      </c>
      <c r="J33" s="21">
        <f t="shared" si="7"/>
        <v>1813</v>
      </c>
      <c r="K33" s="20">
        <f t="shared" si="7"/>
        <v>1813</v>
      </c>
      <c r="L33" s="22">
        <f t="shared" si="7"/>
        <v>1891</v>
      </c>
      <c r="M33" s="21">
        <f t="shared" si="7"/>
        <v>1891</v>
      </c>
      <c r="N33" s="20">
        <f t="shared" si="7"/>
        <v>1891</v>
      </c>
      <c r="O33" s="22">
        <f t="shared" si="7"/>
        <v>1969.5</v>
      </c>
      <c r="P33" s="21">
        <f t="shared" si="7"/>
        <v>1969.5</v>
      </c>
      <c r="Q33" s="20">
        <f t="shared" si="7"/>
        <v>1969.5</v>
      </c>
      <c r="R33" s="19">
        <f t="shared" si="7"/>
        <v>1705</v>
      </c>
      <c r="S33" s="18">
        <f t="shared" si="7"/>
        <v>1.2878000000000001</v>
      </c>
      <c r="T33" s="17">
        <f t="shared" si="7"/>
        <v>1.1700999999999999</v>
      </c>
      <c r="U33" s="16">
        <f t="shared" si="7"/>
        <v>104.37</v>
      </c>
      <c r="V33" s="15">
        <f t="shared" si="7"/>
        <v>1317.62</v>
      </c>
      <c r="W33" s="15">
        <f t="shared" si="7"/>
        <v>1343.84</v>
      </c>
      <c r="X33" s="15">
        <f t="shared" si="7"/>
        <v>1454.1577825159914</v>
      </c>
      <c r="Y33" s="14">
        <f t="shared" si="7"/>
        <v>1.2885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53" orientation="landscape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Q16" sqref="Q16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44105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44105</v>
      </c>
      <c r="C9" s="46">
        <v>2365</v>
      </c>
      <c r="D9" s="45">
        <v>2365</v>
      </c>
      <c r="E9" s="44">
        <f t="shared" ref="E9:E30" si="0">AVERAGE(C9:D9)</f>
        <v>2365</v>
      </c>
      <c r="F9" s="46">
        <v>2383</v>
      </c>
      <c r="G9" s="45">
        <v>2383</v>
      </c>
      <c r="H9" s="44">
        <f t="shared" ref="H9:H30" si="1">AVERAGE(F9:G9)</f>
        <v>2383</v>
      </c>
      <c r="I9" s="46">
        <v>2428</v>
      </c>
      <c r="J9" s="45">
        <v>2428</v>
      </c>
      <c r="K9" s="44">
        <f t="shared" ref="K9:K30" si="2">AVERAGE(I9:J9)</f>
        <v>2428</v>
      </c>
      <c r="L9" s="46">
        <v>2458</v>
      </c>
      <c r="M9" s="45">
        <v>2458</v>
      </c>
      <c r="N9" s="44">
        <f t="shared" ref="N9:N30" si="3">AVERAGE(L9:M9)</f>
        <v>2458</v>
      </c>
      <c r="O9" s="46">
        <v>2465.5</v>
      </c>
      <c r="P9" s="45">
        <v>2465.5</v>
      </c>
      <c r="Q9" s="44">
        <f t="shared" ref="Q9:Q30" si="4">AVERAGE(O9:P9)</f>
        <v>2465.5</v>
      </c>
      <c r="R9" s="52">
        <v>2365</v>
      </c>
      <c r="S9" s="51">
        <v>1.2966</v>
      </c>
      <c r="T9" s="53">
        <v>1.1763999999999999</v>
      </c>
      <c r="U9" s="50">
        <v>105.47</v>
      </c>
      <c r="V9" s="43">
        <v>1824</v>
      </c>
      <c r="W9" s="43">
        <v>1836.61</v>
      </c>
      <c r="X9" s="49">
        <f t="shared" ref="X9:X30" si="5">R9/T9</f>
        <v>2010.3706222373344</v>
      </c>
      <c r="Y9" s="48">
        <v>1.2975000000000001</v>
      </c>
    </row>
    <row r="10" spans="1:25" x14ac:dyDescent="0.2">
      <c r="B10" s="47">
        <v>44106</v>
      </c>
      <c r="C10" s="46">
        <v>2302</v>
      </c>
      <c r="D10" s="45">
        <v>2302</v>
      </c>
      <c r="E10" s="44">
        <f t="shared" si="0"/>
        <v>2302</v>
      </c>
      <c r="F10" s="46">
        <v>2317.5</v>
      </c>
      <c r="G10" s="45">
        <v>2317.5</v>
      </c>
      <c r="H10" s="44">
        <f t="shared" si="1"/>
        <v>2317.5</v>
      </c>
      <c r="I10" s="46">
        <v>2366</v>
      </c>
      <c r="J10" s="45">
        <v>2366</v>
      </c>
      <c r="K10" s="44">
        <f t="shared" si="2"/>
        <v>2366</v>
      </c>
      <c r="L10" s="46">
        <v>2397</v>
      </c>
      <c r="M10" s="45">
        <v>2397</v>
      </c>
      <c r="N10" s="44">
        <f t="shared" si="3"/>
        <v>2397</v>
      </c>
      <c r="O10" s="46">
        <v>2404.5</v>
      </c>
      <c r="P10" s="45">
        <v>2404.5</v>
      </c>
      <c r="Q10" s="44">
        <f t="shared" si="4"/>
        <v>2404.5</v>
      </c>
      <c r="R10" s="52">
        <v>2302</v>
      </c>
      <c r="S10" s="51">
        <v>1.294</v>
      </c>
      <c r="T10" s="51">
        <v>1.1725000000000001</v>
      </c>
      <c r="U10" s="50">
        <v>105.18</v>
      </c>
      <c r="V10" s="43">
        <v>1778.98</v>
      </c>
      <c r="W10" s="43">
        <v>1789.85</v>
      </c>
      <c r="X10" s="49">
        <f t="shared" si="5"/>
        <v>1963.3262260127931</v>
      </c>
      <c r="Y10" s="48">
        <v>1.2948</v>
      </c>
    </row>
    <row r="11" spans="1:25" x14ac:dyDescent="0.2">
      <c r="B11" s="47">
        <v>44109</v>
      </c>
      <c r="C11" s="46">
        <v>2298</v>
      </c>
      <c r="D11" s="45">
        <v>2298</v>
      </c>
      <c r="E11" s="44">
        <f t="shared" si="0"/>
        <v>2298</v>
      </c>
      <c r="F11" s="46">
        <v>2316</v>
      </c>
      <c r="G11" s="45">
        <v>2316</v>
      </c>
      <c r="H11" s="44">
        <f t="shared" si="1"/>
        <v>2316</v>
      </c>
      <c r="I11" s="46">
        <v>2366.5</v>
      </c>
      <c r="J11" s="45">
        <v>2366.5</v>
      </c>
      <c r="K11" s="44">
        <f t="shared" si="2"/>
        <v>2366.5</v>
      </c>
      <c r="L11" s="46">
        <v>2397.5</v>
      </c>
      <c r="M11" s="45">
        <v>2397.5</v>
      </c>
      <c r="N11" s="44">
        <f t="shared" si="3"/>
        <v>2397.5</v>
      </c>
      <c r="O11" s="46">
        <v>2405</v>
      </c>
      <c r="P11" s="45">
        <v>2405</v>
      </c>
      <c r="Q11" s="44">
        <f t="shared" si="4"/>
        <v>2405</v>
      </c>
      <c r="R11" s="52">
        <v>2298</v>
      </c>
      <c r="S11" s="51">
        <v>1.2952999999999999</v>
      </c>
      <c r="T11" s="51">
        <v>1.1765000000000001</v>
      </c>
      <c r="U11" s="50">
        <v>105.61</v>
      </c>
      <c r="V11" s="43">
        <v>1774.11</v>
      </c>
      <c r="W11" s="43">
        <v>1786.9</v>
      </c>
      <c r="X11" s="49">
        <f t="shared" si="5"/>
        <v>1953.2511687207818</v>
      </c>
      <c r="Y11" s="48">
        <v>1.2961</v>
      </c>
    </row>
    <row r="12" spans="1:25" x14ac:dyDescent="0.2">
      <c r="B12" s="47">
        <v>44110</v>
      </c>
      <c r="C12" s="46">
        <v>2331</v>
      </c>
      <c r="D12" s="45">
        <v>2331</v>
      </c>
      <c r="E12" s="44">
        <f t="shared" si="0"/>
        <v>2331</v>
      </c>
      <c r="F12" s="46">
        <v>2351.5</v>
      </c>
      <c r="G12" s="45">
        <v>2351.5</v>
      </c>
      <c r="H12" s="44">
        <f t="shared" si="1"/>
        <v>2351.5</v>
      </c>
      <c r="I12" s="46">
        <v>2402</v>
      </c>
      <c r="J12" s="45">
        <v>2402</v>
      </c>
      <c r="K12" s="44">
        <f t="shared" si="2"/>
        <v>2402</v>
      </c>
      <c r="L12" s="46">
        <v>2436</v>
      </c>
      <c r="M12" s="45">
        <v>2436</v>
      </c>
      <c r="N12" s="44">
        <f t="shared" si="3"/>
        <v>2436</v>
      </c>
      <c r="O12" s="46">
        <v>2443.5</v>
      </c>
      <c r="P12" s="45">
        <v>2443.5</v>
      </c>
      <c r="Q12" s="44">
        <f t="shared" si="4"/>
        <v>2443.5</v>
      </c>
      <c r="R12" s="52">
        <v>2331</v>
      </c>
      <c r="S12" s="51">
        <v>1.2952999999999999</v>
      </c>
      <c r="T12" s="51">
        <v>1.1796</v>
      </c>
      <c r="U12" s="50">
        <v>105.62</v>
      </c>
      <c r="V12" s="43">
        <v>1799.58</v>
      </c>
      <c r="W12" s="43">
        <v>1814.29</v>
      </c>
      <c r="X12" s="49">
        <f t="shared" si="5"/>
        <v>1976.0935910478129</v>
      </c>
      <c r="Y12" s="48">
        <v>1.2961</v>
      </c>
    </row>
    <row r="13" spans="1:25" x14ac:dyDescent="0.2">
      <c r="B13" s="47">
        <v>44111</v>
      </c>
      <c r="C13" s="46">
        <v>2357.5</v>
      </c>
      <c r="D13" s="45">
        <v>2357.5</v>
      </c>
      <c r="E13" s="44">
        <f t="shared" si="0"/>
        <v>2357.5</v>
      </c>
      <c r="F13" s="46">
        <v>2377</v>
      </c>
      <c r="G13" s="45">
        <v>2377</v>
      </c>
      <c r="H13" s="44">
        <f t="shared" si="1"/>
        <v>2377</v>
      </c>
      <c r="I13" s="46">
        <v>2427</v>
      </c>
      <c r="J13" s="45">
        <v>2427</v>
      </c>
      <c r="K13" s="44">
        <f t="shared" si="2"/>
        <v>2427</v>
      </c>
      <c r="L13" s="46">
        <v>2461</v>
      </c>
      <c r="M13" s="45">
        <v>2461</v>
      </c>
      <c r="N13" s="44">
        <f t="shared" si="3"/>
        <v>2461</v>
      </c>
      <c r="O13" s="46">
        <v>2468.5</v>
      </c>
      <c r="P13" s="45">
        <v>2468.5</v>
      </c>
      <c r="Q13" s="44">
        <f t="shared" si="4"/>
        <v>2468.5</v>
      </c>
      <c r="R13" s="52">
        <v>2357.5</v>
      </c>
      <c r="S13" s="51">
        <v>1.2878000000000001</v>
      </c>
      <c r="T13" s="51">
        <v>1.1774</v>
      </c>
      <c r="U13" s="50">
        <v>106.02</v>
      </c>
      <c r="V13" s="43">
        <v>1830.64</v>
      </c>
      <c r="W13" s="43">
        <v>1844.78</v>
      </c>
      <c r="X13" s="49">
        <f t="shared" si="5"/>
        <v>2002.2931883811789</v>
      </c>
      <c r="Y13" s="48">
        <v>1.2885</v>
      </c>
    </row>
    <row r="14" spans="1:25" x14ac:dyDescent="0.2">
      <c r="B14" s="47">
        <v>44112</v>
      </c>
      <c r="C14" s="46">
        <v>2356</v>
      </c>
      <c r="D14" s="45">
        <v>2356</v>
      </c>
      <c r="E14" s="44">
        <f t="shared" si="0"/>
        <v>2356</v>
      </c>
      <c r="F14" s="46">
        <v>2373</v>
      </c>
      <c r="G14" s="45">
        <v>2373</v>
      </c>
      <c r="H14" s="44">
        <f t="shared" si="1"/>
        <v>2373</v>
      </c>
      <c r="I14" s="46">
        <v>2422</v>
      </c>
      <c r="J14" s="45">
        <v>2422</v>
      </c>
      <c r="K14" s="44">
        <f t="shared" si="2"/>
        <v>2422</v>
      </c>
      <c r="L14" s="46">
        <v>2456</v>
      </c>
      <c r="M14" s="45">
        <v>2456</v>
      </c>
      <c r="N14" s="44">
        <f t="shared" si="3"/>
        <v>2456</v>
      </c>
      <c r="O14" s="46">
        <v>2463.5</v>
      </c>
      <c r="P14" s="45">
        <v>2463.5</v>
      </c>
      <c r="Q14" s="44">
        <f t="shared" si="4"/>
        <v>2463.5</v>
      </c>
      <c r="R14" s="52">
        <v>2356</v>
      </c>
      <c r="S14" s="51">
        <v>1.2904</v>
      </c>
      <c r="T14" s="51">
        <v>1.1759999999999999</v>
      </c>
      <c r="U14" s="50">
        <v>106.01</v>
      </c>
      <c r="V14" s="43">
        <v>1825.79</v>
      </c>
      <c r="W14" s="43">
        <v>1837.97</v>
      </c>
      <c r="X14" s="49">
        <f t="shared" si="5"/>
        <v>2003.4013605442178</v>
      </c>
      <c r="Y14" s="48">
        <v>1.2910999999999999</v>
      </c>
    </row>
    <row r="15" spans="1:25" x14ac:dyDescent="0.2">
      <c r="B15" s="47">
        <v>44113</v>
      </c>
      <c r="C15" s="46">
        <v>2415.5</v>
      </c>
      <c r="D15" s="45">
        <v>2415.5</v>
      </c>
      <c r="E15" s="44">
        <f t="shared" si="0"/>
        <v>2415.5</v>
      </c>
      <c r="F15" s="46">
        <v>2433.5</v>
      </c>
      <c r="G15" s="45">
        <v>2433.5</v>
      </c>
      <c r="H15" s="44">
        <f t="shared" si="1"/>
        <v>2433.5</v>
      </c>
      <c r="I15" s="46">
        <v>2478</v>
      </c>
      <c r="J15" s="45">
        <v>2478</v>
      </c>
      <c r="K15" s="44">
        <f t="shared" si="2"/>
        <v>2478</v>
      </c>
      <c r="L15" s="46">
        <v>2512</v>
      </c>
      <c r="M15" s="45">
        <v>2512</v>
      </c>
      <c r="N15" s="44">
        <f t="shared" si="3"/>
        <v>2512</v>
      </c>
      <c r="O15" s="46">
        <v>2519.5</v>
      </c>
      <c r="P15" s="45">
        <v>2519.5</v>
      </c>
      <c r="Q15" s="44">
        <f t="shared" si="4"/>
        <v>2519.5</v>
      </c>
      <c r="R15" s="52">
        <v>2415.5</v>
      </c>
      <c r="S15" s="51">
        <v>1.2943</v>
      </c>
      <c r="T15" s="51">
        <v>1.18</v>
      </c>
      <c r="U15" s="50">
        <v>105.92</v>
      </c>
      <c r="V15" s="43">
        <v>1866.26</v>
      </c>
      <c r="W15" s="43">
        <v>1879.01</v>
      </c>
      <c r="X15" s="49">
        <f t="shared" si="5"/>
        <v>2047.0338983050849</v>
      </c>
      <c r="Y15" s="48">
        <v>1.2950999999999999</v>
      </c>
    </row>
    <row r="16" spans="1:25" x14ac:dyDescent="0.2">
      <c r="B16" s="47">
        <v>44116</v>
      </c>
      <c r="C16" s="46">
        <v>2438.5</v>
      </c>
      <c r="D16" s="45">
        <v>2438.5</v>
      </c>
      <c r="E16" s="44">
        <f t="shared" si="0"/>
        <v>2438.5</v>
      </c>
      <c r="F16" s="46">
        <v>2456</v>
      </c>
      <c r="G16" s="45">
        <v>2456</v>
      </c>
      <c r="H16" s="44">
        <f t="shared" si="1"/>
        <v>2456</v>
      </c>
      <c r="I16" s="46">
        <v>2499</v>
      </c>
      <c r="J16" s="45">
        <v>2499</v>
      </c>
      <c r="K16" s="44">
        <f t="shared" si="2"/>
        <v>2499</v>
      </c>
      <c r="L16" s="46">
        <v>2531</v>
      </c>
      <c r="M16" s="45">
        <v>2531</v>
      </c>
      <c r="N16" s="44">
        <f t="shared" si="3"/>
        <v>2531</v>
      </c>
      <c r="O16" s="46">
        <v>2538.5</v>
      </c>
      <c r="P16" s="45">
        <v>2538.5</v>
      </c>
      <c r="Q16" s="44">
        <f t="shared" si="4"/>
        <v>2538.5</v>
      </c>
      <c r="R16" s="52">
        <v>2438.5</v>
      </c>
      <c r="S16" s="51">
        <v>1.3022</v>
      </c>
      <c r="T16" s="51">
        <v>1.1795</v>
      </c>
      <c r="U16" s="50">
        <v>105.46</v>
      </c>
      <c r="V16" s="43">
        <v>1872.6</v>
      </c>
      <c r="W16" s="43">
        <v>1884.88</v>
      </c>
      <c r="X16" s="49">
        <f t="shared" si="5"/>
        <v>2067.4014412886818</v>
      </c>
      <c r="Y16" s="48">
        <v>1.3029999999999999</v>
      </c>
    </row>
    <row r="17" spans="2:25" x14ac:dyDescent="0.2">
      <c r="B17" s="47">
        <v>44117</v>
      </c>
      <c r="C17" s="46">
        <v>2428</v>
      </c>
      <c r="D17" s="45">
        <v>2428</v>
      </c>
      <c r="E17" s="44">
        <f t="shared" si="0"/>
        <v>2428</v>
      </c>
      <c r="F17" s="46">
        <v>2446.5</v>
      </c>
      <c r="G17" s="45">
        <v>2446.5</v>
      </c>
      <c r="H17" s="44">
        <f t="shared" si="1"/>
        <v>2446.5</v>
      </c>
      <c r="I17" s="46">
        <v>2486.5</v>
      </c>
      <c r="J17" s="45">
        <v>2486.5</v>
      </c>
      <c r="K17" s="44">
        <f t="shared" si="2"/>
        <v>2486.5</v>
      </c>
      <c r="L17" s="46">
        <v>2518.5</v>
      </c>
      <c r="M17" s="45">
        <v>2518.5</v>
      </c>
      <c r="N17" s="44">
        <f t="shared" si="3"/>
        <v>2518.5</v>
      </c>
      <c r="O17" s="46">
        <v>2526</v>
      </c>
      <c r="P17" s="45">
        <v>2526</v>
      </c>
      <c r="Q17" s="44">
        <f t="shared" si="4"/>
        <v>2526</v>
      </c>
      <c r="R17" s="52">
        <v>2428</v>
      </c>
      <c r="S17" s="51">
        <v>1.3031999999999999</v>
      </c>
      <c r="T17" s="51">
        <v>1.1789000000000001</v>
      </c>
      <c r="U17" s="50">
        <v>105.51</v>
      </c>
      <c r="V17" s="43">
        <v>1863.11</v>
      </c>
      <c r="W17" s="43">
        <v>1876.15</v>
      </c>
      <c r="X17" s="49">
        <f t="shared" si="5"/>
        <v>2059.547035371957</v>
      </c>
      <c r="Y17" s="48">
        <v>1.304</v>
      </c>
    </row>
    <row r="18" spans="2:25" x14ac:dyDescent="0.2">
      <c r="B18" s="47">
        <v>44118</v>
      </c>
      <c r="C18" s="46">
        <v>2398</v>
      </c>
      <c r="D18" s="45">
        <v>2398</v>
      </c>
      <c r="E18" s="44">
        <f t="shared" si="0"/>
        <v>2398</v>
      </c>
      <c r="F18" s="46">
        <v>2416.5</v>
      </c>
      <c r="G18" s="45">
        <v>2416.5</v>
      </c>
      <c r="H18" s="44">
        <f t="shared" si="1"/>
        <v>2416.5</v>
      </c>
      <c r="I18" s="46">
        <v>2457</v>
      </c>
      <c r="J18" s="45">
        <v>2457</v>
      </c>
      <c r="K18" s="44">
        <f t="shared" si="2"/>
        <v>2457</v>
      </c>
      <c r="L18" s="46">
        <v>2489</v>
      </c>
      <c r="M18" s="45">
        <v>2489</v>
      </c>
      <c r="N18" s="44">
        <f t="shared" si="3"/>
        <v>2489</v>
      </c>
      <c r="O18" s="46">
        <v>2496.5</v>
      </c>
      <c r="P18" s="45">
        <v>2496.5</v>
      </c>
      <c r="Q18" s="44">
        <f t="shared" si="4"/>
        <v>2496.5</v>
      </c>
      <c r="R18" s="52">
        <v>2398</v>
      </c>
      <c r="S18" s="51">
        <v>1.2982</v>
      </c>
      <c r="T18" s="51">
        <v>1.1748000000000001</v>
      </c>
      <c r="U18" s="50">
        <v>105.34</v>
      </c>
      <c r="V18" s="43">
        <v>1847.17</v>
      </c>
      <c r="W18" s="43">
        <v>1860.28</v>
      </c>
      <c r="X18" s="49">
        <f t="shared" si="5"/>
        <v>2041.1985018726591</v>
      </c>
      <c r="Y18" s="48">
        <v>1.2989999999999999</v>
      </c>
    </row>
    <row r="19" spans="2:25" x14ac:dyDescent="0.2">
      <c r="B19" s="47">
        <v>44119</v>
      </c>
      <c r="C19" s="46">
        <v>2397</v>
      </c>
      <c r="D19" s="45">
        <v>2397</v>
      </c>
      <c r="E19" s="44">
        <f t="shared" si="0"/>
        <v>2397</v>
      </c>
      <c r="F19" s="46">
        <v>2413.5</v>
      </c>
      <c r="G19" s="45">
        <v>2413.5</v>
      </c>
      <c r="H19" s="44">
        <f t="shared" si="1"/>
        <v>2413.5</v>
      </c>
      <c r="I19" s="46">
        <v>2451.5</v>
      </c>
      <c r="J19" s="45">
        <v>2451.5</v>
      </c>
      <c r="K19" s="44">
        <f t="shared" si="2"/>
        <v>2451.5</v>
      </c>
      <c r="L19" s="46">
        <v>2479.5</v>
      </c>
      <c r="M19" s="45">
        <v>2479.5</v>
      </c>
      <c r="N19" s="44">
        <f t="shared" si="3"/>
        <v>2479.5</v>
      </c>
      <c r="O19" s="46">
        <v>2487</v>
      </c>
      <c r="P19" s="45">
        <v>2487</v>
      </c>
      <c r="Q19" s="44">
        <f t="shared" si="4"/>
        <v>2487</v>
      </c>
      <c r="R19" s="52">
        <v>2397</v>
      </c>
      <c r="S19" s="51">
        <v>1.2927</v>
      </c>
      <c r="T19" s="51">
        <v>1.1708000000000001</v>
      </c>
      <c r="U19" s="50">
        <v>105.27</v>
      </c>
      <c r="V19" s="43">
        <v>1854.26</v>
      </c>
      <c r="W19" s="43">
        <v>1865.87</v>
      </c>
      <c r="X19" s="49">
        <f t="shared" si="5"/>
        <v>2047.3180731124016</v>
      </c>
      <c r="Y19" s="48">
        <v>1.2935000000000001</v>
      </c>
    </row>
    <row r="20" spans="2:25" x14ac:dyDescent="0.2">
      <c r="B20" s="47">
        <v>44120</v>
      </c>
      <c r="C20" s="46">
        <v>2417</v>
      </c>
      <c r="D20" s="45">
        <v>2417</v>
      </c>
      <c r="E20" s="44">
        <f t="shared" si="0"/>
        <v>2417</v>
      </c>
      <c r="F20" s="46">
        <v>2434.5</v>
      </c>
      <c r="G20" s="45">
        <v>2434.5</v>
      </c>
      <c r="H20" s="44">
        <f t="shared" si="1"/>
        <v>2434.5</v>
      </c>
      <c r="I20" s="46">
        <v>2470</v>
      </c>
      <c r="J20" s="45">
        <v>2470</v>
      </c>
      <c r="K20" s="44">
        <f t="shared" si="2"/>
        <v>2470</v>
      </c>
      <c r="L20" s="46">
        <v>2498</v>
      </c>
      <c r="M20" s="45">
        <v>2498</v>
      </c>
      <c r="N20" s="44">
        <f t="shared" si="3"/>
        <v>2498</v>
      </c>
      <c r="O20" s="46">
        <v>2505.5</v>
      </c>
      <c r="P20" s="45">
        <v>2505.5</v>
      </c>
      <c r="Q20" s="44">
        <f t="shared" si="4"/>
        <v>2505.5</v>
      </c>
      <c r="R20" s="52">
        <v>2417</v>
      </c>
      <c r="S20" s="51">
        <v>1.2914000000000001</v>
      </c>
      <c r="T20" s="51">
        <v>1.1732</v>
      </c>
      <c r="U20" s="50">
        <v>105.26</v>
      </c>
      <c r="V20" s="43">
        <v>1871.61</v>
      </c>
      <c r="W20" s="43">
        <v>1884.14</v>
      </c>
      <c r="X20" s="49">
        <f t="shared" si="5"/>
        <v>2060.1772928741902</v>
      </c>
      <c r="Y20" s="48">
        <v>1.2921</v>
      </c>
    </row>
    <row r="21" spans="2:25" x14ac:dyDescent="0.2">
      <c r="B21" s="47">
        <v>44123</v>
      </c>
      <c r="C21" s="46">
        <v>2472</v>
      </c>
      <c r="D21" s="45">
        <v>2472</v>
      </c>
      <c r="E21" s="44">
        <f t="shared" si="0"/>
        <v>2472</v>
      </c>
      <c r="F21" s="46">
        <v>2490.5</v>
      </c>
      <c r="G21" s="45">
        <v>2490.5</v>
      </c>
      <c r="H21" s="44">
        <f t="shared" si="1"/>
        <v>2490.5</v>
      </c>
      <c r="I21" s="46">
        <v>2527</v>
      </c>
      <c r="J21" s="45">
        <v>2527</v>
      </c>
      <c r="K21" s="44">
        <f t="shared" si="2"/>
        <v>2527</v>
      </c>
      <c r="L21" s="46">
        <v>2554</v>
      </c>
      <c r="M21" s="45">
        <v>2554</v>
      </c>
      <c r="N21" s="44">
        <f t="shared" si="3"/>
        <v>2554</v>
      </c>
      <c r="O21" s="46">
        <v>2561.5</v>
      </c>
      <c r="P21" s="45">
        <v>2561.5</v>
      </c>
      <c r="Q21" s="44">
        <f t="shared" si="4"/>
        <v>2561.5</v>
      </c>
      <c r="R21" s="52">
        <v>2472</v>
      </c>
      <c r="S21" s="51">
        <v>1.3012999999999999</v>
      </c>
      <c r="T21" s="51">
        <v>1.1786000000000001</v>
      </c>
      <c r="U21" s="50">
        <v>105.32</v>
      </c>
      <c r="V21" s="43">
        <v>1899.64</v>
      </c>
      <c r="W21" s="43">
        <v>1912.68</v>
      </c>
      <c r="X21" s="49">
        <f t="shared" si="5"/>
        <v>2097.4036993042591</v>
      </c>
      <c r="Y21" s="48">
        <v>1.3021</v>
      </c>
    </row>
    <row r="22" spans="2:25" x14ac:dyDescent="0.2">
      <c r="B22" s="47">
        <v>44124</v>
      </c>
      <c r="C22" s="46">
        <v>2485</v>
      </c>
      <c r="D22" s="45">
        <v>2485</v>
      </c>
      <c r="E22" s="44">
        <f t="shared" si="0"/>
        <v>2485</v>
      </c>
      <c r="F22" s="46">
        <v>2504.5</v>
      </c>
      <c r="G22" s="45">
        <v>2504.5</v>
      </c>
      <c r="H22" s="44">
        <f t="shared" si="1"/>
        <v>2504.5</v>
      </c>
      <c r="I22" s="46">
        <v>2540.5</v>
      </c>
      <c r="J22" s="45">
        <v>2540.5</v>
      </c>
      <c r="K22" s="44">
        <f t="shared" si="2"/>
        <v>2540.5</v>
      </c>
      <c r="L22" s="46">
        <v>2567.5</v>
      </c>
      <c r="M22" s="45">
        <v>2567.5</v>
      </c>
      <c r="N22" s="44">
        <f t="shared" si="3"/>
        <v>2567.5</v>
      </c>
      <c r="O22" s="46">
        <v>2575</v>
      </c>
      <c r="P22" s="45">
        <v>2575</v>
      </c>
      <c r="Q22" s="44">
        <f t="shared" si="4"/>
        <v>2575</v>
      </c>
      <c r="R22" s="52">
        <v>2485</v>
      </c>
      <c r="S22" s="51">
        <v>1.2937000000000001</v>
      </c>
      <c r="T22" s="51">
        <v>1.1806000000000001</v>
      </c>
      <c r="U22" s="50">
        <v>105.68</v>
      </c>
      <c r="V22" s="43">
        <v>1920.85</v>
      </c>
      <c r="W22" s="43">
        <v>1934.72</v>
      </c>
      <c r="X22" s="49">
        <f t="shared" si="5"/>
        <v>2104.8619346095206</v>
      </c>
      <c r="Y22" s="48">
        <v>1.2945</v>
      </c>
    </row>
    <row r="23" spans="2:25" x14ac:dyDescent="0.2">
      <c r="B23" s="47">
        <v>44125</v>
      </c>
      <c r="C23" s="46">
        <v>2547</v>
      </c>
      <c r="D23" s="45">
        <v>2547</v>
      </c>
      <c r="E23" s="44">
        <f t="shared" si="0"/>
        <v>2547</v>
      </c>
      <c r="F23" s="46">
        <v>2569</v>
      </c>
      <c r="G23" s="45">
        <v>2569</v>
      </c>
      <c r="H23" s="44">
        <f t="shared" si="1"/>
        <v>2569</v>
      </c>
      <c r="I23" s="46">
        <v>2603</v>
      </c>
      <c r="J23" s="45">
        <v>2603</v>
      </c>
      <c r="K23" s="44">
        <f t="shared" si="2"/>
        <v>2603</v>
      </c>
      <c r="L23" s="46">
        <v>2628</v>
      </c>
      <c r="M23" s="45">
        <v>2628</v>
      </c>
      <c r="N23" s="44">
        <f t="shared" si="3"/>
        <v>2628</v>
      </c>
      <c r="O23" s="46">
        <v>2635.5</v>
      </c>
      <c r="P23" s="45">
        <v>2635.5</v>
      </c>
      <c r="Q23" s="44">
        <f t="shared" si="4"/>
        <v>2635.5</v>
      </c>
      <c r="R23" s="52">
        <v>2547</v>
      </c>
      <c r="S23" s="51">
        <v>1.3059000000000001</v>
      </c>
      <c r="T23" s="51">
        <v>1.1852</v>
      </c>
      <c r="U23" s="50">
        <v>104.86</v>
      </c>
      <c r="V23" s="43">
        <v>1950.38</v>
      </c>
      <c r="W23" s="43">
        <v>1966.02</v>
      </c>
      <c r="X23" s="49">
        <f t="shared" si="5"/>
        <v>2149.0043874451567</v>
      </c>
      <c r="Y23" s="48">
        <v>1.3067</v>
      </c>
    </row>
    <row r="24" spans="2:25" x14ac:dyDescent="0.2">
      <c r="B24" s="47">
        <v>44126</v>
      </c>
      <c r="C24" s="46">
        <v>2540</v>
      </c>
      <c r="D24" s="45">
        <v>2540</v>
      </c>
      <c r="E24" s="44">
        <f t="shared" si="0"/>
        <v>2540</v>
      </c>
      <c r="F24" s="46">
        <v>2557</v>
      </c>
      <c r="G24" s="45">
        <v>2557</v>
      </c>
      <c r="H24" s="44">
        <f t="shared" si="1"/>
        <v>2557</v>
      </c>
      <c r="I24" s="46">
        <v>2583</v>
      </c>
      <c r="J24" s="45">
        <v>2583</v>
      </c>
      <c r="K24" s="44">
        <f t="shared" si="2"/>
        <v>2583</v>
      </c>
      <c r="L24" s="46">
        <v>2603</v>
      </c>
      <c r="M24" s="45">
        <v>2603</v>
      </c>
      <c r="N24" s="44">
        <f t="shared" si="3"/>
        <v>2603</v>
      </c>
      <c r="O24" s="46">
        <v>2610.5</v>
      </c>
      <c r="P24" s="45">
        <v>2610.5</v>
      </c>
      <c r="Q24" s="44">
        <f t="shared" si="4"/>
        <v>2610.5</v>
      </c>
      <c r="R24" s="52">
        <v>2540</v>
      </c>
      <c r="S24" s="51">
        <v>1.3097000000000001</v>
      </c>
      <c r="T24" s="51">
        <v>1.1825000000000001</v>
      </c>
      <c r="U24" s="50">
        <v>104.67</v>
      </c>
      <c r="V24" s="43">
        <v>1939.38</v>
      </c>
      <c r="W24" s="43">
        <v>1951.16</v>
      </c>
      <c r="X24" s="49">
        <f t="shared" si="5"/>
        <v>2147.9915433403803</v>
      </c>
      <c r="Y24" s="48">
        <v>1.3105</v>
      </c>
    </row>
    <row r="25" spans="2:25" x14ac:dyDescent="0.2">
      <c r="B25" s="47">
        <v>44127</v>
      </c>
      <c r="C25" s="46">
        <v>2565.5</v>
      </c>
      <c r="D25" s="45">
        <v>2565.5</v>
      </c>
      <c r="E25" s="44">
        <f t="shared" si="0"/>
        <v>2565.5</v>
      </c>
      <c r="F25" s="46">
        <v>2580</v>
      </c>
      <c r="G25" s="45">
        <v>2580</v>
      </c>
      <c r="H25" s="44">
        <f t="shared" si="1"/>
        <v>2580</v>
      </c>
      <c r="I25" s="46">
        <v>2608</v>
      </c>
      <c r="J25" s="45">
        <v>2608</v>
      </c>
      <c r="K25" s="44">
        <f t="shared" si="2"/>
        <v>2608</v>
      </c>
      <c r="L25" s="46">
        <v>2625</v>
      </c>
      <c r="M25" s="45">
        <v>2625</v>
      </c>
      <c r="N25" s="44">
        <f t="shared" si="3"/>
        <v>2625</v>
      </c>
      <c r="O25" s="46">
        <v>2632.5</v>
      </c>
      <c r="P25" s="45">
        <v>2632.5</v>
      </c>
      <c r="Q25" s="44">
        <f t="shared" si="4"/>
        <v>2632.5</v>
      </c>
      <c r="R25" s="52">
        <v>2565.5</v>
      </c>
      <c r="S25" s="51">
        <v>1.3068</v>
      </c>
      <c r="T25" s="51">
        <v>1.1846000000000001</v>
      </c>
      <c r="U25" s="50">
        <v>104.78</v>
      </c>
      <c r="V25" s="43">
        <v>1963.19</v>
      </c>
      <c r="W25" s="43">
        <v>1972.93</v>
      </c>
      <c r="X25" s="49">
        <f t="shared" si="5"/>
        <v>2165.7099442849903</v>
      </c>
      <c r="Y25" s="48">
        <v>1.3077000000000001</v>
      </c>
    </row>
    <row r="26" spans="2:25" x14ac:dyDescent="0.2">
      <c r="B26" s="47">
        <v>44130</v>
      </c>
      <c r="C26" s="46">
        <v>2512.5</v>
      </c>
      <c r="D26" s="45">
        <v>2512.5</v>
      </c>
      <c r="E26" s="44">
        <f t="shared" si="0"/>
        <v>2512.5</v>
      </c>
      <c r="F26" s="46">
        <v>2526.5</v>
      </c>
      <c r="G26" s="45">
        <v>2526.5</v>
      </c>
      <c r="H26" s="44">
        <f t="shared" si="1"/>
        <v>2526.5</v>
      </c>
      <c r="I26" s="46">
        <v>2556.5</v>
      </c>
      <c r="J26" s="45">
        <v>2556.5</v>
      </c>
      <c r="K26" s="44">
        <f t="shared" si="2"/>
        <v>2556.5</v>
      </c>
      <c r="L26" s="46">
        <v>2574.5</v>
      </c>
      <c r="M26" s="45">
        <v>2574.5</v>
      </c>
      <c r="N26" s="44">
        <f t="shared" si="3"/>
        <v>2574.5</v>
      </c>
      <c r="O26" s="46">
        <v>2582</v>
      </c>
      <c r="P26" s="45">
        <v>2582</v>
      </c>
      <c r="Q26" s="44">
        <f t="shared" si="4"/>
        <v>2582</v>
      </c>
      <c r="R26" s="52">
        <v>2512.5</v>
      </c>
      <c r="S26" s="51">
        <v>1.3025</v>
      </c>
      <c r="T26" s="51">
        <v>1.1814</v>
      </c>
      <c r="U26" s="50">
        <v>105.02</v>
      </c>
      <c r="V26" s="43">
        <v>1928.98</v>
      </c>
      <c r="W26" s="43">
        <v>1938.39</v>
      </c>
      <c r="X26" s="49">
        <f t="shared" si="5"/>
        <v>2126.71406805485</v>
      </c>
      <c r="Y26" s="48">
        <v>1.3033999999999999</v>
      </c>
    </row>
    <row r="27" spans="2:25" x14ac:dyDescent="0.2">
      <c r="B27" s="47">
        <v>44131</v>
      </c>
      <c r="C27" s="46">
        <v>2538.5</v>
      </c>
      <c r="D27" s="45">
        <v>2538.5</v>
      </c>
      <c r="E27" s="44">
        <f t="shared" si="0"/>
        <v>2538.5</v>
      </c>
      <c r="F27" s="46">
        <v>2552.5</v>
      </c>
      <c r="G27" s="45">
        <v>2552.5</v>
      </c>
      <c r="H27" s="44">
        <f t="shared" si="1"/>
        <v>2552.5</v>
      </c>
      <c r="I27" s="46">
        <v>2583.5</v>
      </c>
      <c r="J27" s="45">
        <v>2583.5</v>
      </c>
      <c r="K27" s="44">
        <f t="shared" si="2"/>
        <v>2583.5</v>
      </c>
      <c r="L27" s="46">
        <v>2601.5</v>
      </c>
      <c r="M27" s="45">
        <v>2601.5</v>
      </c>
      <c r="N27" s="44">
        <f t="shared" si="3"/>
        <v>2601.5</v>
      </c>
      <c r="O27" s="46">
        <v>2609</v>
      </c>
      <c r="P27" s="45">
        <v>2609</v>
      </c>
      <c r="Q27" s="44">
        <f t="shared" si="4"/>
        <v>2609</v>
      </c>
      <c r="R27" s="52">
        <v>2538.5</v>
      </c>
      <c r="S27" s="51">
        <v>1.3029999999999999</v>
      </c>
      <c r="T27" s="51">
        <v>1.1828000000000001</v>
      </c>
      <c r="U27" s="50">
        <v>104.67</v>
      </c>
      <c r="V27" s="43">
        <v>1948.2</v>
      </c>
      <c r="W27" s="43">
        <v>1957.59</v>
      </c>
      <c r="X27" s="49">
        <f t="shared" si="5"/>
        <v>2146.1785593506929</v>
      </c>
      <c r="Y27" s="48">
        <v>1.3039000000000001</v>
      </c>
    </row>
    <row r="28" spans="2:25" x14ac:dyDescent="0.2">
      <c r="B28" s="47">
        <v>44132</v>
      </c>
      <c r="C28" s="46">
        <v>2522.5</v>
      </c>
      <c r="D28" s="45">
        <v>2522.5</v>
      </c>
      <c r="E28" s="44">
        <f t="shared" si="0"/>
        <v>2522.5</v>
      </c>
      <c r="F28" s="46">
        <v>2534</v>
      </c>
      <c r="G28" s="45">
        <v>2534</v>
      </c>
      <c r="H28" s="44">
        <f t="shared" si="1"/>
        <v>2534</v>
      </c>
      <c r="I28" s="46">
        <v>2562</v>
      </c>
      <c r="J28" s="45">
        <v>2562</v>
      </c>
      <c r="K28" s="44">
        <f t="shared" si="2"/>
        <v>2562</v>
      </c>
      <c r="L28" s="46">
        <v>2580</v>
      </c>
      <c r="M28" s="45">
        <v>2580</v>
      </c>
      <c r="N28" s="44">
        <f t="shared" si="3"/>
        <v>2580</v>
      </c>
      <c r="O28" s="46">
        <v>2587.5</v>
      </c>
      <c r="P28" s="45">
        <v>2587.5</v>
      </c>
      <c r="Q28" s="44">
        <f t="shared" si="4"/>
        <v>2587.5</v>
      </c>
      <c r="R28" s="52">
        <v>2522.5</v>
      </c>
      <c r="S28" s="51">
        <v>1.2941</v>
      </c>
      <c r="T28" s="51">
        <v>1.1727000000000001</v>
      </c>
      <c r="U28" s="50">
        <v>104.39</v>
      </c>
      <c r="V28" s="43">
        <v>1949.23</v>
      </c>
      <c r="W28" s="43">
        <v>1956.91</v>
      </c>
      <c r="X28" s="49">
        <f t="shared" si="5"/>
        <v>2151.0190159461072</v>
      </c>
      <c r="Y28" s="48">
        <v>1.2948999999999999</v>
      </c>
    </row>
    <row r="29" spans="2:25" x14ac:dyDescent="0.2">
      <c r="B29" s="47">
        <v>44133</v>
      </c>
      <c r="C29" s="46">
        <v>2503</v>
      </c>
      <c r="D29" s="45">
        <v>2503</v>
      </c>
      <c r="E29" s="44">
        <f t="shared" si="0"/>
        <v>2503</v>
      </c>
      <c r="F29" s="46">
        <v>2516</v>
      </c>
      <c r="G29" s="45">
        <v>2516</v>
      </c>
      <c r="H29" s="44">
        <f t="shared" si="1"/>
        <v>2516</v>
      </c>
      <c r="I29" s="46">
        <v>2544</v>
      </c>
      <c r="J29" s="45">
        <v>2544</v>
      </c>
      <c r="K29" s="44">
        <f t="shared" si="2"/>
        <v>2544</v>
      </c>
      <c r="L29" s="46">
        <v>2558.5</v>
      </c>
      <c r="M29" s="45">
        <v>2558.5</v>
      </c>
      <c r="N29" s="44">
        <f t="shared" si="3"/>
        <v>2558.5</v>
      </c>
      <c r="O29" s="46">
        <v>2556.5</v>
      </c>
      <c r="P29" s="45">
        <v>2556.5</v>
      </c>
      <c r="Q29" s="44">
        <f t="shared" si="4"/>
        <v>2556.5</v>
      </c>
      <c r="R29" s="52">
        <v>2503</v>
      </c>
      <c r="S29" s="51">
        <v>1.2935000000000001</v>
      </c>
      <c r="T29" s="51">
        <v>1.1704000000000001</v>
      </c>
      <c r="U29" s="50">
        <v>104.37</v>
      </c>
      <c r="V29" s="43">
        <v>1935.06</v>
      </c>
      <c r="W29" s="43">
        <v>1943.76</v>
      </c>
      <c r="X29" s="49">
        <f t="shared" si="5"/>
        <v>2138.5850991114148</v>
      </c>
      <c r="Y29" s="48">
        <v>1.2944</v>
      </c>
    </row>
    <row r="30" spans="2:25" x14ac:dyDescent="0.2">
      <c r="B30" s="47">
        <v>44134</v>
      </c>
      <c r="C30" s="46">
        <v>2524.5</v>
      </c>
      <c r="D30" s="45">
        <v>2524.5</v>
      </c>
      <c r="E30" s="44">
        <f t="shared" si="0"/>
        <v>2524.5</v>
      </c>
      <c r="F30" s="46">
        <v>2536.5</v>
      </c>
      <c r="G30" s="45">
        <v>2536.5</v>
      </c>
      <c r="H30" s="44">
        <f t="shared" si="1"/>
        <v>2536.5</v>
      </c>
      <c r="I30" s="46">
        <v>2567</v>
      </c>
      <c r="J30" s="45">
        <v>2567</v>
      </c>
      <c r="K30" s="44">
        <f t="shared" si="2"/>
        <v>2567</v>
      </c>
      <c r="L30" s="46">
        <v>2581.5</v>
      </c>
      <c r="M30" s="45">
        <v>2581.5</v>
      </c>
      <c r="N30" s="44">
        <f t="shared" si="3"/>
        <v>2581.5</v>
      </c>
      <c r="O30" s="46">
        <v>2579.5</v>
      </c>
      <c r="P30" s="45">
        <v>2579.5</v>
      </c>
      <c r="Q30" s="44">
        <f t="shared" si="4"/>
        <v>2579.5</v>
      </c>
      <c r="R30" s="52">
        <v>2524.5</v>
      </c>
      <c r="S30" s="51">
        <v>1.2972999999999999</v>
      </c>
      <c r="T30" s="51">
        <v>1.1700999999999999</v>
      </c>
      <c r="U30" s="50">
        <v>104.48</v>
      </c>
      <c r="V30" s="43">
        <v>1945.96</v>
      </c>
      <c r="W30" s="43">
        <v>1953.86</v>
      </c>
      <c r="X30" s="49">
        <f t="shared" si="5"/>
        <v>2157.5079053072391</v>
      </c>
      <c r="Y30" s="48">
        <v>1.2982</v>
      </c>
    </row>
    <row r="31" spans="2:25" s="10" customFormat="1" x14ac:dyDescent="0.2">
      <c r="B31" s="42" t="s">
        <v>11</v>
      </c>
      <c r="C31" s="41">
        <f>ROUND(AVERAGE(C9:C30),2)</f>
        <v>2441.5500000000002</v>
      </c>
      <c r="D31" s="40">
        <f>ROUND(AVERAGE(D9:D30),2)</f>
        <v>2441.5500000000002</v>
      </c>
      <c r="E31" s="39">
        <f>ROUND(AVERAGE(C31:D31),2)</f>
        <v>2441.5500000000002</v>
      </c>
      <c r="F31" s="41">
        <f>ROUND(AVERAGE(F9:F30),2)</f>
        <v>2458.41</v>
      </c>
      <c r="G31" s="40">
        <f>ROUND(AVERAGE(G9:G30),2)</f>
        <v>2458.41</v>
      </c>
      <c r="H31" s="39">
        <f>ROUND(AVERAGE(F31:G31),2)</f>
        <v>2458.41</v>
      </c>
      <c r="I31" s="41">
        <f>ROUND(AVERAGE(I9:I30),2)</f>
        <v>2496.73</v>
      </c>
      <c r="J31" s="40">
        <f>ROUND(AVERAGE(J9:J30),2)</f>
        <v>2496.73</v>
      </c>
      <c r="K31" s="39">
        <f>ROUND(AVERAGE(I31:J31),2)</f>
        <v>2496.73</v>
      </c>
      <c r="L31" s="41">
        <f>ROUND(AVERAGE(L9:L30),2)</f>
        <v>2523.0500000000002</v>
      </c>
      <c r="M31" s="40">
        <f>ROUND(AVERAGE(M9:M30),2)</f>
        <v>2523.0500000000002</v>
      </c>
      <c r="N31" s="39">
        <f>ROUND(AVERAGE(L31:M31),2)</f>
        <v>2523.0500000000002</v>
      </c>
      <c r="O31" s="41">
        <f>ROUND(AVERAGE(O9:O30),2)</f>
        <v>2529.6799999999998</v>
      </c>
      <c r="P31" s="40">
        <f>ROUND(AVERAGE(P9:P30),2)</f>
        <v>2529.6799999999998</v>
      </c>
      <c r="Q31" s="39">
        <f>ROUND(AVERAGE(O31:P31),2)</f>
        <v>2529.6799999999998</v>
      </c>
      <c r="R31" s="38">
        <f>ROUND(AVERAGE(R9:R30),2)</f>
        <v>2441.5500000000002</v>
      </c>
      <c r="S31" s="37">
        <f>ROUND(AVERAGE(S9:S30),4)</f>
        <v>1.2977000000000001</v>
      </c>
      <c r="T31" s="36">
        <f>ROUND(AVERAGE(T9:T30),4)</f>
        <v>1.1775</v>
      </c>
      <c r="U31" s="175">
        <f>ROUND(AVERAGE(U9:U30),2)</f>
        <v>105.22</v>
      </c>
      <c r="V31" s="35">
        <f>AVERAGE(V9:V30)</f>
        <v>1881.3172727272724</v>
      </c>
      <c r="W31" s="35">
        <f>AVERAGE(W9:W30)</f>
        <v>1893.1250000000002</v>
      </c>
      <c r="X31" s="35">
        <f>AVERAGE(X9:X30)</f>
        <v>2073.4722071147135</v>
      </c>
      <c r="Y31" s="34">
        <f>AVERAGE(Y9:Y30)</f>
        <v>1.2985045454545454</v>
      </c>
    </row>
    <row r="32" spans="2:25" s="5" customFormat="1" x14ac:dyDescent="0.2">
      <c r="B32" s="33" t="s">
        <v>12</v>
      </c>
      <c r="C32" s="32">
        <f t="shared" ref="C32:Y32" si="6">MAX(C9:C30)</f>
        <v>2565.5</v>
      </c>
      <c r="D32" s="31">
        <f t="shared" si="6"/>
        <v>2565.5</v>
      </c>
      <c r="E32" s="30">
        <f t="shared" si="6"/>
        <v>2565.5</v>
      </c>
      <c r="F32" s="32">
        <f t="shared" si="6"/>
        <v>2580</v>
      </c>
      <c r="G32" s="31">
        <f t="shared" si="6"/>
        <v>2580</v>
      </c>
      <c r="H32" s="30">
        <f t="shared" si="6"/>
        <v>2580</v>
      </c>
      <c r="I32" s="32">
        <f t="shared" si="6"/>
        <v>2608</v>
      </c>
      <c r="J32" s="31">
        <f t="shared" si="6"/>
        <v>2608</v>
      </c>
      <c r="K32" s="30">
        <f t="shared" si="6"/>
        <v>2608</v>
      </c>
      <c r="L32" s="32">
        <f t="shared" si="6"/>
        <v>2628</v>
      </c>
      <c r="M32" s="31">
        <f t="shared" si="6"/>
        <v>2628</v>
      </c>
      <c r="N32" s="30">
        <f t="shared" si="6"/>
        <v>2628</v>
      </c>
      <c r="O32" s="32">
        <f t="shared" si="6"/>
        <v>2635.5</v>
      </c>
      <c r="P32" s="31">
        <f t="shared" si="6"/>
        <v>2635.5</v>
      </c>
      <c r="Q32" s="30">
        <f t="shared" si="6"/>
        <v>2635.5</v>
      </c>
      <c r="R32" s="29">
        <f t="shared" si="6"/>
        <v>2565.5</v>
      </c>
      <c r="S32" s="28">
        <f t="shared" si="6"/>
        <v>1.3097000000000001</v>
      </c>
      <c r="T32" s="27">
        <f t="shared" si="6"/>
        <v>1.1852</v>
      </c>
      <c r="U32" s="26">
        <f t="shared" si="6"/>
        <v>106.02</v>
      </c>
      <c r="V32" s="25">
        <f t="shared" si="6"/>
        <v>1963.19</v>
      </c>
      <c r="W32" s="25">
        <f t="shared" si="6"/>
        <v>1972.93</v>
      </c>
      <c r="X32" s="25">
        <f t="shared" si="6"/>
        <v>2165.7099442849903</v>
      </c>
      <c r="Y32" s="24">
        <f t="shared" si="6"/>
        <v>1.3105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2298</v>
      </c>
      <c r="D33" s="21">
        <f t="shared" si="7"/>
        <v>2298</v>
      </c>
      <c r="E33" s="20">
        <f t="shared" si="7"/>
        <v>2298</v>
      </c>
      <c r="F33" s="22">
        <f t="shared" si="7"/>
        <v>2316</v>
      </c>
      <c r="G33" s="21">
        <f t="shared" si="7"/>
        <v>2316</v>
      </c>
      <c r="H33" s="20">
        <f t="shared" si="7"/>
        <v>2316</v>
      </c>
      <c r="I33" s="22">
        <f t="shared" si="7"/>
        <v>2366</v>
      </c>
      <c r="J33" s="21">
        <f t="shared" si="7"/>
        <v>2366</v>
      </c>
      <c r="K33" s="20">
        <f t="shared" si="7"/>
        <v>2366</v>
      </c>
      <c r="L33" s="22">
        <f t="shared" si="7"/>
        <v>2397</v>
      </c>
      <c r="M33" s="21">
        <f t="shared" si="7"/>
        <v>2397</v>
      </c>
      <c r="N33" s="20">
        <f t="shared" si="7"/>
        <v>2397</v>
      </c>
      <c r="O33" s="22">
        <f t="shared" si="7"/>
        <v>2404.5</v>
      </c>
      <c r="P33" s="21">
        <f t="shared" si="7"/>
        <v>2404.5</v>
      </c>
      <c r="Q33" s="20">
        <f t="shared" si="7"/>
        <v>2404.5</v>
      </c>
      <c r="R33" s="19">
        <f t="shared" si="7"/>
        <v>2298</v>
      </c>
      <c r="S33" s="18">
        <f t="shared" si="7"/>
        <v>1.2878000000000001</v>
      </c>
      <c r="T33" s="17">
        <f t="shared" si="7"/>
        <v>1.1700999999999999</v>
      </c>
      <c r="U33" s="16">
        <f t="shared" si="7"/>
        <v>104.37</v>
      </c>
      <c r="V33" s="15">
        <f t="shared" si="7"/>
        <v>1774.11</v>
      </c>
      <c r="W33" s="15">
        <f t="shared" si="7"/>
        <v>1786.9</v>
      </c>
      <c r="X33" s="15">
        <f t="shared" si="7"/>
        <v>1953.2511687207818</v>
      </c>
      <c r="Y33" s="14">
        <f t="shared" si="7"/>
        <v>1.2885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Q36" sqref="Q36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44105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44105</v>
      </c>
      <c r="C9" s="46">
        <v>1809.5</v>
      </c>
      <c r="D9" s="45">
        <v>1809.5</v>
      </c>
      <c r="E9" s="44">
        <f t="shared" ref="E9:E30" si="0">AVERAGE(C9:D9)</f>
        <v>1809.5</v>
      </c>
      <c r="F9" s="46">
        <v>1832.5</v>
      </c>
      <c r="G9" s="45">
        <v>1832.5</v>
      </c>
      <c r="H9" s="44">
        <f t="shared" ref="H9:H30" si="1">AVERAGE(F9:G9)</f>
        <v>1832.5</v>
      </c>
      <c r="I9" s="46">
        <v>1878.5</v>
      </c>
      <c r="J9" s="45">
        <v>1878.5</v>
      </c>
      <c r="K9" s="44">
        <f t="shared" ref="K9:K30" si="2">AVERAGE(I9:J9)</f>
        <v>1878.5</v>
      </c>
      <c r="L9" s="46">
        <v>1908.5</v>
      </c>
      <c r="M9" s="45">
        <v>1908.5</v>
      </c>
      <c r="N9" s="44">
        <f t="shared" ref="N9:N30" si="3">AVERAGE(L9:M9)</f>
        <v>1908.5</v>
      </c>
      <c r="O9" s="46">
        <v>1938.5</v>
      </c>
      <c r="P9" s="45">
        <v>1938.5</v>
      </c>
      <c r="Q9" s="44">
        <f t="shared" ref="Q9:Q30" si="4">AVERAGE(O9:P9)</f>
        <v>1938.5</v>
      </c>
      <c r="R9" s="52">
        <v>1809.5</v>
      </c>
      <c r="S9" s="51">
        <v>1.2966</v>
      </c>
      <c r="T9" s="53">
        <v>1.1763999999999999</v>
      </c>
      <c r="U9" s="50">
        <v>105.47</v>
      </c>
      <c r="V9" s="43">
        <v>1395.57</v>
      </c>
      <c r="W9" s="43">
        <v>1412.33</v>
      </c>
      <c r="X9" s="49">
        <f t="shared" ref="X9:X30" si="5">R9/T9</f>
        <v>1538.1672900374024</v>
      </c>
      <c r="Y9" s="48">
        <v>1.2975000000000001</v>
      </c>
    </row>
    <row r="10" spans="1:25" x14ac:dyDescent="0.2">
      <c r="B10" s="47">
        <v>44106</v>
      </c>
      <c r="C10" s="46">
        <v>1763</v>
      </c>
      <c r="D10" s="45">
        <v>1763</v>
      </c>
      <c r="E10" s="44">
        <f t="shared" si="0"/>
        <v>1763</v>
      </c>
      <c r="F10" s="46">
        <v>1783.5</v>
      </c>
      <c r="G10" s="45">
        <v>1783.5</v>
      </c>
      <c r="H10" s="44">
        <f t="shared" si="1"/>
        <v>1783.5</v>
      </c>
      <c r="I10" s="46">
        <v>1828.5</v>
      </c>
      <c r="J10" s="45">
        <v>1828.5</v>
      </c>
      <c r="K10" s="44">
        <f t="shared" si="2"/>
        <v>1828.5</v>
      </c>
      <c r="L10" s="46">
        <v>1858.5</v>
      </c>
      <c r="M10" s="45">
        <v>1858.5</v>
      </c>
      <c r="N10" s="44">
        <f t="shared" si="3"/>
        <v>1858.5</v>
      </c>
      <c r="O10" s="46">
        <v>1888.5</v>
      </c>
      <c r="P10" s="45">
        <v>1888.5</v>
      </c>
      <c r="Q10" s="44">
        <f t="shared" si="4"/>
        <v>1888.5</v>
      </c>
      <c r="R10" s="52">
        <v>1763</v>
      </c>
      <c r="S10" s="51">
        <v>1.294</v>
      </c>
      <c r="T10" s="51">
        <v>1.1725000000000001</v>
      </c>
      <c r="U10" s="50">
        <v>105.18</v>
      </c>
      <c r="V10" s="43">
        <v>1362.44</v>
      </c>
      <c r="W10" s="43">
        <v>1377.43</v>
      </c>
      <c r="X10" s="49">
        <f t="shared" si="5"/>
        <v>1503.6247334754796</v>
      </c>
      <c r="Y10" s="48">
        <v>1.2948</v>
      </c>
    </row>
    <row r="11" spans="1:25" x14ac:dyDescent="0.2">
      <c r="B11" s="47">
        <v>44109</v>
      </c>
      <c r="C11" s="46">
        <v>1744.5</v>
      </c>
      <c r="D11" s="45">
        <v>1744.5</v>
      </c>
      <c r="E11" s="44">
        <f t="shared" si="0"/>
        <v>1744.5</v>
      </c>
      <c r="F11" s="46">
        <v>1765</v>
      </c>
      <c r="G11" s="45">
        <v>1765</v>
      </c>
      <c r="H11" s="44">
        <f t="shared" si="1"/>
        <v>1765</v>
      </c>
      <c r="I11" s="46">
        <v>1810.5</v>
      </c>
      <c r="J11" s="45">
        <v>1810.5</v>
      </c>
      <c r="K11" s="44">
        <f t="shared" si="2"/>
        <v>1810.5</v>
      </c>
      <c r="L11" s="46">
        <v>1840.5</v>
      </c>
      <c r="M11" s="45">
        <v>1840.5</v>
      </c>
      <c r="N11" s="44">
        <f t="shared" si="3"/>
        <v>1840.5</v>
      </c>
      <c r="O11" s="46">
        <v>1870.5</v>
      </c>
      <c r="P11" s="45">
        <v>1870.5</v>
      </c>
      <c r="Q11" s="44">
        <f t="shared" si="4"/>
        <v>1870.5</v>
      </c>
      <c r="R11" s="52">
        <v>1744.5</v>
      </c>
      <c r="S11" s="51">
        <v>1.2952999999999999</v>
      </c>
      <c r="T11" s="51">
        <v>1.1765000000000001</v>
      </c>
      <c r="U11" s="50">
        <v>105.61</v>
      </c>
      <c r="V11" s="43">
        <v>1346.79</v>
      </c>
      <c r="W11" s="43">
        <v>1361.78</v>
      </c>
      <c r="X11" s="49">
        <f t="shared" si="5"/>
        <v>1482.7879303017423</v>
      </c>
      <c r="Y11" s="48">
        <v>1.2961</v>
      </c>
    </row>
    <row r="12" spans="1:25" x14ac:dyDescent="0.2">
      <c r="B12" s="47">
        <v>44110</v>
      </c>
      <c r="C12" s="46">
        <v>1759</v>
      </c>
      <c r="D12" s="45">
        <v>1759</v>
      </c>
      <c r="E12" s="44">
        <f t="shared" si="0"/>
        <v>1759</v>
      </c>
      <c r="F12" s="46">
        <v>1778.5</v>
      </c>
      <c r="G12" s="45">
        <v>1778.5</v>
      </c>
      <c r="H12" s="44">
        <f t="shared" si="1"/>
        <v>1778.5</v>
      </c>
      <c r="I12" s="46">
        <v>1823.5</v>
      </c>
      <c r="J12" s="45">
        <v>1823.5</v>
      </c>
      <c r="K12" s="44">
        <f t="shared" si="2"/>
        <v>1823.5</v>
      </c>
      <c r="L12" s="46">
        <v>1853.5</v>
      </c>
      <c r="M12" s="45">
        <v>1853.5</v>
      </c>
      <c r="N12" s="44">
        <f t="shared" si="3"/>
        <v>1853.5</v>
      </c>
      <c r="O12" s="46">
        <v>1883.5</v>
      </c>
      <c r="P12" s="45">
        <v>1883.5</v>
      </c>
      <c r="Q12" s="44">
        <f t="shared" si="4"/>
        <v>1883.5</v>
      </c>
      <c r="R12" s="52">
        <v>1759</v>
      </c>
      <c r="S12" s="51">
        <v>1.2952999999999999</v>
      </c>
      <c r="T12" s="51">
        <v>1.1796</v>
      </c>
      <c r="U12" s="50">
        <v>105.62</v>
      </c>
      <c r="V12" s="43">
        <v>1357.99</v>
      </c>
      <c r="W12" s="43">
        <v>1372.19</v>
      </c>
      <c r="X12" s="49">
        <f t="shared" si="5"/>
        <v>1491.183452017633</v>
      </c>
      <c r="Y12" s="48">
        <v>1.2961</v>
      </c>
    </row>
    <row r="13" spans="1:25" x14ac:dyDescent="0.2">
      <c r="B13" s="47">
        <v>44111</v>
      </c>
      <c r="C13" s="46">
        <v>1777</v>
      </c>
      <c r="D13" s="45">
        <v>1777</v>
      </c>
      <c r="E13" s="44">
        <f t="shared" si="0"/>
        <v>1777</v>
      </c>
      <c r="F13" s="46">
        <v>1793</v>
      </c>
      <c r="G13" s="45">
        <v>1793</v>
      </c>
      <c r="H13" s="44">
        <f t="shared" si="1"/>
        <v>1793</v>
      </c>
      <c r="I13" s="46">
        <v>2017.5</v>
      </c>
      <c r="J13" s="45">
        <v>2017.5</v>
      </c>
      <c r="K13" s="44">
        <f t="shared" si="2"/>
        <v>2017.5</v>
      </c>
      <c r="L13" s="46">
        <v>2047.5</v>
      </c>
      <c r="M13" s="45">
        <v>2047.5</v>
      </c>
      <c r="N13" s="44">
        <f t="shared" si="3"/>
        <v>2047.5</v>
      </c>
      <c r="O13" s="46">
        <v>2077.5</v>
      </c>
      <c r="P13" s="45">
        <v>2077.5</v>
      </c>
      <c r="Q13" s="44">
        <f t="shared" si="4"/>
        <v>2077.5</v>
      </c>
      <c r="R13" s="52">
        <v>1777</v>
      </c>
      <c r="S13" s="51">
        <v>1.2878000000000001</v>
      </c>
      <c r="T13" s="51">
        <v>1.1774</v>
      </c>
      <c r="U13" s="50">
        <v>106.02</v>
      </c>
      <c r="V13" s="43">
        <v>1379.87</v>
      </c>
      <c r="W13" s="43">
        <v>1391.54</v>
      </c>
      <c r="X13" s="49">
        <f t="shared" si="5"/>
        <v>1509.2576864277221</v>
      </c>
      <c r="Y13" s="48">
        <v>1.2885</v>
      </c>
    </row>
    <row r="14" spans="1:25" x14ac:dyDescent="0.2">
      <c r="B14" s="47">
        <v>44112</v>
      </c>
      <c r="C14" s="46">
        <v>1779</v>
      </c>
      <c r="D14" s="45">
        <v>1779</v>
      </c>
      <c r="E14" s="44">
        <f t="shared" si="0"/>
        <v>1779</v>
      </c>
      <c r="F14" s="46">
        <v>1794</v>
      </c>
      <c r="G14" s="45">
        <v>1794</v>
      </c>
      <c r="H14" s="44">
        <f t="shared" si="1"/>
        <v>1794</v>
      </c>
      <c r="I14" s="46">
        <v>1838</v>
      </c>
      <c r="J14" s="45">
        <v>1838</v>
      </c>
      <c r="K14" s="44">
        <f t="shared" si="2"/>
        <v>1838</v>
      </c>
      <c r="L14" s="46">
        <v>1868</v>
      </c>
      <c r="M14" s="45">
        <v>1868</v>
      </c>
      <c r="N14" s="44">
        <f t="shared" si="3"/>
        <v>1868</v>
      </c>
      <c r="O14" s="46">
        <v>1898</v>
      </c>
      <c r="P14" s="45">
        <v>1898</v>
      </c>
      <c r="Q14" s="44">
        <f t="shared" si="4"/>
        <v>1898</v>
      </c>
      <c r="R14" s="52">
        <v>1779</v>
      </c>
      <c r="S14" s="51">
        <v>1.2904</v>
      </c>
      <c r="T14" s="51">
        <v>1.1759999999999999</v>
      </c>
      <c r="U14" s="50">
        <v>106.01</v>
      </c>
      <c r="V14" s="43">
        <v>1378.64</v>
      </c>
      <c r="W14" s="43">
        <v>1389.51</v>
      </c>
      <c r="X14" s="49">
        <f t="shared" si="5"/>
        <v>1512.7551020408164</v>
      </c>
      <c r="Y14" s="48">
        <v>1.2910999999999999</v>
      </c>
    </row>
    <row r="15" spans="1:25" x14ac:dyDescent="0.2">
      <c r="B15" s="47">
        <v>44113</v>
      </c>
      <c r="C15" s="46">
        <v>1779.5</v>
      </c>
      <c r="D15" s="45">
        <v>1779.5</v>
      </c>
      <c r="E15" s="44">
        <f t="shared" si="0"/>
        <v>1779.5</v>
      </c>
      <c r="F15" s="46">
        <v>1794</v>
      </c>
      <c r="G15" s="45">
        <v>1794</v>
      </c>
      <c r="H15" s="44">
        <f t="shared" si="1"/>
        <v>1794</v>
      </c>
      <c r="I15" s="46">
        <v>1838</v>
      </c>
      <c r="J15" s="45">
        <v>1838</v>
      </c>
      <c r="K15" s="44">
        <f t="shared" si="2"/>
        <v>1838</v>
      </c>
      <c r="L15" s="46">
        <v>1868</v>
      </c>
      <c r="M15" s="45">
        <v>1868</v>
      </c>
      <c r="N15" s="44">
        <f t="shared" si="3"/>
        <v>1868</v>
      </c>
      <c r="O15" s="46">
        <v>1898</v>
      </c>
      <c r="P15" s="45">
        <v>1898</v>
      </c>
      <c r="Q15" s="44">
        <f t="shared" si="4"/>
        <v>1898</v>
      </c>
      <c r="R15" s="52">
        <v>1779.5</v>
      </c>
      <c r="S15" s="51">
        <v>1.2943</v>
      </c>
      <c r="T15" s="51">
        <v>1.18</v>
      </c>
      <c r="U15" s="50">
        <v>105.92</v>
      </c>
      <c r="V15" s="43">
        <v>1374.87</v>
      </c>
      <c r="W15" s="43">
        <v>1385.22</v>
      </c>
      <c r="X15" s="49">
        <f t="shared" si="5"/>
        <v>1508.0508474576272</v>
      </c>
      <c r="Y15" s="48">
        <v>1.2950999999999999</v>
      </c>
    </row>
    <row r="16" spans="1:25" x14ac:dyDescent="0.2">
      <c r="B16" s="47">
        <v>44116</v>
      </c>
      <c r="C16" s="46">
        <v>1823.5</v>
      </c>
      <c r="D16" s="45">
        <v>1823.5</v>
      </c>
      <c r="E16" s="44">
        <f t="shared" si="0"/>
        <v>1823.5</v>
      </c>
      <c r="F16" s="46">
        <v>1829</v>
      </c>
      <c r="G16" s="45">
        <v>1829</v>
      </c>
      <c r="H16" s="44">
        <f t="shared" si="1"/>
        <v>1829</v>
      </c>
      <c r="I16" s="46">
        <v>1869.5</v>
      </c>
      <c r="J16" s="45">
        <v>1869.5</v>
      </c>
      <c r="K16" s="44">
        <f t="shared" si="2"/>
        <v>1869.5</v>
      </c>
      <c r="L16" s="46">
        <v>1899.5</v>
      </c>
      <c r="M16" s="45">
        <v>1899.5</v>
      </c>
      <c r="N16" s="44">
        <f t="shared" si="3"/>
        <v>1899.5</v>
      </c>
      <c r="O16" s="46">
        <v>1929.5</v>
      </c>
      <c r="P16" s="45">
        <v>1929.5</v>
      </c>
      <c r="Q16" s="44">
        <f t="shared" si="4"/>
        <v>1929.5</v>
      </c>
      <c r="R16" s="52">
        <v>1823.5</v>
      </c>
      <c r="S16" s="51">
        <v>1.3022</v>
      </c>
      <c r="T16" s="51">
        <v>1.1795</v>
      </c>
      <c r="U16" s="50">
        <v>105.46</v>
      </c>
      <c r="V16" s="43">
        <v>1400.32</v>
      </c>
      <c r="W16" s="43">
        <v>1403.68</v>
      </c>
      <c r="X16" s="49">
        <f t="shared" si="5"/>
        <v>1545.9940652818991</v>
      </c>
      <c r="Y16" s="48">
        <v>1.3029999999999999</v>
      </c>
    </row>
    <row r="17" spans="2:25" x14ac:dyDescent="0.2">
      <c r="B17" s="47">
        <v>44117</v>
      </c>
      <c r="C17" s="46">
        <v>1826.5</v>
      </c>
      <c r="D17" s="45">
        <v>1826.5</v>
      </c>
      <c r="E17" s="44">
        <f t="shared" si="0"/>
        <v>1826.5</v>
      </c>
      <c r="F17" s="46">
        <v>1837.5</v>
      </c>
      <c r="G17" s="45">
        <v>1837.5</v>
      </c>
      <c r="H17" s="44">
        <f t="shared" si="1"/>
        <v>1837.5</v>
      </c>
      <c r="I17" s="46">
        <v>1878</v>
      </c>
      <c r="J17" s="45">
        <v>1878</v>
      </c>
      <c r="K17" s="44">
        <f t="shared" si="2"/>
        <v>1878</v>
      </c>
      <c r="L17" s="46">
        <v>1908</v>
      </c>
      <c r="M17" s="45">
        <v>1908</v>
      </c>
      <c r="N17" s="44">
        <f t="shared" si="3"/>
        <v>1908</v>
      </c>
      <c r="O17" s="46">
        <v>1938</v>
      </c>
      <c r="P17" s="45">
        <v>1938</v>
      </c>
      <c r="Q17" s="44">
        <f t="shared" si="4"/>
        <v>1938</v>
      </c>
      <c r="R17" s="52">
        <v>1826.5</v>
      </c>
      <c r="S17" s="51">
        <v>1.3031999999999999</v>
      </c>
      <c r="T17" s="51">
        <v>1.1789000000000001</v>
      </c>
      <c r="U17" s="50">
        <v>105.51</v>
      </c>
      <c r="V17" s="43">
        <v>1401.55</v>
      </c>
      <c r="W17" s="43">
        <v>1409.13</v>
      </c>
      <c r="X17" s="49">
        <f t="shared" si="5"/>
        <v>1549.3256425481379</v>
      </c>
      <c r="Y17" s="48">
        <v>1.304</v>
      </c>
    </row>
    <row r="18" spans="2:25" x14ac:dyDescent="0.2">
      <c r="B18" s="47">
        <v>44118</v>
      </c>
      <c r="C18" s="46">
        <v>1771.5</v>
      </c>
      <c r="D18" s="45">
        <v>1771.5</v>
      </c>
      <c r="E18" s="44">
        <f t="shared" si="0"/>
        <v>1771.5</v>
      </c>
      <c r="F18" s="46">
        <v>1789.5</v>
      </c>
      <c r="G18" s="45">
        <v>1789.5</v>
      </c>
      <c r="H18" s="44">
        <f t="shared" si="1"/>
        <v>1789.5</v>
      </c>
      <c r="I18" s="46">
        <v>1829</v>
      </c>
      <c r="J18" s="45">
        <v>1829</v>
      </c>
      <c r="K18" s="44">
        <f t="shared" si="2"/>
        <v>1829</v>
      </c>
      <c r="L18" s="46">
        <v>1859</v>
      </c>
      <c r="M18" s="45">
        <v>1859</v>
      </c>
      <c r="N18" s="44">
        <f t="shared" si="3"/>
        <v>1859</v>
      </c>
      <c r="O18" s="46">
        <v>1889</v>
      </c>
      <c r="P18" s="45">
        <v>1889</v>
      </c>
      <c r="Q18" s="44">
        <f t="shared" si="4"/>
        <v>1889</v>
      </c>
      <c r="R18" s="52">
        <v>1771.5</v>
      </c>
      <c r="S18" s="51">
        <v>1.2982</v>
      </c>
      <c r="T18" s="51">
        <v>1.1748000000000001</v>
      </c>
      <c r="U18" s="50">
        <v>105.34</v>
      </c>
      <c r="V18" s="43">
        <v>1364.58</v>
      </c>
      <c r="W18" s="43">
        <v>1377.6</v>
      </c>
      <c r="X18" s="49">
        <f t="shared" si="5"/>
        <v>1507.9162410623085</v>
      </c>
      <c r="Y18" s="48">
        <v>1.2989999999999999</v>
      </c>
    </row>
    <row r="19" spans="2:25" x14ac:dyDescent="0.2">
      <c r="B19" s="47">
        <v>44119</v>
      </c>
      <c r="C19" s="46">
        <v>1754.5</v>
      </c>
      <c r="D19" s="45">
        <v>1754.5</v>
      </c>
      <c r="E19" s="44">
        <f t="shared" si="0"/>
        <v>1754.5</v>
      </c>
      <c r="F19" s="46">
        <v>1772</v>
      </c>
      <c r="G19" s="45">
        <v>1772</v>
      </c>
      <c r="H19" s="44">
        <f t="shared" si="1"/>
        <v>1772</v>
      </c>
      <c r="I19" s="46">
        <v>1812</v>
      </c>
      <c r="J19" s="45">
        <v>1812</v>
      </c>
      <c r="K19" s="44">
        <f t="shared" si="2"/>
        <v>1812</v>
      </c>
      <c r="L19" s="46">
        <v>1842</v>
      </c>
      <c r="M19" s="45">
        <v>1842</v>
      </c>
      <c r="N19" s="44">
        <f t="shared" si="3"/>
        <v>1842</v>
      </c>
      <c r="O19" s="46">
        <v>1872</v>
      </c>
      <c r="P19" s="45">
        <v>1872</v>
      </c>
      <c r="Q19" s="44">
        <f t="shared" si="4"/>
        <v>1872</v>
      </c>
      <c r="R19" s="52">
        <v>1754.5</v>
      </c>
      <c r="S19" s="51">
        <v>1.2927</v>
      </c>
      <c r="T19" s="51">
        <v>1.1708000000000001</v>
      </c>
      <c r="U19" s="50">
        <v>105.27</v>
      </c>
      <c r="V19" s="43">
        <v>1357.24</v>
      </c>
      <c r="W19" s="43">
        <v>1369.93</v>
      </c>
      <c r="X19" s="49">
        <f t="shared" si="5"/>
        <v>1498.548001366587</v>
      </c>
      <c r="Y19" s="48">
        <v>1.2935000000000001</v>
      </c>
    </row>
    <row r="20" spans="2:25" x14ac:dyDescent="0.2">
      <c r="B20" s="47">
        <v>44120</v>
      </c>
      <c r="C20" s="46">
        <v>1756.5</v>
      </c>
      <c r="D20" s="45">
        <v>1756.5</v>
      </c>
      <c r="E20" s="44">
        <f t="shared" si="0"/>
        <v>1756.5</v>
      </c>
      <c r="F20" s="46">
        <v>1773</v>
      </c>
      <c r="G20" s="45">
        <v>1773</v>
      </c>
      <c r="H20" s="44">
        <f t="shared" si="1"/>
        <v>1773</v>
      </c>
      <c r="I20" s="46">
        <v>1814</v>
      </c>
      <c r="J20" s="45">
        <v>1814</v>
      </c>
      <c r="K20" s="44">
        <f t="shared" si="2"/>
        <v>1814</v>
      </c>
      <c r="L20" s="46">
        <v>1844</v>
      </c>
      <c r="M20" s="45">
        <v>1844</v>
      </c>
      <c r="N20" s="44">
        <f t="shared" si="3"/>
        <v>1844</v>
      </c>
      <c r="O20" s="46">
        <v>1874</v>
      </c>
      <c r="P20" s="45">
        <v>1874</v>
      </c>
      <c r="Q20" s="44">
        <f t="shared" si="4"/>
        <v>1874</v>
      </c>
      <c r="R20" s="52">
        <v>1756.5</v>
      </c>
      <c r="S20" s="51">
        <v>1.2914000000000001</v>
      </c>
      <c r="T20" s="51">
        <v>1.1732</v>
      </c>
      <c r="U20" s="50">
        <v>105.26</v>
      </c>
      <c r="V20" s="43">
        <v>1360.15</v>
      </c>
      <c r="W20" s="43">
        <v>1372.18</v>
      </c>
      <c r="X20" s="49">
        <f t="shared" si="5"/>
        <v>1497.1871803614047</v>
      </c>
      <c r="Y20" s="48">
        <v>1.2921</v>
      </c>
    </row>
    <row r="21" spans="2:25" x14ac:dyDescent="0.2">
      <c r="B21" s="47">
        <v>44123</v>
      </c>
      <c r="C21" s="46">
        <v>1742.5</v>
      </c>
      <c r="D21" s="45">
        <v>1742.5</v>
      </c>
      <c r="E21" s="44">
        <f t="shared" si="0"/>
        <v>1742.5</v>
      </c>
      <c r="F21" s="46">
        <v>1764</v>
      </c>
      <c r="G21" s="45">
        <v>1764</v>
      </c>
      <c r="H21" s="44">
        <f t="shared" si="1"/>
        <v>1764</v>
      </c>
      <c r="I21" s="46">
        <v>1805</v>
      </c>
      <c r="J21" s="45">
        <v>1805</v>
      </c>
      <c r="K21" s="44">
        <f t="shared" si="2"/>
        <v>1805</v>
      </c>
      <c r="L21" s="46">
        <v>1835</v>
      </c>
      <c r="M21" s="45">
        <v>1835</v>
      </c>
      <c r="N21" s="44">
        <f t="shared" si="3"/>
        <v>1835</v>
      </c>
      <c r="O21" s="46">
        <v>1865</v>
      </c>
      <c r="P21" s="45">
        <v>1865</v>
      </c>
      <c r="Q21" s="44">
        <f t="shared" si="4"/>
        <v>1865</v>
      </c>
      <c r="R21" s="52">
        <v>1742.5</v>
      </c>
      <c r="S21" s="51">
        <v>1.3012999999999999</v>
      </c>
      <c r="T21" s="51">
        <v>1.1786000000000001</v>
      </c>
      <c r="U21" s="50">
        <v>105.32</v>
      </c>
      <c r="V21" s="43">
        <v>1339.05</v>
      </c>
      <c r="W21" s="43">
        <v>1354.73</v>
      </c>
      <c r="X21" s="49">
        <f t="shared" si="5"/>
        <v>1478.4490072967926</v>
      </c>
      <c r="Y21" s="48">
        <v>1.3021</v>
      </c>
    </row>
    <row r="22" spans="2:25" x14ac:dyDescent="0.2">
      <c r="B22" s="47">
        <v>44124</v>
      </c>
      <c r="C22" s="46">
        <v>1748</v>
      </c>
      <c r="D22" s="45">
        <v>1748</v>
      </c>
      <c r="E22" s="44">
        <f t="shared" si="0"/>
        <v>1748</v>
      </c>
      <c r="F22" s="46">
        <v>1768</v>
      </c>
      <c r="G22" s="45">
        <v>1768</v>
      </c>
      <c r="H22" s="44">
        <f t="shared" si="1"/>
        <v>1768</v>
      </c>
      <c r="I22" s="46">
        <v>1809.5</v>
      </c>
      <c r="J22" s="45">
        <v>1809.5</v>
      </c>
      <c r="K22" s="44">
        <f t="shared" si="2"/>
        <v>1809.5</v>
      </c>
      <c r="L22" s="46">
        <v>1839.5</v>
      </c>
      <c r="M22" s="45">
        <v>1839.5</v>
      </c>
      <c r="N22" s="44">
        <f t="shared" si="3"/>
        <v>1839.5</v>
      </c>
      <c r="O22" s="46">
        <v>1869.5</v>
      </c>
      <c r="P22" s="45">
        <v>1869.5</v>
      </c>
      <c r="Q22" s="44">
        <f t="shared" si="4"/>
        <v>1869.5</v>
      </c>
      <c r="R22" s="52">
        <v>1748</v>
      </c>
      <c r="S22" s="51">
        <v>1.2937000000000001</v>
      </c>
      <c r="T22" s="51">
        <v>1.1806000000000001</v>
      </c>
      <c r="U22" s="50">
        <v>105.68</v>
      </c>
      <c r="V22" s="43">
        <v>1351.16</v>
      </c>
      <c r="W22" s="43">
        <v>1365.78</v>
      </c>
      <c r="X22" s="49">
        <f t="shared" si="5"/>
        <v>1480.6030831780449</v>
      </c>
      <c r="Y22" s="48">
        <v>1.2945</v>
      </c>
    </row>
    <row r="23" spans="2:25" x14ac:dyDescent="0.2">
      <c r="B23" s="47">
        <v>44125</v>
      </c>
      <c r="C23" s="46">
        <v>1790.5</v>
      </c>
      <c r="D23" s="45">
        <v>1790.5</v>
      </c>
      <c r="E23" s="44">
        <f t="shared" si="0"/>
        <v>1790.5</v>
      </c>
      <c r="F23" s="46">
        <v>1808.5</v>
      </c>
      <c r="G23" s="45">
        <v>1808.5</v>
      </c>
      <c r="H23" s="44">
        <f t="shared" si="1"/>
        <v>1808.5</v>
      </c>
      <c r="I23" s="46">
        <v>1849.5</v>
      </c>
      <c r="J23" s="45">
        <v>1849.5</v>
      </c>
      <c r="K23" s="44">
        <f t="shared" si="2"/>
        <v>1849.5</v>
      </c>
      <c r="L23" s="46">
        <v>1879.5</v>
      </c>
      <c r="M23" s="45">
        <v>1879.5</v>
      </c>
      <c r="N23" s="44">
        <f t="shared" si="3"/>
        <v>1879.5</v>
      </c>
      <c r="O23" s="46">
        <v>1909.5</v>
      </c>
      <c r="P23" s="45">
        <v>1909.5</v>
      </c>
      <c r="Q23" s="44">
        <f t="shared" si="4"/>
        <v>1909.5</v>
      </c>
      <c r="R23" s="52">
        <v>1790.5</v>
      </c>
      <c r="S23" s="51">
        <v>1.3059000000000001</v>
      </c>
      <c r="T23" s="51">
        <v>1.1852</v>
      </c>
      <c r="U23" s="50">
        <v>104.86</v>
      </c>
      <c r="V23" s="43">
        <v>1371.09</v>
      </c>
      <c r="W23" s="43">
        <v>1384.02</v>
      </c>
      <c r="X23" s="49">
        <f t="shared" si="5"/>
        <v>1510.7154910563618</v>
      </c>
      <c r="Y23" s="48">
        <v>1.3067</v>
      </c>
    </row>
    <row r="24" spans="2:25" x14ac:dyDescent="0.2">
      <c r="B24" s="47">
        <v>44126</v>
      </c>
      <c r="C24" s="46">
        <v>1792</v>
      </c>
      <c r="D24" s="45">
        <v>1792</v>
      </c>
      <c r="E24" s="44">
        <f t="shared" si="0"/>
        <v>1792</v>
      </c>
      <c r="F24" s="46">
        <v>1804.5</v>
      </c>
      <c r="G24" s="45">
        <v>1804.5</v>
      </c>
      <c r="H24" s="44">
        <f t="shared" si="1"/>
        <v>1804.5</v>
      </c>
      <c r="I24" s="46">
        <v>1845.5</v>
      </c>
      <c r="J24" s="45">
        <v>1845.5</v>
      </c>
      <c r="K24" s="44">
        <f t="shared" si="2"/>
        <v>1845.5</v>
      </c>
      <c r="L24" s="46">
        <v>1875.5</v>
      </c>
      <c r="M24" s="45">
        <v>1875.5</v>
      </c>
      <c r="N24" s="44">
        <f t="shared" si="3"/>
        <v>1875.5</v>
      </c>
      <c r="O24" s="46">
        <v>1905.5</v>
      </c>
      <c r="P24" s="45">
        <v>1905.5</v>
      </c>
      <c r="Q24" s="44">
        <f t="shared" si="4"/>
        <v>1905.5</v>
      </c>
      <c r="R24" s="52">
        <v>1792</v>
      </c>
      <c r="S24" s="51">
        <v>1.3097000000000001</v>
      </c>
      <c r="T24" s="51">
        <v>1.1825000000000001</v>
      </c>
      <c r="U24" s="50">
        <v>104.67</v>
      </c>
      <c r="V24" s="43">
        <v>1368.25</v>
      </c>
      <c r="W24" s="43">
        <v>1376.96</v>
      </c>
      <c r="X24" s="49">
        <f t="shared" si="5"/>
        <v>1515.4334038054967</v>
      </c>
      <c r="Y24" s="48">
        <v>1.3105</v>
      </c>
    </row>
    <row r="25" spans="2:25" x14ac:dyDescent="0.2">
      <c r="B25" s="47">
        <v>44127</v>
      </c>
      <c r="C25" s="46">
        <v>1792.5</v>
      </c>
      <c r="D25" s="45">
        <v>1792.5</v>
      </c>
      <c r="E25" s="44">
        <f t="shared" si="0"/>
        <v>1792.5</v>
      </c>
      <c r="F25" s="46">
        <v>1809</v>
      </c>
      <c r="G25" s="45">
        <v>1809</v>
      </c>
      <c r="H25" s="44">
        <f t="shared" si="1"/>
        <v>1809</v>
      </c>
      <c r="I25" s="46">
        <v>1849.5</v>
      </c>
      <c r="J25" s="45">
        <v>1849.5</v>
      </c>
      <c r="K25" s="44">
        <f t="shared" si="2"/>
        <v>1849.5</v>
      </c>
      <c r="L25" s="46">
        <v>1880</v>
      </c>
      <c r="M25" s="45">
        <v>1880</v>
      </c>
      <c r="N25" s="44">
        <f t="shared" si="3"/>
        <v>1880</v>
      </c>
      <c r="O25" s="46">
        <v>1910</v>
      </c>
      <c r="P25" s="45">
        <v>1910</v>
      </c>
      <c r="Q25" s="44">
        <f t="shared" si="4"/>
        <v>1910</v>
      </c>
      <c r="R25" s="52">
        <v>1792.5</v>
      </c>
      <c r="S25" s="51">
        <v>1.3068</v>
      </c>
      <c r="T25" s="51">
        <v>1.1846000000000001</v>
      </c>
      <c r="U25" s="50">
        <v>104.78</v>
      </c>
      <c r="V25" s="43">
        <v>1371.67</v>
      </c>
      <c r="W25" s="43">
        <v>1383.34</v>
      </c>
      <c r="X25" s="49">
        <f t="shared" si="5"/>
        <v>1513.1690021948336</v>
      </c>
      <c r="Y25" s="48">
        <v>1.3077000000000001</v>
      </c>
    </row>
    <row r="26" spans="2:25" x14ac:dyDescent="0.2">
      <c r="B26" s="47">
        <v>44130</v>
      </c>
      <c r="C26" s="46">
        <v>1750</v>
      </c>
      <c r="D26" s="45">
        <v>1750</v>
      </c>
      <c r="E26" s="44">
        <f t="shared" si="0"/>
        <v>1750</v>
      </c>
      <c r="F26" s="46">
        <v>1766</v>
      </c>
      <c r="G26" s="45">
        <v>1766</v>
      </c>
      <c r="H26" s="44">
        <f t="shared" si="1"/>
        <v>1766</v>
      </c>
      <c r="I26" s="46">
        <v>1806</v>
      </c>
      <c r="J26" s="45">
        <v>1806</v>
      </c>
      <c r="K26" s="44">
        <f t="shared" si="2"/>
        <v>1806</v>
      </c>
      <c r="L26" s="46">
        <v>1837</v>
      </c>
      <c r="M26" s="45">
        <v>1837</v>
      </c>
      <c r="N26" s="44">
        <f t="shared" si="3"/>
        <v>1837</v>
      </c>
      <c r="O26" s="46">
        <v>1867</v>
      </c>
      <c r="P26" s="45">
        <v>1867</v>
      </c>
      <c r="Q26" s="44">
        <f t="shared" si="4"/>
        <v>1867</v>
      </c>
      <c r="R26" s="52">
        <v>1750</v>
      </c>
      <c r="S26" s="51">
        <v>1.3025</v>
      </c>
      <c r="T26" s="51">
        <v>1.1814</v>
      </c>
      <c r="U26" s="50">
        <v>105.02</v>
      </c>
      <c r="V26" s="43">
        <v>1343.57</v>
      </c>
      <c r="W26" s="43">
        <v>1354.92</v>
      </c>
      <c r="X26" s="49">
        <f t="shared" si="5"/>
        <v>1481.2933807347215</v>
      </c>
      <c r="Y26" s="48">
        <v>1.3033999999999999</v>
      </c>
    </row>
    <row r="27" spans="2:25" x14ac:dyDescent="0.2">
      <c r="B27" s="47">
        <v>44131</v>
      </c>
      <c r="C27" s="46">
        <v>1780.5</v>
      </c>
      <c r="D27" s="45">
        <v>1780.5</v>
      </c>
      <c r="E27" s="44">
        <f t="shared" si="0"/>
        <v>1780.5</v>
      </c>
      <c r="F27" s="46">
        <v>1797</v>
      </c>
      <c r="G27" s="45">
        <v>1797</v>
      </c>
      <c r="H27" s="44">
        <f t="shared" si="1"/>
        <v>1797</v>
      </c>
      <c r="I27" s="46">
        <v>1837.5</v>
      </c>
      <c r="J27" s="45">
        <v>1837.5</v>
      </c>
      <c r="K27" s="44">
        <f t="shared" si="2"/>
        <v>1837.5</v>
      </c>
      <c r="L27" s="46">
        <v>1868</v>
      </c>
      <c r="M27" s="45">
        <v>1868</v>
      </c>
      <c r="N27" s="44">
        <f t="shared" si="3"/>
        <v>1868</v>
      </c>
      <c r="O27" s="46">
        <v>1898</v>
      </c>
      <c r="P27" s="45">
        <v>1898</v>
      </c>
      <c r="Q27" s="44">
        <f t="shared" si="4"/>
        <v>1898</v>
      </c>
      <c r="R27" s="52">
        <v>1780.5</v>
      </c>
      <c r="S27" s="51">
        <v>1.3029999999999999</v>
      </c>
      <c r="T27" s="51">
        <v>1.1828000000000001</v>
      </c>
      <c r="U27" s="50">
        <v>104.67</v>
      </c>
      <c r="V27" s="43">
        <v>1366.46</v>
      </c>
      <c r="W27" s="43">
        <v>1378.17</v>
      </c>
      <c r="X27" s="49">
        <f t="shared" si="5"/>
        <v>1505.326344267839</v>
      </c>
      <c r="Y27" s="48">
        <v>1.3039000000000001</v>
      </c>
    </row>
    <row r="28" spans="2:25" x14ac:dyDescent="0.2">
      <c r="B28" s="47">
        <v>44132</v>
      </c>
      <c r="C28" s="46">
        <v>1764.5</v>
      </c>
      <c r="D28" s="45">
        <v>1764.5</v>
      </c>
      <c r="E28" s="44">
        <f t="shared" si="0"/>
        <v>1764.5</v>
      </c>
      <c r="F28" s="46">
        <v>1781</v>
      </c>
      <c r="G28" s="45">
        <v>1781</v>
      </c>
      <c r="H28" s="44">
        <f t="shared" si="1"/>
        <v>1781</v>
      </c>
      <c r="I28" s="46">
        <v>1821</v>
      </c>
      <c r="J28" s="45">
        <v>1821</v>
      </c>
      <c r="K28" s="44">
        <f t="shared" si="2"/>
        <v>1821</v>
      </c>
      <c r="L28" s="46">
        <v>1856</v>
      </c>
      <c r="M28" s="45">
        <v>1856</v>
      </c>
      <c r="N28" s="44">
        <f t="shared" si="3"/>
        <v>1856</v>
      </c>
      <c r="O28" s="46">
        <v>1886</v>
      </c>
      <c r="P28" s="45">
        <v>1886</v>
      </c>
      <c r="Q28" s="44">
        <f t="shared" si="4"/>
        <v>1886</v>
      </c>
      <c r="R28" s="52">
        <v>1764.5</v>
      </c>
      <c r="S28" s="51">
        <v>1.2941</v>
      </c>
      <c r="T28" s="51">
        <v>1.1727000000000001</v>
      </c>
      <c r="U28" s="50">
        <v>104.39</v>
      </c>
      <c r="V28" s="43">
        <v>1363.5</v>
      </c>
      <c r="W28" s="43">
        <v>1375.4</v>
      </c>
      <c r="X28" s="49">
        <f t="shared" si="5"/>
        <v>1504.6473949006565</v>
      </c>
      <c r="Y28" s="48">
        <v>1.2948999999999999</v>
      </c>
    </row>
    <row r="29" spans="2:25" x14ac:dyDescent="0.2">
      <c r="B29" s="47">
        <v>44133</v>
      </c>
      <c r="C29" s="46">
        <v>1801</v>
      </c>
      <c r="D29" s="45">
        <v>1801</v>
      </c>
      <c r="E29" s="44">
        <f t="shared" si="0"/>
        <v>1801</v>
      </c>
      <c r="F29" s="46">
        <v>1813.5</v>
      </c>
      <c r="G29" s="45">
        <v>1813.5</v>
      </c>
      <c r="H29" s="44">
        <f t="shared" si="1"/>
        <v>1813.5</v>
      </c>
      <c r="I29" s="46">
        <v>1850</v>
      </c>
      <c r="J29" s="45">
        <v>1850</v>
      </c>
      <c r="K29" s="44">
        <f t="shared" si="2"/>
        <v>1850</v>
      </c>
      <c r="L29" s="46">
        <v>1883</v>
      </c>
      <c r="M29" s="45">
        <v>1883</v>
      </c>
      <c r="N29" s="44">
        <f t="shared" si="3"/>
        <v>1883</v>
      </c>
      <c r="O29" s="46">
        <v>1913</v>
      </c>
      <c r="P29" s="45">
        <v>1913</v>
      </c>
      <c r="Q29" s="44">
        <f t="shared" si="4"/>
        <v>1913</v>
      </c>
      <c r="R29" s="52">
        <v>1801</v>
      </c>
      <c r="S29" s="51">
        <v>1.2935000000000001</v>
      </c>
      <c r="T29" s="51">
        <v>1.1704000000000001</v>
      </c>
      <c r="U29" s="50">
        <v>104.37</v>
      </c>
      <c r="V29" s="43">
        <v>1392.35</v>
      </c>
      <c r="W29" s="43">
        <v>1401.04</v>
      </c>
      <c r="X29" s="49">
        <f t="shared" si="5"/>
        <v>1538.7901572112096</v>
      </c>
      <c r="Y29" s="48">
        <v>1.2944</v>
      </c>
    </row>
    <row r="30" spans="2:25" x14ac:dyDescent="0.2">
      <c r="B30" s="47">
        <v>44134</v>
      </c>
      <c r="C30" s="46">
        <v>1790</v>
      </c>
      <c r="D30" s="45">
        <v>1790</v>
      </c>
      <c r="E30" s="44">
        <f t="shared" si="0"/>
        <v>1790</v>
      </c>
      <c r="F30" s="46">
        <v>1804</v>
      </c>
      <c r="G30" s="45">
        <v>1804</v>
      </c>
      <c r="H30" s="44">
        <f t="shared" si="1"/>
        <v>1804</v>
      </c>
      <c r="I30" s="46">
        <v>1840</v>
      </c>
      <c r="J30" s="45">
        <v>1840</v>
      </c>
      <c r="K30" s="44">
        <f t="shared" si="2"/>
        <v>1840</v>
      </c>
      <c r="L30" s="46">
        <v>1873</v>
      </c>
      <c r="M30" s="45">
        <v>1873</v>
      </c>
      <c r="N30" s="44">
        <f t="shared" si="3"/>
        <v>1873</v>
      </c>
      <c r="O30" s="46">
        <v>1903</v>
      </c>
      <c r="P30" s="45">
        <v>1903</v>
      </c>
      <c r="Q30" s="44">
        <f t="shared" si="4"/>
        <v>1903</v>
      </c>
      <c r="R30" s="52">
        <v>1790</v>
      </c>
      <c r="S30" s="51">
        <v>1.2972999999999999</v>
      </c>
      <c r="T30" s="51">
        <v>1.1700999999999999</v>
      </c>
      <c r="U30" s="50">
        <v>104.48</v>
      </c>
      <c r="V30" s="43">
        <v>1379.79</v>
      </c>
      <c r="W30" s="43">
        <v>1389.62</v>
      </c>
      <c r="X30" s="49">
        <f t="shared" si="5"/>
        <v>1529.7837791641741</v>
      </c>
      <c r="Y30" s="48">
        <v>1.2982</v>
      </c>
    </row>
    <row r="31" spans="2:25" s="10" customFormat="1" x14ac:dyDescent="0.2">
      <c r="B31" s="42" t="s">
        <v>11</v>
      </c>
      <c r="C31" s="41">
        <f>ROUND(AVERAGE(C9:C30),2)</f>
        <v>1777.07</v>
      </c>
      <c r="D31" s="40">
        <f>ROUND(AVERAGE(D9:D30),2)</f>
        <v>1777.07</v>
      </c>
      <c r="E31" s="39">
        <f>ROUND(AVERAGE(C31:D31),2)</f>
        <v>1777.07</v>
      </c>
      <c r="F31" s="41">
        <f>ROUND(AVERAGE(F9:F30),2)</f>
        <v>1793.5</v>
      </c>
      <c r="G31" s="40">
        <f>ROUND(AVERAGE(G9:G30),2)</f>
        <v>1793.5</v>
      </c>
      <c r="H31" s="39">
        <f>ROUND(AVERAGE(F31:G31),2)</f>
        <v>1793.5</v>
      </c>
      <c r="I31" s="41">
        <f>ROUND(AVERAGE(I9:I30),2)</f>
        <v>1843.2</v>
      </c>
      <c r="J31" s="40">
        <f>ROUND(AVERAGE(J9:J30),2)</f>
        <v>1843.2</v>
      </c>
      <c r="K31" s="39">
        <f>ROUND(AVERAGE(I31:J31),2)</f>
        <v>1843.2</v>
      </c>
      <c r="L31" s="41">
        <f>ROUND(AVERAGE(L9:L30),2)</f>
        <v>1873.8</v>
      </c>
      <c r="M31" s="40">
        <f>ROUND(AVERAGE(M9:M30),2)</f>
        <v>1873.8</v>
      </c>
      <c r="N31" s="39">
        <f>ROUND(AVERAGE(L31:M31),2)</f>
        <v>1873.8</v>
      </c>
      <c r="O31" s="41">
        <f>ROUND(AVERAGE(O9:O30),2)</f>
        <v>1903.8</v>
      </c>
      <c r="P31" s="40">
        <f>ROUND(AVERAGE(P9:P30),2)</f>
        <v>1903.8</v>
      </c>
      <c r="Q31" s="39">
        <f>ROUND(AVERAGE(O31:P31),2)</f>
        <v>1903.8</v>
      </c>
      <c r="R31" s="38">
        <f>ROUND(AVERAGE(R9:R30),2)</f>
        <v>1777.07</v>
      </c>
      <c r="S31" s="37">
        <f>ROUND(AVERAGE(S9:S30),4)</f>
        <v>1.2977000000000001</v>
      </c>
      <c r="T31" s="36">
        <f>ROUND(AVERAGE(T9:T30),4)</f>
        <v>1.1775</v>
      </c>
      <c r="U31" s="175">
        <f>ROUND(AVERAGE(U9:U30),2)</f>
        <v>105.22</v>
      </c>
      <c r="V31" s="35">
        <f>AVERAGE(V9:V30)</f>
        <v>1369.4045454545451</v>
      </c>
      <c r="W31" s="35">
        <f>AVERAGE(W9:W30)</f>
        <v>1381.2045454545453</v>
      </c>
      <c r="X31" s="35">
        <f>AVERAGE(X9:X30)</f>
        <v>1509.2276916449498</v>
      </c>
      <c r="Y31" s="34">
        <f>AVERAGE(Y9:Y30)</f>
        <v>1.2985045454545454</v>
      </c>
    </row>
    <row r="32" spans="2:25" s="5" customFormat="1" x14ac:dyDescent="0.2">
      <c r="B32" s="33" t="s">
        <v>12</v>
      </c>
      <c r="C32" s="32">
        <f t="shared" ref="C32:Y32" si="6">MAX(C9:C30)</f>
        <v>1826.5</v>
      </c>
      <c r="D32" s="31">
        <f t="shared" si="6"/>
        <v>1826.5</v>
      </c>
      <c r="E32" s="30">
        <f t="shared" si="6"/>
        <v>1826.5</v>
      </c>
      <c r="F32" s="32">
        <f t="shared" si="6"/>
        <v>1837.5</v>
      </c>
      <c r="G32" s="31">
        <f t="shared" si="6"/>
        <v>1837.5</v>
      </c>
      <c r="H32" s="30">
        <f t="shared" si="6"/>
        <v>1837.5</v>
      </c>
      <c r="I32" s="32">
        <f t="shared" si="6"/>
        <v>2017.5</v>
      </c>
      <c r="J32" s="31">
        <f t="shared" si="6"/>
        <v>2017.5</v>
      </c>
      <c r="K32" s="30">
        <f t="shared" si="6"/>
        <v>2017.5</v>
      </c>
      <c r="L32" s="32">
        <f t="shared" si="6"/>
        <v>2047.5</v>
      </c>
      <c r="M32" s="31">
        <f t="shared" si="6"/>
        <v>2047.5</v>
      </c>
      <c r="N32" s="30">
        <f t="shared" si="6"/>
        <v>2047.5</v>
      </c>
      <c r="O32" s="32">
        <f t="shared" si="6"/>
        <v>2077.5</v>
      </c>
      <c r="P32" s="31">
        <f t="shared" si="6"/>
        <v>2077.5</v>
      </c>
      <c r="Q32" s="30">
        <f t="shared" si="6"/>
        <v>2077.5</v>
      </c>
      <c r="R32" s="29">
        <f t="shared" si="6"/>
        <v>1826.5</v>
      </c>
      <c r="S32" s="28">
        <f t="shared" si="6"/>
        <v>1.3097000000000001</v>
      </c>
      <c r="T32" s="27">
        <f t="shared" si="6"/>
        <v>1.1852</v>
      </c>
      <c r="U32" s="26">
        <f t="shared" si="6"/>
        <v>106.02</v>
      </c>
      <c r="V32" s="25">
        <f t="shared" si="6"/>
        <v>1401.55</v>
      </c>
      <c r="W32" s="25">
        <f t="shared" si="6"/>
        <v>1412.33</v>
      </c>
      <c r="X32" s="25">
        <f t="shared" si="6"/>
        <v>1549.3256425481379</v>
      </c>
      <c r="Y32" s="24">
        <f t="shared" si="6"/>
        <v>1.3105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1742.5</v>
      </c>
      <c r="D33" s="21">
        <f t="shared" si="7"/>
        <v>1742.5</v>
      </c>
      <c r="E33" s="20">
        <f t="shared" si="7"/>
        <v>1742.5</v>
      </c>
      <c r="F33" s="22">
        <f t="shared" si="7"/>
        <v>1764</v>
      </c>
      <c r="G33" s="21">
        <f t="shared" si="7"/>
        <v>1764</v>
      </c>
      <c r="H33" s="20">
        <f t="shared" si="7"/>
        <v>1764</v>
      </c>
      <c r="I33" s="22">
        <f t="shared" si="7"/>
        <v>1805</v>
      </c>
      <c r="J33" s="21">
        <f t="shared" si="7"/>
        <v>1805</v>
      </c>
      <c r="K33" s="20">
        <f t="shared" si="7"/>
        <v>1805</v>
      </c>
      <c r="L33" s="22">
        <f t="shared" si="7"/>
        <v>1835</v>
      </c>
      <c r="M33" s="21">
        <f t="shared" si="7"/>
        <v>1835</v>
      </c>
      <c r="N33" s="20">
        <f t="shared" si="7"/>
        <v>1835</v>
      </c>
      <c r="O33" s="22">
        <f t="shared" si="7"/>
        <v>1865</v>
      </c>
      <c r="P33" s="21">
        <f t="shared" si="7"/>
        <v>1865</v>
      </c>
      <c r="Q33" s="20">
        <f t="shared" si="7"/>
        <v>1865</v>
      </c>
      <c r="R33" s="19">
        <f t="shared" si="7"/>
        <v>1742.5</v>
      </c>
      <c r="S33" s="18">
        <f t="shared" si="7"/>
        <v>1.2878000000000001</v>
      </c>
      <c r="T33" s="17">
        <f t="shared" si="7"/>
        <v>1.1700999999999999</v>
      </c>
      <c r="U33" s="16">
        <f t="shared" si="7"/>
        <v>104.37</v>
      </c>
      <c r="V33" s="15">
        <f t="shared" si="7"/>
        <v>1339.05</v>
      </c>
      <c r="W33" s="15">
        <f t="shared" si="7"/>
        <v>1354.73</v>
      </c>
      <c r="X33" s="15">
        <f t="shared" si="7"/>
        <v>1478.4490072967926</v>
      </c>
      <c r="Y33" s="14">
        <f t="shared" si="7"/>
        <v>1.2885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44105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44105</v>
      </c>
      <c r="C9" s="46">
        <v>17506</v>
      </c>
      <c r="D9" s="45">
        <v>17506</v>
      </c>
      <c r="E9" s="44">
        <f t="shared" ref="E9:E30" si="0">AVERAGE(C9:D9)</f>
        <v>17506</v>
      </c>
      <c r="F9" s="46">
        <v>17529</v>
      </c>
      <c r="G9" s="45">
        <v>17529</v>
      </c>
      <c r="H9" s="44">
        <f t="shared" ref="H9:H30" si="1">AVERAGE(F9:G9)</f>
        <v>17529</v>
      </c>
      <c r="I9" s="46">
        <v>17395</v>
      </c>
      <c r="J9" s="45">
        <v>17395</v>
      </c>
      <c r="K9" s="44">
        <f t="shared" ref="K9:K30" si="2">AVERAGE(I9:J9)</f>
        <v>17395</v>
      </c>
      <c r="L9" s="52">
        <v>17506</v>
      </c>
      <c r="M9" s="51">
        <v>1.2966</v>
      </c>
      <c r="N9" s="53">
        <v>1.1763999999999999</v>
      </c>
      <c r="O9" s="50">
        <v>105.47</v>
      </c>
      <c r="P9" s="43">
        <v>13501.47</v>
      </c>
      <c r="Q9" s="43">
        <v>13509.83</v>
      </c>
      <c r="R9" s="49">
        <f t="shared" ref="R9:R30" si="3">L9/N9</f>
        <v>14880.992859571576</v>
      </c>
      <c r="S9" s="48">
        <v>1.2975000000000001</v>
      </c>
    </row>
    <row r="10" spans="1:19" x14ac:dyDescent="0.2">
      <c r="B10" s="47">
        <v>44106</v>
      </c>
      <c r="C10" s="46">
        <v>17545</v>
      </c>
      <c r="D10" s="45">
        <v>17545</v>
      </c>
      <c r="E10" s="44">
        <f t="shared" si="0"/>
        <v>17545</v>
      </c>
      <c r="F10" s="46">
        <v>17530</v>
      </c>
      <c r="G10" s="45">
        <v>17530</v>
      </c>
      <c r="H10" s="44">
        <f t="shared" si="1"/>
        <v>17530</v>
      </c>
      <c r="I10" s="46">
        <v>17393</v>
      </c>
      <c r="J10" s="45">
        <v>17393</v>
      </c>
      <c r="K10" s="44">
        <f t="shared" si="2"/>
        <v>17393</v>
      </c>
      <c r="L10" s="52">
        <v>17545</v>
      </c>
      <c r="M10" s="51">
        <v>1.294</v>
      </c>
      <c r="N10" s="51">
        <v>1.1725000000000001</v>
      </c>
      <c r="O10" s="50">
        <v>105.18</v>
      </c>
      <c r="P10" s="43">
        <v>13558.73</v>
      </c>
      <c r="Q10" s="43">
        <v>13538.77</v>
      </c>
      <c r="R10" s="49">
        <f t="shared" si="3"/>
        <v>14963.752665245202</v>
      </c>
      <c r="S10" s="48">
        <v>1.2948</v>
      </c>
    </row>
    <row r="11" spans="1:19" x14ac:dyDescent="0.2">
      <c r="B11" s="47">
        <v>44109</v>
      </c>
      <c r="C11" s="46">
        <v>17850</v>
      </c>
      <c r="D11" s="45">
        <v>17850</v>
      </c>
      <c r="E11" s="44">
        <f t="shared" si="0"/>
        <v>17850</v>
      </c>
      <c r="F11" s="46">
        <v>17863</v>
      </c>
      <c r="G11" s="45">
        <v>17863</v>
      </c>
      <c r="H11" s="44">
        <f t="shared" si="1"/>
        <v>17863</v>
      </c>
      <c r="I11" s="46">
        <v>17724</v>
      </c>
      <c r="J11" s="45">
        <v>17724</v>
      </c>
      <c r="K11" s="44">
        <f t="shared" si="2"/>
        <v>17724</v>
      </c>
      <c r="L11" s="52">
        <v>17850</v>
      </c>
      <c r="M11" s="51">
        <v>1.2952999999999999</v>
      </c>
      <c r="N11" s="51">
        <v>1.1765000000000001</v>
      </c>
      <c r="O11" s="50">
        <v>105.61</v>
      </c>
      <c r="P11" s="43">
        <v>13780.59</v>
      </c>
      <c r="Q11" s="43">
        <v>13782.12</v>
      </c>
      <c r="R11" s="49">
        <f t="shared" si="3"/>
        <v>15172.120696982574</v>
      </c>
      <c r="S11" s="48">
        <v>1.2961</v>
      </c>
    </row>
    <row r="12" spans="1:19" x14ac:dyDescent="0.2">
      <c r="B12" s="47">
        <v>44110</v>
      </c>
      <c r="C12" s="46">
        <v>18175</v>
      </c>
      <c r="D12" s="45">
        <v>18175</v>
      </c>
      <c r="E12" s="44">
        <f t="shared" si="0"/>
        <v>18175</v>
      </c>
      <c r="F12" s="46">
        <v>18120</v>
      </c>
      <c r="G12" s="45">
        <v>18120</v>
      </c>
      <c r="H12" s="44">
        <f t="shared" si="1"/>
        <v>18120</v>
      </c>
      <c r="I12" s="46">
        <v>17979</v>
      </c>
      <c r="J12" s="45">
        <v>17979</v>
      </c>
      <c r="K12" s="44">
        <f t="shared" si="2"/>
        <v>17979</v>
      </c>
      <c r="L12" s="52">
        <v>18175</v>
      </c>
      <c r="M12" s="51">
        <v>1.2952999999999999</v>
      </c>
      <c r="N12" s="51">
        <v>1.1796</v>
      </c>
      <c r="O12" s="50">
        <v>105.62</v>
      </c>
      <c r="P12" s="43">
        <v>14031.5</v>
      </c>
      <c r="Q12" s="43">
        <v>13980.4</v>
      </c>
      <c r="R12" s="49">
        <f t="shared" si="3"/>
        <v>15407.76534418447</v>
      </c>
      <c r="S12" s="48">
        <v>1.2961</v>
      </c>
    </row>
    <row r="13" spans="1:19" x14ac:dyDescent="0.2">
      <c r="B13" s="47">
        <v>44111</v>
      </c>
      <c r="C13" s="46">
        <v>18155</v>
      </c>
      <c r="D13" s="45">
        <v>18155</v>
      </c>
      <c r="E13" s="44">
        <f t="shared" si="0"/>
        <v>18155</v>
      </c>
      <c r="F13" s="46">
        <v>18180</v>
      </c>
      <c r="G13" s="45">
        <v>18180</v>
      </c>
      <c r="H13" s="44">
        <f t="shared" si="1"/>
        <v>18180</v>
      </c>
      <c r="I13" s="46">
        <v>18045</v>
      </c>
      <c r="J13" s="45">
        <v>18045</v>
      </c>
      <c r="K13" s="44">
        <f t="shared" si="2"/>
        <v>18045</v>
      </c>
      <c r="L13" s="52">
        <v>18155</v>
      </c>
      <c r="M13" s="51">
        <v>1.2878000000000001</v>
      </c>
      <c r="N13" s="51">
        <v>1.1774</v>
      </c>
      <c r="O13" s="50">
        <v>106.02</v>
      </c>
      <c r="P13" s="43">
        <v>14097.69</v>
      </c>
      <c r="Q13" s="43">
        <v>14109.43</v>
      </c>
      <c r="R13" s="49">
        <f t="shared" si="3"/>
        <v>15419.568540852726</v>
      </c>
      <c r="S13" s="48">
        <v>1.2885</v>
      </c>
    </row>
    <row r="14" spans="1:19" x14ac:dyDescent="0.2">
      <c r="B14" s="47">
        <v>44112</v>
      </c>
      <c r="C14" s="46">
        <v>18215</v>
      </c>
      <c r="D14" s="45">
        <v>18215</v>
      </c>
      <c r="E14" s="44">
        <f t="shared" si="0"/>
        <v>18215</v>
      </c>
      <c r="F14" s="46">
        <v>18175</v>
      </c>
      <c r="G14" s="45">
        <v>18175</v>
      </c>
      <c r="H14" s="44">
        <f t="shared" si="1"/>
        <v>18175</v>
      </c>
      <c r="I14" s="46">
        <v>18048</v>
      </c>
      <c r="J14" s="45">
        <v>18048</v>
      </c>
      <c r="K14" s="44">
        <f t="shared" si="2"/>
        <v>18048</v>
      </c>
      <c r="L14" s="52">
        <v>18215</v>
      </c>
      <c r="M14" s="51">
        <v>1.2904</v>
      </c>
      <c r="N14" s="51">
        <v>1.1759999999999999</v>
      </c>
      <c r="O14" s="50">
        <v>106.01</v>
      </c>
      <c r="P14" s="43">
        <v>14115.78</v>
      </c>
      <c r="Q14" s="43">
        <v>14077.14</v>
      </c>
      <c r="R14" s="49">
        <f t="shared" si="3"/>
        <v>15488.945578231293</v>
      </c>
      <c r="S14" s="48">
        <v>1.2910999999999999</v>
      </c>
    </row>
    <row r="15" spans="1:19" x14ac:dyDescent="0.2">
      <c r="B15" s="47">
        <v>44113</v>
      </c>
      <c r="C15" s="46">
        <v>18210</v>
      </c>
      <c r="D15" s="45">
        <v>18210</v>
      </c>
      <c r="E15" s="44">
        <f t="shared" si="0"/>
        <v>18210</v>
      </c>
      <c r="F15" s="46">
        <v>18200</v>
      </c>
      <c r="G15" s="45">
        <v>18200</v>
      </c>
      <c r="H15" s="44">
        <f t="shared" si="1"/>
        <v>18200</v>
      </c>
      <c r="I15" s="46">
        <v>18068</v>
      </c>
      <c r="J15" s="45">
        <v>18068</v>
      </c>
      <c r="K15" s="44">
        <f t="shared" si="2"/>
        <v>18068</v>
      </c>
      <c r="L15" s="52">
        <v>18210</v>
      </c>
      <c r="M15" s="51">
        <v>1.2943</v>
      </c>
      <c r="N15" s="51">
        <v>1.18</v>
      </c>
      <c r="O15" s="50">
        <v>105.92</v>
      </c>
      <c r="P15" s="43">
        <v>14069.38</v>
      </c>
      <c r="Q15" s="43">
        <v>14052.97</v>
      </c>
      <c r="R15" s="49">
        <f t="shared" si="3"/>
        <v>15432.203389830509</v>
      </c>
      <c r="S15" s="48">
        <v>1.2950999999999999</v>
      </c>
    </row>
    <row r="16" spans="1:19" x14ac:dyDescent="0.2">
      <c r="B16" s="47">
        <v>44116</v>
      </c>
      <c r="C16" s="46">
        <v>18275</v>
      </c>
      <c r="D16" s="45">
        <v>18275</v>
      </c>
      <c r="E16" s="44">
        <f t="shared" si="0"/>
        <v>18275</v>
      </c>
      <c r="F16" s="46">
        <v>18310</v>
      </c>
      <c r="G16" s="45">
        <v>18310</v>
      </c>
      <c r="H16" s="44">
        <f t="shared" si="1"/>
        <v>18310</v>
      </c>
      <c r="I16" s="46">
        <v>18157</v>
      </c>
      <c r="J16" s="45">
        <v>18157</v>
      </c>
      <c r="K16" s="44">
        <f t="shared" si="2"/>
        <v>18157</v>
      </c>
      <c r="L16" s="52">
        <v>18275</v>
      </c>
      <c r="M16" s="51">
        <v>1.3022</v>
      </c>
      <c r="N16" s="51">
        <v>1.1795</v>
      </c>
      <c r="O16" s="50">
        <v>105.46</v>
      </c>
      <c r="P16" s="43">
        <v>14033.94</v>
      </c>
      <c r="Q16" s="43">
        <v>14052.19</v>
      </c>
      <c r="R16" s="49">
        <f t="shared" si="3"/>
        <v>15493.853327681221</v>
      </c>
      <c r="S16" s="48">
        <v>1.3029999999999999</v>
      </c>
    </row>
    <row r="17" spans="2:19" x14ac:dyDescent="0.2">
      <c r="B17" s="47">
        <v>44117</v>
      </c>
      <c r="C17" s="46">
        <v>18320</v>
      </c>
      <c r="D17" s="45">
        <v>18320</v>
      </c>
      <c r="E17" s="44">
        <f t="shared" si="0"/>
        <v>18320</v>
      </c>
      <c r="F17" s="46">
        <v>18315</v>
      </c>
      <c r="G17" s="45">
        <v>18315</v>
      </c>
      <c r="H17" s="44">
        <f t="shared" si="1"/>
        <v>18315</v>
      </c>
      <c r="I17" s="46">
        <v>18184</v>
      </c>
      <c r="J17" s="45">
        <v>18184</v>
      </c>
      <c r="K17" s="44">
        <f t="shared" si="2"/>
        <v>18184</v>
      </c>
      <c r="L17" s="52">
        <v>18320</v>
      </c>
      <c r="M17" s="51">
        <v>1.3031999999999999</v>
      </c>
      <c r="N17" s="51">
        <v>1.1789000000000001</v>
      </c>
      <c r="O17" s="50">
        <v>105.51</v>
      </c>
      <c r="P17" s="43">
        <v>14057.7</v>
      </c>
      <c r="Q17" s="43">
        <v>14045.25</v>
      </c>
      <c r="R17" s="49">
        <f t="shared" si="3"/>
        <v>15539.910085673084</v>
      </c>
      <c r="S17" s="48">
        <v>1.304</v>
      </c>
    </row>
    <row r="18" spans="2:19" x14ac:dyDescent="0.2">
      <c r="B18" s="47">
        <v>44118</v>
      </c>
      <c r="C18" s="46">
        <v>18225</v>
      </c>
      <c r="D18" s="45">
        <v>18225</v>
      </c>
      <c r="E18" s="44">
        <f t="shared" si="0"/>
        <v>18225</v>
      </c>
      <c r="F18" s="46">
        <v>18285</v>
      </c>
      <c r="G18" s="45">
        <v>18285</v>
      </c>
      <c r="H18" s="44">
        <f t="shared" si="1"/>
        <v>18285</v>
      </c>
      <c r="I18" s="46">
        <v>18154</v>
      </c>
      <c r="J18" s="45">
        <v>18154</v>
      </c>
      <c r="K18" s="44">
        <f t="shared" si="2"/>
        <v>18154</v>
      </c>
      <c r="L18" s="52">
        <v>18225</v>
      </c>
      <c r="M18" s="51">
        <v>1.2982</v>
      </c>
      <c r="N18" s="51">
        <v>1.1748000000000001</v>
      </c>
      <c r="O18" s="50">
        <v>105.34</v>
      </c>
      <c r="P18" s="43">
        <v>14038.67</v>
      </c>
      <c r="Q18" s="43">
        <v>14076.21</v>
      </c>
      <c r="R18" s="49">
        <f t="shared" si="3"/>
        <v>15513.278855975484</v>
      </c>
      <c r="S18" s="48">
        <v>1.2989999999999999</v>
      </c>
    </row>
    <row r="19" spans="2:19" x14ac:dyDescent="0.2">
      <c r="B19" s="47">
        <v>44119</v>
      </c>
      <c r="C19" s="46">
        <v>18343</v>
      </c>
      <c r="D19" s="45">
        <v>18343</v>
      </c>
      <c r="E19" s="44">
        <f t="shared" si="0"/>
        <v>18343</v>
      </c>
      <c r="F19" s="46">
        <v>18360</v>
      </c>
      <c r="G19" s="45">
        <v>18360</v>
      </c>
      <c r="H19" s="44">
        <f t="shared" si="1"/>
        <v>18360</v>
      </c>
      <c r="I19" s="46">
        <v>18225</v>
      </c>
      <c r="J19" s="45">
        <v>18225</v>
      </c>
      <c r="K19" s="44">
        <f t="shared" si="2"/>
        <v>18225</v>
      </c>
      <c r="L19" s="52">
        <v>18343</v>
      </c>
      <c r="M19" s="51">
        <v>1.2927</v>
      </c>
      <c r="N19" s="51">
        <v>1.1708000000000001</v>
      </c>
      <c r="O19" s="50">
        <v>105.27</v>
      </c>
      <c r="P19" s="43">
        <v>14189.68</v>
      </c>
      <c r="Q19" s="43">
        <v>14194.05</v>
      </c>
      <c r="R19" s="49">
        <f t="shared" si="3"/>
        <v>15667.065254526819</v>
      </c>
      <c r="S19" s="48">
        <v>1.2935000000000001</v>
      </c>
    </row>
    <row r="20" spans="2:19" x14ac:dyDescent="0.2">
      <c r="B20" s="47">
        <v>44120</v>
      </c>
      <c r="C20" s="46">
        <v>18390</v>
      </c>
      <c r="D20" s="45">
        <v>18390</v>
      </c>
      <c r="E20" s="44">
        <f t="shared" si="0"/>
        <v>18390</v>
      </c>
      <c r="F20" s="46">
        <v>18400</v>
      </c>
      <c r="G20" s="45">
        <v>18400</v>
      </c>
      <c r="H20" s="44">
        <f t="shared" si="1"/>
        <v>18400</v>
      </c>
      <c r="I20" s="46">
        <v>18260</v>
      </c>
      <c r="J20" s="45">
        <v>18260</v>
      </c>
      <c r="K20" s="44">
        <f t="shared" si="2"/>
        <v>18260</v>
      </c>
      <c r="L20" s="52">
        <v>18390</v>
      </c>
      <c r="M20" s="51">
        <v>1.2914000000000001</v>
      </c>
      <c r="N20" s="51">
        <v>1.1732</v>
      </c>
      <c r="O20" s="50">
        <v>105.26</v>
      </c>
      <c r="P20" s="43">
        <v>14240.36</v>
      </c>
      <c r="Q20" s="43">
        <v>14240.38</v>
      </c>
      <c r="R20" s="49">
        <f t="shared" si="3"/>
        <v>15675.07671326287</v>
      </c>
      <c r="S20" s="48">
        <v>1.2921</v>
      </c>
    </row>
    <row r="21" spans="2:19" x14ac:dyDescent="0.2">
      <c r="B21" s="47">
        <v>44123</v>
      </c>
      <c r="C21" s="46">
        <v>18400</v>
      </c>
      <c r="D21" s="45">
        <v>18400</v>
      </c>
      <c r="E21" s="44">
        <f t="shared" si="0"/>
        <v>18400</v>
      </c>
      <c r="F21" s="46">
        <v>18445</v>
      </c>
      <c r="G21" s="45">
        <v>18445</v>
      </c>
      <c r="H21" s="44">
        <f t="shared" si="1"/>
        <v>18445</v>
      </c>
      <c r="I21" s="46">
        <v>18303</v>
      </c>
      <c r="J21" s="45">
        <v>18303</v>
      </c>
      <c r="K21" s="44">
        <f t="shared" si="2"/>
        <v>18303</v>
      </c>
      <c r="L21" s="52">
        <v>18400</v>
      </c>
      <c r="M21" s="51">
        <v>1.3012999999999999</v>
      </c>
      <c r="N21" s="51">
        <v>1.1786000000000001</v>
      </c>
      <c r="O21" s="50">
        <v>105.32</v>
      </c>
      <c r="P21" s="43">
        <v>14139.71</v>
      </c>
      <c r="Q21" s="43">
        <v>14165.58</v>
      </c>
      <c r="R21" s="49">
        <f t="shared" si="3"/>
        <v>15611.742745630409</v>
      </c>
      <c r="S21" s="48">
        <v>1.3021</v>
      </c>
    </row>
    <row r="22" spans="2:19" x14ac:dyDescent="0.2">
      <c r="B22" s="47">
        <v>44124</v>
      </c>
      <c r="C22" s="46">
        <v>18524</v>
      </c>
      <c r="D22" s="45">
        <v>18524</v>
      </c>
      <c r="E22" s="44">
        <f t="shared" si="0"/>
        <v>18524</v>
      </c>
      <c r="F22" s="46">
        <v>18555</v>
      </c>
      <c r="G22" s="45">
        <v>18555</v>
      </c>
      <c r="H22" s="44">
        <f t="shared" si="1"/>
        <v>18555</v>
      </c>
      <c r="I22" s="46">
        <v>18419</v>
      </c>
      <c r="J22" s="45">
        <v>18419</v>
      </c>
      <c r="K22" s="44">
        <f t="shared" si="2"/>
        <v>18419</v>
      </c>
      <c r="L22" s="52">
        <v>18524</v>
      </c>
      <c r="M22" s="51">
        <v>1.2937000000000001</v>
      </c>
      <c r="N22" s="51">
        <v>1.1806000000000001</v>
      </c>
      <c r="O22" s="50">
        <v>105.68</v>
      </c>
      <c r="P22" s="43">
        <v>14318.62</v>
      </c>
      <c r="Q22" s="43">
        <v>14333.72</v>
      </c>
      <c r="R22" s="49">
        <f t="shared" si="3"/>
        <v>15690.326952397085</v>
      </c>
      <c r="S22" s="48">
        <v>1.2945</v>
      </c>
    </row>
    <row r="23" spans="2:19" x14ac:dyDescent="0.2">
      <c r="B23" s="47">
        <v>44125</v>
      </c>
      <c r="C23" s="46">
        <v>18750</v>
      </c>
      <c r="D23" s="45">
        <v>18750</v>
      </c>
      <c r="E23" s="44">
        <f t="shared" si="0"/>
        <v>18750</v>
      </c>
      <c r="F23" s="46">
        <v>18750</v>
      </c>
      <c r="G23" s="45">
        <v>18750</v>
      </c>
      <c r="H23" s="44">
        <f t="shared" si="1"/>
        <v>18750</v>
      </c>
      <c r="I23" s="46">
        <v>18613</v>
      </c>
      <c r="J23" s="45">
        <v>18613</v>
      </c>
      <c r="K23" s="44">
        <f t="shared" si="2"/>
        <v>18613</v>
      </c>
      <c r="L23" s="52">
        <v>18750</v>
      </c>
      <c r="M23" s="51">
        <v>1.3059000000000001</v>
      </c>
      <c r="N23" s="51">
        <v>1.1852</v>
      </c>
      <c r="O23" s="50">
        <v>104.86</v>
      </c>
      <c r="P23" s="43">
        <v>14357.91</v>
      </c>
      <c r="Q23" s="43">
        <v>14349.12</v>
      </c>
      <c r="R23" s="49">
        <f t="shared" si="3"/>
        <v>15820.114748565642</v>
      </c>
      <c r="S23" s="48">
        <v>1.3067</v>
      </c>
    </row>
    <row r="24" spans="2:19" x14ac:dyDescent="0.2">
      <c r="B24" s="47">
        <v>44126</v>
      </c>
      <c r="C24" s="46">
        <v>18500</v>
      </c>
      <c r="D24" s="45">
        <v>18500</v>
      </c>
      <c r="E24" s="44">
        <f t="shared" si="0"/>
        <v>18500</v>
      </c>
      <c r="F24" s="46">
        <v>18528</v>
      </c>
      <c r="G24" s="45">
        <v>18528</v>
      </c>
      <c r="H24" s="44">
        <f t="shared" si="1"/>
        <v>18528</v>
      </c>
      <c r="I24" s="46">
        <v>18392</v>
      </c>
      <c r="J24" s="45">
        <v>18392</v>
      </c>
      <c r="K24" s="44">
        <f t="shared" si="2"/>
        <v>18392</v>
      </c>
      <c r="L24" s="52">
        <v>18500</v>
      </c>
      <c r="M24" s="51">
        <v>1.3097000000000001</v>
      </c>
      <c r="N24" s="51">
        <v>1.1825000000000001</v>
      </c>
      <c r="O24" s="50">
        <v>104.67</v>
      </c>
      <c r="P24" s="43">
        <v>14125.37</v>
      </c>
      <c r="Q24" s="43">
        <v>14138.12</v>
      </c>
      <c r="R24" s="49">
        <f t="shared" si="3"/>
        <v>15644.820295983085</v>
      </c>
      <c r="S24" s="48">
        <v>1.3105</v>
      </c>
    </row>
    <row r="25" spans="2:19" x14ac:dyDescent="0.2">
      <c r="B25" s="47">
        <v>44127</v>
      </c>
      <c r="C25" s="46">
        <v>18530</v>
      </c>
      <c r="D25" s="45">
        <v>18530</v>
      </c>
      <c r="E25" s="44">
        <f t="shared" si="0"/>
        <v>18530</v>
      </c>
      <c r="F25" s="46">
        <v>18500</v>
      </c>
      <c r="G25" s="45">
        <v>18500</v>
      </c>
      <c r="H25" s="44">
        <f t="shared" si="1"/>
        <v>18500</v>
      </c>
      <c r="I25" s="46">
        <v>18353</v>
      </c>
      <c r="J25" s="45">
        <v>18353</v>
      </c>
      <c r="K25" s="44">
        <f t="shared" si="2"/>
        <v>18353</v>
      </c>
      <c r="L25" s="52">
        <v>18530</v>
      </c>
      <c r="M25" s="51">
        <v>1.3068</v>
      </c>
      <c r="N25" s="51">
        <v>1.1846000000000001</v>
      </c>
      <c r="O25" s="50">
        <v>104.78</v>
      </c>
      <c r="P25" s="43">
        <v>14179.68</v>
      </c>
      <c r="Q25" s="43">
        <v>14146.98</v>
      </c>
      <c r="R25" s="49">
        <f t="shared" si="3"/>
        <v>15642.410940401822</v>
      </c>
      <c r="S25" s="48">
        <v>1.3077000000000001</v>
      </c>
    </row>
    <row r="26" spans="2:19" x14ac:dyDescent="0.2">
      <c r="B26" s="47">
        <v>44130</v>
      </c>
      <c r="C26" s="46">
        <v>17880</v>
      </c>
      <c r="D26" s="45">
        <v>17880</v>
      </c>
      <c r="E26" s="44">
        <f t="shared" si="0"/>
        <v>17880</v>
      </c>
      <c r="F26" s="46">
        <v>17850</v>
      </c>
      <c r="G26" s="45">
        <v>17850</v>
      </c>
      <c r="H26" s="44">
        <f t="shared" si="1"/>
        <v>17850</v>
      </c>
      <c r="I26" s="46">
        <v>17715</v>
      </c>
      <c r="J26" s="45">
        <v>17715</v>
      </c>
      <c r="K26" s="44">
        <f t="shared" si="2"/>
        <v>17715</v>
      </c>
      <c r="L26" s="52">
        <v>17880</v>
      </c>
      <c r="M26" s="51">
        <v>1.3025</v>
      </c>
      <c r="N26" s="51">
        <v>1.1814</v>
      </c>
      <c r="O26" s="50">
        <v>105.02</v>
      </c>
      <c r="P26" s="43">
        <v>13727.45</v>
      </c>
      <c r="Q26" s="43">
        <v>13694.95</v>
      </c>
      <c r="R26" s="49">
        <f t="shared" si="3"/>
        <v>15134.586084306755</v>
      </c>
      <c r="S26" s="48">
        <v>1.3033999999999999</v>
      </c>
    </row>
    <row r="27" spans="2:19" x14ac:dyDescent="0.2">
      <c r="B27" s="47">
        <v>44131</v>
      </c>
      <c r="C27" s="46">
        <v>18240</v>
      </c>
      <c r="D27" s="45">
        <v>18240</v>
      </c>
      <c r="E27" s="44">
        <f t="shared" si="0"/>
        <v>18240</v>
      </c>
      <c r="F27" s="46">
        <v>18153</v>
      </c>
      <c r="G27" s="45">
        <v>18153</v>
      </c>
      <c r="H27" s="44">
        <f t="shared" si="1"/>
        <v>18153</v>
      </c>
      <c r="I27" s="46">
        <v>18033</v>
      </c>
      <c r="J27" s="45">
        <v>18033</v>
      </c>
      <c r="K27" s="44">
        <f t="shared" si="2"/>
        <v>18033</v>
      </c>
      <c r="L27" s="52">
        <v>18240</v>
      </c>
      <c r="M27" s="51">
        <v>1.3029999999999999</v>
      </c>
      <c r="N27" s="51">
        <v>1.1828000000000001</v>
      </c>
      <c r="O27" s="50">
        <v>104.67</v>
      </c>
      <c r="P27" s="43">
        <v>13998.47</v>
      </c>
      <c r="Q27" s="43">
        <v>13922.08</v>
      </c>
      <c r="R27" s="49">
        <f t="shared" si="3"/>
        <v>15421.034832600608</v>
      </c>
      <c r="S27" s="48">
        <v>1.3039000000000001</v>
      </c>
    </row>
    <row r="28" spans="2:19" x14ac:dyDescent="0.2">
      <c r="B28" s="47">
        <v>44132</v>
      </c>
      <c r="C28" s="46">
        <v>18000</v>
      </c>
      <c r="D28" s="45">
        <v>18000</v>
      </c>
      <c r="E28" s="44">
        <f t="shared" si="0"/>
        <v>18000</v>
      </c>
      <c r="F28" s="46">
        <v>17961</v>
      </c>
      <c r="G28" s="45">
        <v>17961</v>
      </c>
      <c r="H28" s="44">
        <f t="shared" si="1"/>
        <v>17961</v>
      </c>
      <c r="I28" s="46">
        <v>17848</v>
      </c>
      <c r="J28" s="45">
        <v>17848</v>
      </c>
      <c r="K28" s="44">
        <f t="shared" si="2"/>
        <v>17848</v>
      </c>
      <c r="L28" s="52">
        <v>18000</v>
      </c>
      <c r="M28" s="51">
        <v>1.2941</v>
      </c>
      <c r="N28" s="51">
        <v>1.1727000000000001</v>
      </c>
      <c r="O28" s="50">
        <v>104.39</v>
      </c>
      <c r="P28" s="43">
        <v>13909.28</v>
      </c>
      <c r="Q28" s="43">
        <v>13870.57</v>
      </c>
      <c r="R28" s="49">
        <f t="shared" si="3"/>
        <v>15349.194167306216</v>
      </c>
      <c r="S28" s="48">
        <v>1.2948999999999999</v>
      </c>
    </row>
    <row r="29" spans="2:19" x14ac:dyDescent="0.2">
      <c r="B29" s="47">
        <v>44133</v>
      </c>
      <c r="C29" s="46">
        <v>17707</v>
      </c>
      <c r="D29" s="45">
        <v>17707</v>
      </c>
      <c r="E29" s="44">
        <f t="shared" si="0"/>
        <v>17707</v>
      </c>
      <c r="F29" s="46">
        <v>17700</v>
      </c>
      <c r="G29" s="45">
        <v>17700</v>
      </c>
      <c r="H29" s="44">
        <f t="shared" si="1"/>
        <v>17700</v>
      </c>
      <c r="I29" s="46">
        <v>17587</v>
      </c>
      <c r="J29" s="45">
        <v>17587</v>
      </c>
      <c r="K29" s="44">
        <f t="shared" si="2"/>
        <v>17587</v>
      </c>
      <c r="L29" s="52">
        <v>17707</v>
      </c>
      <c r="M29" s="51">
        <v>1.2935000000000001</v>
      </c>
      <c r="N29" s="51">
        <v>1.1704000000000001</v>
      </c>
      <c r="O29" s="50">
        <v>104.37</v>
      </c>
      <c r="P29" s="43">
        <v>13689.22</v>
      </c>
      <c r="Q29" s="43">
        <v>13674.29</v>
      </c>
      <c r="R29" s="49">
        <f t="shared" si="3"/>
        <v>15129.015721120983</v>
      </c>
      <c r="S29" s="48">
        <v>1.2944</v>
      </c>
    </row>
    <row r="30" spans="2:19" x14ac:dyDescent="0.2">
      <c r="B30" s="47">
        <v>44134</v>
      </c>
      <c r="C30" s="46">
        <v>17650</v>
      </c>
      <c r="D30" s="45">
        <v>17650</v>
      </c>
      <c r="E30" s="44">
        <f t="shared" si="0"/>
        <v>17650</v>
      </c>
      <c r="F30" s="46">
        <v>17640</v>
      </c>
      <c r="G30" s="45">
        <v>17640</v>
      </c>
      <c r="H30" s="44">
        <f t="shared" si="1"/>
        <v>17640</v>
      </c>
      <c r="I30" s="46">
        <v>17524</v>
      </c>
      <c r="J30" s="45">
        <v>17524</v>
      </c>
      <c r="K30" s="44">
        <f t="shared" si="2"/>
        <v>17524</v>
      </c>
      <c r="L30" s="52">
        <v>17650</v>
      </c>
      <c r="M30" s="51">
        <v>1.2972999999999999</v>
      </c>
      <c r="N30" s="51">
        <v>1.1700999999999999</v>
      </c>
      <c r="O30" s="50">
        <v>104.48</v>
      </c>
      <c r="P30" s="43">
        <v>13605.18</v>
      </c>
      <c r="Q30" s="43">
        <v>13588.04</v>
      </c>
      <c r="R30" s="49">
        <f t="shared" si="3"/>
        <v>15084.180839244511</v>
      </c>
      <c r="S30" s="48">
        <v>1.2982</v>
      </c>
    </row>
    <row r="31" spans="2:19" s="10" customFormat="1" x14ac:dyDescent="0.2">
      <c r="B31" s="42" t="s">
        <v>11</v>
      </c>
      <c r="C31" s="41">
        <f>ROUND(AVERAGE(C9:C30),2)</f>
        <v>18154.09</v>
      </c>
      <c r="D31" s="40">
        <f>ROUND(AVERAGE(D9:D30),2)</f>
        <v>18154.09</v>
      </c>
      <c r="E31" s="39">
        <f>ROUND(AVERAGE(C31:D31),2)</f>
        <v>18154.09</v>
      </c>
      <c r="F31" s="41">
        <f>ROUND(AVERAGE(F9:F30),2)</f>
        <v>18152.23</v>
      </c>
      <c r="G31" s="40">
        <f>ROUND(AVERAGE(G9:G30),2)</f>
        <v>18152.23</v>
      </c>
      <c r="H31" s="39">
        <f>ROUND(AVERAGE(F31:G31),2)</f>
        <v>18152.23</v>
      </c>
      <c r="I31" s="41">
        <f>ROUND(AVERAGE(I9:I30),2)</f>
        <v>18019.05</v>
      </c>
      <c r="J31" s="40">
        <f>ROUND(AVERAGE(J9:J30),2)</f>
        <v>18019.05</v>
      </c>
      <c r="K31" s="39">
        <f>ROUND(AVERAGE(I31:J31),2)</f>
        <v>18019.05</v>
      </c>
      <c r="L31" s="38">
        <f>ROUND(AVERAGE(L9:L30),2)</f>
        <v>18154.09</v>
      </c>
      <c r="M31" s="37">
        <f>ROUND(AVERAGE(M9:M30),4)</f>
        <v>1.2977000000000001</v>
      </c>
      <c r="N31" s="36">
        <f>ROUND(AVERAGE(N9:N30),4)</f>
        <v>1.1775</v>
      </c>
      <c r="O31" s="175">
        <f>ROUND(AVERAGE(O9:O30),2)</f>
        <v>105.22</v>
      </c>
      <c r="P31" s="35">
        <f>AVERAGE(P9:P30)</f>
        <v>13989.380909090907</v>
      </c>
      <c r="Q31" s="35">
        <f>AVERAGE(Q9:Q30)</f>
        <v>13979.190454545453</v>
      </c>
      <c r="R31" s="35">
        <f>AVERAGE(R9:R30)</f>
        <v>15417.361847253411</v>
      </c>
      <c r="S31" s="34">
        <f>AVERAGE(S9:S30)</f>
        <v>1.2985045454545454</v>
      </c>
    </row>
    <row r="32" spans="2:19" s="5" customFormat="1" x14ac:dyDescent="0.2">
      <c r="B32" s="33" t="s">
        <v>12</v>
      </c>
      <c r="C32" s="32">
        <f t="shared" ref="C32:S32" si="4">MAX(C9:C30)</f>
        <v>18750</v>
      </c>
      <c r="D32" s="31">
        <f t="shared" si="4"/>
        <v>18750</v>
      </c>
      <c r="E32" s="30">
        <f t="shared" si="4"/>
        <v>18750</v>
      </c>
      <c r="F32" s="32">
        <f t="shared" si="4"/>
        <v>18750</v>
      </c>
      <c r="G32" s="31">
        <f t="shared" si="4"/>
        <v>18750</v>
      </c>
      <c r="H32" s="30">
        <f t="shared" si="4"/>
        <v>18750</v>
      </c>
      <c r="I32" s="32">
        <f t="shared" si="4"/>
        <v>18613</v>
      </c>
      <c r="J32" s="31">
        <f t="shared" si="4"/>
        <v>18613</v>
      </c>
      <c r="K32" s="30">
        <f t="shared" si="4"/>
        <v>18613</v>
      </c>
      <c r="L32" s="29">
        <f t="shared" si="4"/>
        <v>18750</v>
      </c>
      <c r="M32" s="28">
        <f t="shared" si="4"/>
        <v>1.3097000000000001</v>
      </c>
      <c r="N32" s="27">
        <f t="shared" si="4"/>
        <v>1.1852</v>
      </c>
      <c r="O32" s="26">
        <f t="shared" si="4"/>
        <v>106.02</v>
      </c>
      <c r="P32" s="25">
        <f t="shared" si="4"/>
        <v>14357.91</v>
      </c>
      <c r="Q32" s="25">
        <f t="shared" si="4"/>
        <v>14349.12</v>
      </c>
      <c r="R32" s="25">
        <f t="shared" si="4"/>
        <v>15820.114748565642</v>
      </c>
      <c r="S32" s="24">
        <f t="shared" si="4"/>
        <v>1.3105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17506</v>
      </c>
      <c r="D33" s="21">
        <f t="shared" si="5"/>
        <v>17506</v>
      </c>
      <c r="E33" s="20">
        <f t="shared" si="5"/>
        <v>17506</v>
      </c>
      <c r="F33" s="22">
        <f t="shared" si="5"/>
        <v>17529</v>
      </c>
      <c r="G33" s="21">
        <f t="shared" si="5"/>
        <v>17529</v>
      </c>
      <c r="H33" s="20">
        <f t="shared" si="5"/>
        <v>17529</v>
      </c>
      <c r="I33" s="22">
        <f t="shared" si="5"/>
        <v>17393</v>
      </c>
      <c r="J33" s="21">
        <f t="shared" si="5"/>
        <v>17393</v>
      </c>
      <c r="K33" s="20">
        <f t="shared" si="5"/>
        <v>17393</v>
      </c>
      <c r="L33" s="19">
        <f t="shared" si="5"/>
        <v>17506</v>
      </c>
      <c r="M33" s="18">
        <f t="shared" si="5"/>
        <v>1.2878000000000001</v>
      </c>
      <c r="N33" s="17">
        <f t="shared" si="5"/>
        <v>1.1700999999999999</v>
      </c>
      <c r="O33" s="16">
        <f t="shared" si="5"/>
        <v>104.37</v>
      </c>
      <c r="P33" s="15">
        <f t="shared" si="5"/>
        <v>13501.47</v>
      </c>
      <c r="Q33" s="15">
        <f t="shared" si="5"/>
        <v>13509.83</v>
      </c>
      <c r="R33" s="15">
        <f t="shared" si="5"/>
        <v>14880.992859571576</v>
      </c>
      <c r="S33" s="14">
        <f t="shared" si="5"/>
        <v>1.2885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10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44105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44105</v>
      </c>
      <c r="C9" s="46">
        <v>14430</v>
      </c>
      <c r="D9" s="45">
        <v>14430</v>
      </c>
      <c r="E9" s="44">
        <f t="shared" ref="E9:E30" si="0">AVERAGE(C9:D9)</f>
        <v>14430</v>
      </c>
      <c r="F9" s="46">
        <v>14479</v>
      </c>
      <c r="G9" s="45">
        <v>14479</v>
      </c>
      <c r="H9" s="44">
        <f t="shared" ref="H9:H30" si="1">AVERAGE(F9:G9)</f>
        <v>14479</v>
      </c>
      <c r="I9" s="46">
        <v>14671</v>
      </c>
      <c r="J9" s="45">
        <v>14671</v>
      </c>
      <c r="K9" s="44">
        <f t="shared" ref="K9:K30" si="2">AVERAGE(I9:J9)</f>
        <v>14671</v>
      </c>
      <c r="L9" s="46">
        <v>14871</v>
      </c>
      <c r="M9" s="45">
        <v>14871</v>
      </c>
      <c r="N9" s="44">
        <f t="shared" ref="N9:N30" si="3">AVERAGE(L9:M9)</f>
        <v>14871</v>
      </c>
      <c r="O9" s="46">
        <v>15082</v>
      </c>
      <c r="P9" s="45">
        <v>15082</v>
      </c>
      <c r="Q9" s="44">
        <f t="shared" ref="Q9:Q30" si="4">AVERAGE(O9:P9)</f>
        <v>15082</v>
      </c>
      <c r="R9" s="52">
        <v>14430</v>
      </c>
      <c r="S9" s="51">
        <v>1.2966</v>
      </c>
      <c r="T9" s="53">
        <v>1.1763999999999999</v>
      </c>
      <c r="U9" s="50">
        <v>105.47</v>
      </c>
      <c r="V9" s="43">
        <v>11129.11</v>
      </c>
      <c r="W9" s="43">
        <v>11159.15</v>
      </c>
      <c r="X9" s="49">
        <f t="shared" ref="X9:X30" si="5">R9/T9</f>
        <v>12266.235974158451</v>
      </c>
      <c r="Y9" s="48">
        <v>1.2975000000000001</v>
      </c>
    </row>
    <row r="10" spans="1:25" x14ac:dyDescent="0.2">
      <c r="B10" s="47">
        <v>44106</v>
      </c>
      <c r="C10" s="46">
        <v>14271</v>
      </c>
      <c r="D10" s="45">
        <v>14271</v>
      </c>
      <c r="E10" s="44">
        <f t="shared" si="0"/>
        <v>14271</v>
      </c>
      <c r="F10" s="46">
        <v>14305</v>
      </c>
      <c r="G10" s="45">
        <v>14305</v>
      </c>
      <c r="H10" s="44">
        <f t="shared" si="1"/>
        <v>14305</v>
      </c>
      <c r="I10" s="46">
        <v>14498</v>
      </c>
      <c r="J10" s="45">
        <v>14498</v>
      </c>
      <c r="K10" s="44">
        <f t="shared" si="2"/>
        <v>14498</v>
      </c>
      <c r="L10" s="46">
        <v>14699</v>
      </c>
      <c r="M10" s="45">
        <v>14699</v>
      </c>
      <c r="N10" s="44">
        <f t="shared" si="3"/>
        <v>14699</v>
      </c>
      <c r="O10" s="46">
        <v>14910</v>
      </c>
      <c r="P10" s="45">
        <v>14910</v>
      </c>
      <c r="Q10" s="44">
        <f t="shared" si="4"/>
        <v>14910</v>
      </c>
      <c r="R10" s="52">
        <v>14271</v>
      </c>
      <c r="S10" s="51">
        <v>1.294</v>
      </c>
      <c r="T10" s="51">
        <v>1.1725000000000001</v>
      </c>
      <c r="U10" s="50">
        <v>105.18</v>
      </c>
      <c r="V10" s="43">
        <v>11028.59</v>
      </c>
      <c r="W10" s="43">
        <v>11048.04</v>
      </c>
      <c r="X10" s="49">
        <f t="shared" si="5"/>
        <v>12171.428571428571</v>
      </c>
      <c r="Y10" s="48">
        <v>1.2948</v>
      </c>
    </row>
    <row r="11" spans="1:25" x14ac:dyDescent="0.2">
      <c r="B11" s="47">
        <v>44109</v>
      </c>
      <c r="C11" s="46">
        <v>14360</v>
      </c>
      <c r="D11" s="45">
        <v>14360</v>
      </c>
      <c r="E11" s="44">
        <f t="shared" si="0"/>
        <v>14360</v>
      </c>
      <c r="F11" s="46">
        <v>14405</v>
      </c>
      <c r="G11" s="45">
        <v>14405</v>
      </c>
      <c r="H11" s="44">
        <f t="shared" si="1"/>
        <v>14405</v>
      </c>
      <c r="I11" s="46">
        <v>14600</v>
      </c>
      <c r="J11" s="45">
        <v>14600</v>
      </c>
      <c r="K11" s="44">
        <f t="shared" si="2"/>
        <v>14600</v>
      </c>
      <c r="L11" s="46">
        <v>14805</v>
      </c>
      <c r="M11" s="45">
        <v>14805</v>
      </c>
      <c r="N11" s="44">
        <f t="shared" si="3"/>
        <v>14805</v>
      </c>
      <c r="O11" s="46">
        <v>15011</v>
      </c>
      <c r="P11" s="45">
        <v>15011</v>
      </c>
      <c r="Q11" s="44">
        <f t="shared" si="4"/>
        <v>15011</v>
      </c>
      <c r="R11" s="52">
        <v>14360</v>
      </c>
      <c r="S11" s="51">
        <v>1.2952999999999999</v>
      </c>
      <c r="T11" s="51">
        <v>1.1765000000000001</v>
      </c>
      <c r="U11" s="50">
        <v>105.61</v>
      </c>
      <c r="V11" s="43">
        <v>11086.23</v>
      </c>
      <c r="W11" s="43">
        <v>11114.11</v>
      </c>
      <c r="X11" s="49">
        <f t="shared" si="5"/>
        <v>12205.694857628558</v>
      </c>
      <c r="Y11" s="48">
        <v>1.2961</v>
      </c>
    </row>
    <row r="12" spans="1:25" x14ac:dyDescent="0.2">
      <c r="B12" s="47">
        <v>44110</v>
      </c>
      <c r="C12" s="46">
        <v>14643</v>
      </c>
      <c r="D12" s="45">
        <v>14643</v>
      </c>
      <c r="E12" s="44">
        <f t="shared" si="0"/>
        <v>14643</v>
      </c>
      <c r="F12" s="46">
        <v>14683</v>
      </c>
      <c r="G12" s="45">
        <v>14683</v>
      </c>
      <c r="H12" s="44">
        <f t="shared" si="1"/>
        <v>14683</v>
      </c>
      <c r="I12" s="46">
        <v>14871</v>
      </c>
      <c r="J12" s="45">
        <v>14871</v>
      </c>
      <c r="K12" s="44">
        <f t="shared" si="2"/>
        <v>14871</v>
      </c>
      <c r="L12" s="46">
        <v>15076</v>
      </c>
      <c r="M12" s="45">
        <v>15076</v>
      </c>
      <c r="N12" s="44">
        <f t="shared" si="3"/>
        <v>15076</v>
      </c>
      <c r="O12" s="46">
        <v>15282</v>
      </c>
      <c r="P12" s="45">
        <v>15282</v>
      </c>
      <c r="Q12" s="44">
        <f t="shared" si="4"/>
        <v>15282</v>
      </c>
      <c r="R12" s="52">
        <v>14643</v>
      </c>
      <c r="S12" s="51">
        <v>1.2952999999999999</v>
      </c>
      <c r="T12" s="51">
        <v>1.1796</v>
      </c>
      <c r="U12" s="50">
        <v>105.62</v>
      </c>
      <c r="V12" s="43">
        <v>11304.72</v>
      </c>
      <c r="W12" s="43">
        <v>11328.6</v>
      </c>
      <c r="X12" s="49">
        <f t="shared" si="5"/>
        <v>12413.530010172941</v>
      </c>
      <c r="Y12" s="48">
        <v>1.2961</v>
      </c>
    </row>
    <row r="13" spans="1:25" x14ac:dyDescent="0.2">
      <c r="B13" s="47">
        <v>44111</v>
      </c>
      <c r="C13" s="46">
        <v>14570</v>
      </c>
      <c r="D13" s="45">
        <v>14570</v>
      </c>
      <c r="E13" s="44">
        <f t="shared" si="0"/>
        <v>14570</v>
      </c>
      <c r="F13" s="46">
        <v>14608</v>
      </c>
      <c r="G13" s="45">
        <v>14608</v>
      </c>
      <c r="H13" s="44">
        <f t="shared" si="1"/>
        <v>14608</v>
      </c>
      <c r="I13" s="46">
        <v>14800</v>
      </c>
      <c r="J13" s="45">
        <v>14800</v>
      </c>
      <c r="K13" s="44">
        <f t="shared" si="2"/>
        <v>14800</v>
      </c>
      <c r="L13" s="46">
        <v>15005</v>
      </c>
      <c r="M13" s="45">
        <v>15005</v>
      </c>
      <c r="N13" s="44">
        <f t="shared" si="3"/>
        <v>15005</v>
      </c>
      <c r="O13" s="46">
        <v>15211</v>
      </c>
      <c r="P13" s="45">
        <v>15211</v>
      </c>
      <c r="Q13" s="44">
        <f t="shared" si="4"/>
        <v>15211</v>
      </c>
      <c r="R13" s="52">
        <v>14570</v>
      </c>
      <c r="S13" s="51">
        <v>1.2878000000000001</v>
      </c>
      <c r="T13" s="51">
        <v>1.1774</v>
      </c>
      <c r="U13" s="50">
        <v>106.02</v>
      </c>
      <c r="V13" s="43">
        <v>11313.87</v>
      </c>
      <c r="W13" s="43">
        <v>11337.21</v>
      </c>
      <c r="X13" s="49">
        <f t="shared" si="5"/>
        <v>12374.723968065229</v>
      </c>
      <c r="Y13" s="48">
        <v>1.2885</v>
      </c>
    </row>
    <row r="14" spans="1:25" x14ac:dyDescent="0.2">
      <c r="B14" s="47">
        <v>44112</v>
      </c>
      <c r="C14" s="46">
        <v>14687</v>
      </c>
      <c r="D14" s="45">
        <v>14687</v>
      </c>
      <c r="E14" s="44">
        <f t="shared" si="0"/>
        <v>14687</v>
      </c>
      <c r="F14" s="46">
        <v>14728</v>
      </c>
      <c r="G14" s="45">
        <v>14728</v>
      </c>
      <c r="H14" s="44">
        <f t="shared" si="1"/>
        <v>14728</v>
      </c>
      <c r="I14" s="46">
        <v>14921</v>
      </c>
      <c r="J14" s="45">
        <v>14921</v>
      </c>
      <c r="K14" s="44">
        <f t="shared" si="2"/>
        <v>14921</v>
      </c>
      <c r="L14" s="46">
        <v>15126</v>
      </c>
      <c r="M14" s="45">
        <v>15126</v>
      </c>
      <c r="N14" s="44">
        <f t="shared" si="3"/>
        <v>15126</v>
      </c>
      <c r="O14" s="46">
        <v>15332</v>
      </c>
      <c r="P14" s="45">
        <v>15332</v>
      </c>
      <c r="Q14" s="44">
        <f t="shared" si="4"/>
        <v>15332</v>
      </c>
      <c r="R14" s="52">
        <v>14687</v>
      </c>
      <c r="S14" s="51">
        <v>1.2904</v>
      </c>
      <c r="T14" s="51">
        <v>1.1759999999999999</v>
      </c>
      <c r="U14" s="50">
        <v>106.01</v>
      </c>
      <c r="V14" s="43">
        <v>11381.74</v>
      </c>
      <c r="W14" s="43">
        <v>11407.33</v>
      </c>
      <c r="X14" s="49">
        <f t="shared" si="5"/>
        <v>12488.945578231293</v>
      </c>
      <c r="Y14" s="48">
        <v>1.2910999999999999</v>
      </c>
    </row>
    <row r="15" spans="1:25" x14ac:dyDescent="0.2">
      <c r="B15" s="47">
        <v>44113</v>
      </c>
      <c r="C15" s="46">
        <v>14990</v>
      </c>
      <c r="D15" s="45">
        <v>14990</v>
      </c>
      <c r="E15" s="44">
        <f t="shared" si="0"/>
        <v>14990</v>
      </c>
      <c r="F15" s="46">
        <v>15028</v>
      </c>
      <c r="G15" s="45">
        <v>15028</v>
      </c>
      <c r="H15" s="44">
        <f t="shared" si="1"/>
        <v>15028</v>
      </c>
      <c r="I15" s="46">
        <v>15220</v>
      </c>
      <c r="J15" s="45">
        <v>15220</v>
      </c>
      <c r="K15" s="44">
        <f t="shared" si="2"/>
        <v>15220</v>
      </c>
      <c r="L15" s="46">
        <v>15423</v>
      </c>
      <c r="M15" s="45">
        <v>15423</v>
      </c>
      <c r="N15" s="44">
        <f t="shared" si="3"/>
        <v>15423</v>
      </c>
      <c r="O15" s="46">
        <v>15629</v>
      </c>
      <c r="P15" s="45">
        <v>15629</v>
      </c>
      <c r="Q15" s="44">
        <f t="shared" si="4"/>
        <v>15629</v>
      </c>
      <c r="R15" s="52">
        <v>14990</v>
      </c>
      <c r="S15" s="51">
        <v>1.2943</v>
      </c>
      <c r="T15" s="51">
        <v>1.18</v>
      </c>
      <c r="U15" s="50">
        <v>105.92</v>
      </c>
      <c r="V15" s="43">
        <v>11581.55</v>
      </c>
      <c r="W15" s="43">
        <v>11603.74</v>
      </c>
      <c r="X15" s="49">
        <f t="shared" si="5"/>
        <v>12703.389830508475</v>
      </c>
      <c r="Y15" s="48">
        <v>1.2950999999999999</v>
      </c>
    </row>
    <row r="16" spans="1:25" x14ac:dyDescent="0.2">
      <c r="B16" s="47">
        <v>44116</v>
      </c>
      <c r="C16" s="46">
        <v>15217</v>
      </c>
      <c r="D16" s="45">
        <v>15217</v>
      </c>
      <c r="E16" s="44">
        <f t="shared" si="0"/>
        <v>15217</v>
      </c>
      <c r="F16" s="46">
        <v>15257</v>
      </c>
      <c r="G16" s="45">
        <v>15257</v>
      </c>
      <c r="H16" s="44">
        <f t="shared" si="1"/>
        <v>15257</v>
      </c>
      <c r="I16" s="46">
        <v>15445</v>
      </c>
      <c r="J16" s="45">
        <v>15445</v>
      </c>
      <c r="K16" s="44">
        <f t="shared" si="2"/>
        <v>15445</v>
      </c>
      <c r="L16" s="46">
        <v>15643</v>
      </c>
      <c r="M16" s="45">
        <v>15643</v>
      </c>
      <c r="N16" s="44">
        <f t="shared" si="3"/>
        <v>15643</v>
      </c>
      <c r="O16" s="46">
        <v>15849</v>
      </c>
      <c r="P16" s="45">
        <v>15849</v>
      </c>
      <c r="Q16" s="44">
        <f t="shared" si="4"/>
        <v>15849</v>
      </c>
      <c r="R16" s="52">
        <v>15217</v>
      </c>
      <c r="S16" s="51">
        <v>1.3022</v>
      </c>
      <c r="T16" s="51">
        <v>1.1795</v>
      </c>
      <c r="U16" s="50">
        <v>105.46</v>
      </c>
      <c r="V16" s="43">
        <v>11685.61</v>
      </c>
      <c r="W16" s="43">
        <v>11709.13</v>
      </c>
      <c r="X16" s="49">
        <f t="shared" si="5"/>
        <v>12901.229334463756</v>
      </c>
      <c r="Y16" s="48">
        <v>1.3029999999999999</v>
      </c>
    </row>
    <row r="17" spans="2:25" x14ac:dyDescent="0.2">
      <c r="B17" s="47">
        <v>44117</v>
      </c>
      <c r="C17" s="46">
        <v>15147</v>
      </c>
      <c r="D17" s="45">
        <v>15147</v>
      </c>
      <c r="E17" s="44">
        <f t="shared" si="0"/>
        <v>15147</v>
      </c>
      <c r="F17" s="46">
        <v>15199</v>
      </c>
      <c r="G17" s="45">
        <v>15199</v>
      </c>
      <c r="H17" s="44">
        <f t="shared" si="1"/>
        <v>15199</v>
      </c>
      <c r="I17" s="46">
        <v>15388</v>
      </c>
      <c r="J17" s="45">
        <v>15388</v>
      </c>
      <c r="K17" s="44">
        <f t="shared" si="2"/>
        <v>15388</v>
      </c>
      <c r="L17" s="46">
        <v>15586</v>
      </c>
      <c r="M17" s="45">
        <v>15586</v>
      </c>
      <c r="N17" s="44">
        <f t="shared" si="3"/>
        <v>15586</v>
      </c>
      <c r="O17" s="46">
        <v>15792</v>
      </c>
      <c r="P17" s="45">
        <v>15792</v>
      </c>
      <c r="Q17" s="44">
        <f t="shared" si="4"/>
        <v>15792</v>
      </c>
      <c r="R17" s="52">
        <v>15147</v>
      </c>
      <c r="S17" s="51">
        <v>1.3031999999999999</v>
      </c>
      <c r="T17" s="51">
        <v>1.1789000000000001</v>
      </c>
      <c r="U17" s="50">
        <v>105.51</v>
      </c>
      <c r="V17" s="43">
        <v>11622.93</v>
      </c>
      <c r="W17" s="43">
        <v>11655.67</v>
      </c>
      <c r="X17" s="49">
        <f t="shared" si="5"/>
        <v>12848.418016795316</v>
      </c>
      <c r="Y17" s="48">
        <v>1.304</v>
      </c>
    </row>
    <row r="18" spans="2:25" x14ac:dyDescent="0.2">
      <c r="B18" s="47">
        <v>44118</v>
      </c>
      <c r="C18" s="46">
        <v>15105</v>
      </c>
      <c r="D18" s="45">
        <v>15105</v>
      </c>
      <c r="E18" s="44">
        <f t="shared" si="0"/>
        <v>15105</v>
      </c>
      <c r="F18" s="46">
        <v>15152</v>
      </c>
      <c r="G18" s="45">
        <v>15152</v>
      </c>
      <c r="H18" s="44">
        <f t="shared" si="1"/>
        <v>15152</v>
      </c>
      <c r="I18" s="46">
        <v>15336</v>
      </c>
      <c r="J18" s="45">
        <v>15336</v>
      </c>
      <c r="K18" s="44">
        <f t="shared" si="2"/>
        <v>15336</v>
      </c>
      <c r="L18" s="46">
        <v>15534</v>
      </c>
      <c r="M18" s="45">
        <v>15534</v>
      </c>
      <c r="N18" s="44">
        <f t="shared" si="3"/>
        <v>15534</v>
      </c>
      <c r="O18" s="46">
        <v>15740</v>
      </c>
      <c r="P18" s="45">
        <v>15740</v>
      </c>
      <c r="Q18" s="44">
        <f t="shared" si="4"/>
        <v>15740</v>
      </c>
      <c r="R18" s="52">
        <v>15105</v>
      </c>
      <c r="S18" s="51">
        <v>1.2982</v>
      </c>
      <c r="T18" s="51">
        <v>1.1748000000000001</v>
      </c>
      <c r="U18" s="50">
        <v>105.34</v>
      </c>
      <c r="V18" s="43">
        <v>11635.34</v>
      </c>
      <c r="W18" s="43">
        <v>11664.36</v>
      </c>
      <c r="X18" s="49">
        <f t="shared" si="5"/>
        <v>12857.507660878447</v>
      </c>
      <c r="Y18" s="48">
        <v>1.2989999999999999</v>
      </c>
    </row>
    <row r="19" spans="2:25" x14ac:dyDescent="0.2">
      <c r="B19" s="47">
        <v>44119</v>
      </c>
      <c r="C19" s="46">
        <v>15353</v>
      </c>
      <c r="D19" s="45">
        <v>15353</v>
      </c>
      <c r="E19" s="44">
        <f t="shared" si="0"/>
        <v>15353</v>
      </c>
      <c r="F19" s="46">
        <v>15400</v>
      </c>
      <c r="G19" s="45">
        <v>15400</v>
      </c>
      <c r="H19" s="44">
        <f t="shared" si="1"/>
        <v>15400</v>
      </c>
      <c r="I19" s="46">
        <v>15582</v>
      </c>
      <c r="J19" s="45">
        <v>15582</v>
      </c>
      <c r="K19" s="44">
        <f t="shared" si="2"/>
        <v>15582</v>
      </c>
      <c r="L19" s="46">
        <v>15777</v>
      </c>
      <c r="M19" s="45">
        <v>15777</v>
      </c>
      <c r="N19" s="44">
        <f t="shared" si="3"/>
        <v>15777</v>
      </c>
      <c r="O19" s="46">
        <v>15977</v>
      </c>
      <c r="P19" s="45">
        <v>15977</v>
      </c>
      <c r="Q19" s="44">
        <f t="shared" si="4"/>
        <v>15977</v>
      </c>
      <c r="R19" s="52">
        <v>15353</v>
      </c>
      <c r="S19" s="51">
        <v>1.2927</v>
      </c>
      <c r="T19" s="51">
        <v>1.1708000000000001</v>
      </c>
      <c r="U19" s="50">
        <v>105.27</v>
      </c>
      <c r="V19" s="43">
        <v>11876.69</v>
      </c>
      <c r="W19" s="43">
        <v>11905.68</v>
      </c>
      <c r="X19" s="49">
        <f t="shared" si="5"/>
        <v>13113.255893406218</v>
      </c>
      <c r="Y19" s="48">
        <v>1.2935000000000001</v>
      </c>
    </row>
    <row r="20" spans="2:25" x14ac:dyDescent="0.2">
      <c r="B20" s="47">
        <v>44120</v>
      </c>
      <c r="C20" s="46">
        <v>15603</v>
      </c>
      <c r="D20" s="45">
        <v>15603</v>
      </c>
      <c r="E20" s="44">
        <f t="shared" si="0"/>
        <v>15603</v>
      </c>
      <c r="F20" s="46">
        <v>15651</v>
      </c>
      <c r="G20" s="45">
        <v>15651</v>
      </c>
      <c r="H20" s="44">
        <f t="shared" si="1"/>
        <v>15651</v>
      </c>
      <c r="I20" s="46">
        <v>15830</v>
      </c>
      <c r="J20" s="45">
        <v>15830</v>
      </c>
      <c r="K20" s="44">
        <f t="shared" si="2"/>
        <v>15830</v>
      </c>
      <c r="L20" s="46">
        <v>16018</v>
      </c>
      <c r="M20" s="45">
        <v>16018</v>
      </c>
      <c r="N20" s="44">
        <f t="shared" si="3"/>
        <v>16018</v>
      </c>
      <c r="O20" s="46">
        <v>16218</v>
      </c>
      <c r="P20" s="45">
        <v>16218</v>
      </c>
      <c r="Q20" s="44">
        <f t="shared" si="4"/>
        <v>16218</v>
      </c>
      <c r="R20" s="52">
        <v>15603</v>
      </c>
      <c r="S20" s="51">
        <v>1.2914000000000001</v>
      </c>
      <c r="T20" s="51">
        <v>1.1732</v>
      </c>
      <c r="U20" s="50">
        <v>105.26</v>
      </c>
      <c r="V20" s="43">
        <v>12082.24</v>
      </c>
      <c r="W20" s="43">
        <v>12112.84</v>
      </c>
      <c r="X20" s="49">
        <f t="shared" si="5"/>
        <v>13299.522673031026</v>
      </c>
      <c r="Y20" s="48">
        <v>1.2921</v>
      </c>
    </row>
    <row r="21" spans="2:25" x14ac:dyDescent="0.2">
      <c r="B21" s="47">
        <v>44123</v>
      </c>
      <c r="C21" s="46">
        <v>15653</v>
      </c>
      <c r="D21" s="45">
        <v>15653</v>
      </c>
      <c r="E21" s="44">
        <f t="shared" si="0"/>
        <v>15653</v>
      </c>
      <c r="F21" s="46">
        <v>15704</v>
      </c>
      <c r="G21" s="45">
        <v>15704</v>
      </c>
      <c r="H21" s="44">
        <f t="shared" si="1"/>
        <v>15704</v>
      </c>
      <c r="I21" s="46">
        <v>15882</v>
      </c>
      <c r="J21" s="45">
        <v>15882</v>
      </c>
      <c r="K21" s="44">
        <f t="shared" si="2"/>
        <v>15882</v>
      </c>
      <c r="L21" s="46">
        <v>16069</v>
      </c>
      <c r="M21" s="45">
        <v>16069</v>
      </c>
      <c r="N21" s="44">
        <f t="shared" si="3"/>
        <v>16069</v>
      </c>
      <c r="O21" s="46">
        <v>16269</v>
      </c>
      <c r="P21" s="45">
        <v>16269</v>
      </c>
      <c r="Q21" s="44">
        <f t="shared" si="4"/>
        <v>16269</v>
      </c>
      <c r="R21" s="52">
        <v>15653</v>
      </c>
      <c r="S21" s="51">
        <v>1.3012999999999999</v>
      </c>
      <c r="T21" s="51">
        <v>1.1786000000000001</v>
      </c>
      <c r="U21" s="50">
        <v>105.32</v>
      </c>
      <c r="V21" s="43">
        <v>12028.74</v>
      </c>
      <c r="W21" s="43">
        <v>12060.52</v>
      </c>
      <c r="X21" s="49">
        <f t="shared" si="5"/>
        <v>13281.011369421347</v>
      </c>
      <c r="Y21" s="48">
        <v>1.3021</v>
      </c>
    </row>
    <row r="22" spans="2:25" x14ac:dyDescent="0.2">
      <c r="B22" s="47">
        <v>44124</v>
      </c>
      <c r="C22" s="46">
        <v>15791</v>
      </c>
      <c r="D22" s="45">
        <v>15791</v>
      </c>
      <c r="E22" s="44">
        <f t="shared" si="0"/>
        <v>15791</v>
      </c>
      <c r="F22" s="46">
        <v>15822</v>
      </c>
      <c r="G22" s="45">
        <v>15822</v>
      </c>
      <c r="H22" s="44">
        <f t="shared" si="1"/>
        <v>15822</v>
      </c>
      <c r="I22" s="46">
        <v>15999</v>
      </c>
      <c r="J22" s="45">
        <v>15999</v>
      </c>
      <c r="K22" s="44">
        <f t="shared" si="2"/>
        <v>15999</v>
      </c>
      <c r="L22" s="46">
        <v>16187</v>
      </c>
      <c r="M22" s="45">
        <v>16187</v>
      </c>
      <c r="N22" s="44">
        <f t="shared" si="3"/>
        <v>16187</v>
      </c>
      <c r="O22" s="46">
        <v>16382</v>
      </c>
      <c r="P22" s="45">
        <v>16382</v>
      </c>
      <c r="Q22" s="44">
        <f t="shared" si="4"/>
        <v>16382</v>
      </c>
      <c r="R22" s="52">
        <v>15791</v>
      </c>
      <c r="S22" s="51">
        <v>1.2937000000000001</v>
      </c>
      <c r="T22" s="51">
        <v>1.1806000000000001</v>
      </c>
      <c r="U22" s="50">
        <v>105.68</v>
      </c>
      <c r="V22" s="43">
        <v>12206.08</v>
      </c>
      <c r="W22" s="43">
        <v>12222.48</v>
      </c>
      <c r="X22" s="49">
        <f t="shared" si="5"/>
        <v>13375.402337794341</v>
      </c>
      <c r="Y22" s="48">
        <v>1.2945</v>
      </c>
    </row>
    <row r="23" spans="2:25" x14ac:dyDescent="0.2">
      <c r="B23" s="47">
        <v>44125</v>
      </c>
      <c r="C23" s="46">
        <v>16064</v>
      </c>
      <c r="D23" s="45">
        <v>16064</v>
      </c>
      <c r="E23" s="44">
        <f t="shared" si="0"/>
        <v>16064</v>
      </c>
      <c r="F23" s="46">
        <v>16101</v>
      </c>
      <c r="G23" s="45">
        <v>16101</v>
      </c>
      <c r="H23" s="44">
        <f t="shared" si="1"/>
        <v>16101</v>
      </c>
      <c r="I23" s="46">
        <v>16275</v>
      </c>
      <c r="J23" s="45">
        <v>16275</v>
      </c>
      <c r="K23" s="44">
        <f t="shared" si="2"/>
        <v>16275</v>
      </c>
      <c r="L23" s="46">
        <v>16465</v>
      </c>
      <c r="M23" s="45">
        <v>16465</v>
      </c>
      <c r="N23" s="44">
        <f t="shared" si="3"/>
        <v>16465</v>
      </c>
      <c r="O23" s="46">
        <v>16660</v>
      </c>
      <c r="P23" s="45">
        <v>16660</v>
      </c>
      <c r="Q23" s="44">
        <f t="shared" si="4"/>
        <v>16660</v>
      </c>
      <c r="R23" s="52">
        <v>16064</v>
      </c>
      <c r="S23" s="51">
        <v>1.3059000000000001</v>
      </c>
      <c r="T23" s="51">
        <v>1.1852</v>
      </c>
      <c r="U23" s="50">
        <v>104.86</v>
      </c>
      <c r="V23" s="43">
        <v>12301.1</v>
      </c>
      <c r="W23" s="43">
        <v>12321.88</v>
      </c>
      <c r="X23" s="49">
        <f t="shared" si="5"/>
        <v>13553.830577117786</v>
      </c>
      <c r="Y23" s="48">
        <v>1.3067</v>
      </c>
    </row>
    <row r="24" spans="2:25" x14ac:dyDescent="0.2">
      <c r="B24" s="47">
        <v>44126</v>
      </c>
      <c r="C24" s="46">
        <v>15707</v>
      </c>
      <c r="D24" s="45">
        <v>15707</v>
      </c>
      <c r="E24" s="44">
        <f t="shared" si="0"/>
        <v>15707</v>
      </c>
      <c r="F24" s="46">
        <v>15740</v>
      </c>
      <c r="G24" s="45">
        <v>15740</v>
      </c>
      <c r="H24" s="44">
        <f t="shared" si="1"/>
        <v>15740</v>
      </c>
      <c r="I24" s="46">
        <v>15917</v>
      </c>
      <c r="J24" s="45">
        <v>15917</v>
      </c>
      <c r="K24" s="44">
        <f t="shared" si="2"/>
        <v>15917</v>
      </c>
      <c r="L24" s="46">
        <v>16106</v>
      </c>
      <c r="M24" s="45">
        <v>16106</v>
      </c>
      <c r="N24" s="44">
        <f t="shared" si="3"/>
        <v>16106</v>
      </c>
      <c r="O24" s="46">
        <v>16301</v>
      </c>
      <c r="P24" s="45">
        <v>16301</v>
      </c>
      <c r="Q24" s="44">
        <f t="shared" si="4"/>
        <v>16301</v>
      </c>
      <c r="R24" s="52">
        <v>15707</v>
      </c>
      <c r="S24" s="51">
        <v>1.3097000000000001</v>
      </c>
      <c r="T24" s="51">
        <v>1.1825000000000001</v>
      </c>
      <c r="U24" s="50">
        <v>104.67</v>
      </c>
      <c r="V24" s="43">
        <v>11992.82</v>
      </c>
      <c r="W24" s="43">
        <v>12010.68</v>
      </c>
      <c r="X24" s="49">
        <f t="shared" si="5"/>
        <v>13282.875264270611</v>
      </c>
      <c r="Y24" s="48">
        <v>1.3105</v>
      </c>
    </row>
    <row r="25" spans="2:25" x14ac:dyDescent="0.2">
      <c r="B25" s="47">
        <v>44127</v>
      </c>
      <c r="C25" s="46">
        <v>15768</v>
      </c>
      <c r="D25" s="45">
        <v>15768</v>
      </c>
      <c r="E25" s="44">
        <f t="shared" si="0"/>
        <v>15768</v>
      </c>
      <c r="F25" s="46">
        <v>15796</v>
      </c>
      <c r="G25" s="45">
        <v>15796</v>
      </c>
      <c r="H25" s="44">
        <f t="shared" si="1"/>
        <v>15796</v>
      </c>
      <c r="I25" s="46">
        <v>15975</v>
      </c>
      <c r="J25" s="45">
        <v>15975</v>
      </c>
      <c r="K25" s="44">
        <f t="shared" si="2"/>
        <v>15975</v>
      </c>
      <c r="L25" s="46">
        <v>16165</v>
      </c>
      <c r="M25" s="45">
        <v>16165</v>
      </c>
      <c r="N25" s="44">
        <f t="shared" si="3"/>
        <v>16165</v>
      </c>
      <c r="O25" s="46">
        <v>16360</v>
      </c>
      <c r="P25" s="45">
        <v>16360</v>
      </c>
      <c r="Q25" s="44">
        <f t="shared" si="4"/>
        <v>16360</v>
      </c>
      <c r="R25" s="52">
        <v>15768</v>
      </c>
      <c r="S25" s="51">
        <v>1.3068</v>
      </c>
      <c r="T25" s="51">
        <v>1.1846000000000001</v>
      </c>
      <c r="U25" s="50">
        <v>104.78</v>
      </c>
      <c r="V25" s="43">
        <v>12066.12</v>
      </c>
      <c r="W25" s="43">
        <v>12079.22</v>
      </c>
      <c r="X25" s="49">
        <f t="shared" si="5"/>
        <v>13310.822218470368</v>
      </c>
      <c r="Y25" s="48">
        <v>1.3077000000000001</v>
      </c>
    </row>
    <row r="26" spans="2:25" x14ac:dyDescent="0.2">
      <c r="B26" s="47">
        <v>44130</v>
      </c>
      <c r="C26" s="46">
        <v>15397</v>
      </c>
      <c r="D26" s="45">
        <v>15397</v>
      </c>
      <c r="E26" s="44">
        <f t="shared" si="0"/>
        <v>15397</v>
      </c>
      <c r="F26" s="46">
        <v>15418</v>
      </c>
      <c r="G26" s="45">
        <v>15418</v>
      </c>
      <c r="H26" s="44">
        <f t="shared" si="1"/>
        <v>15418</v>
      </c>
      <c r="I26" s="46">
        <v>15597</v>
      </c>
      <c r="J26" s="45">
        <v>15597</v>
      </c>
      <c r="K26" s="44">
        <f t="shared" si="2"/>
        <v>15597</v>
      </c>
      <c r="L26" s="46">
        <v>15787</v>
      </c>
      <c r="M26" s="45">
        <v>15787</v>
      </c>
      <c r="N26" s="44">
        <f t="shared" si="3"/>
        <v>15787</v>
      </c>
      <c r="O26" s="46">
        <v>15982</v>
      </c>
      <c r="P26" s="45">
        <v>15982</v>
      </c>
      <c r="Q26" s="44">
        <f t="shared" si="4"/>
        <v>15982</v>
      </c>
      <c r="R26" s="52">
        <v>15397</v>
      </c>
      <c r="S26" s="51">
        <v>1.3025</v>
      </c>
      <c r="T26" s="51">
        <v>1.1814</v>
      </c>
      <c r="U26" s="50">
        <v>105.02</v>
      </c>
      <c r="V26" s="43">
        <v>11821.11</v>
      </c>
      <c r="W26" s="43">
        <v>11829.06</v>
      </c>
      <c r="X26" s="49">
        <f t="shared" si="5"/>
        <v>13032.84239038429</v>
      </c>
      <c r="Y26" s="48">
        <v>1.3033999999999999</v>
      </c>
    </row>
    <row r="27" spans="2:25" x14ac:dyDescent="0.2">
      <c r="B27" s="47">
        <v>44131</v>
      </c>
      <c r="C27" s="46">
        <v>15602</v>
      </c>
      <c r="D27" s="45">
        <v>15602</v>
      </c>
      <c r="E27" s="44">
        <f t="shared" si="0"/>
        <v>15602</v>
      </c>
      <c r="F27" s="46">
        <v>15644</v>
      </c>
      <c r="G27" s="45">
        <v>15644</v>
      </c>
      <c r="H27" s="44">
        <f t="shared" si="1"/>
        <v>15644</v>
      </c>
      <c r="I27" s="46">
        <v>15820</v>
      </c>
      <c r="J27" s="45">
        <v>15820</v>
      </c>
      <c r="K27" s="44">
        <f t="shared" si="2"/>
        <v>15820</v>
      </c>
      <c r="L27" s="46">
        <v>16010</v>
      </c>
      <c r="M27" s="45">
        <v>16010</v>
      </c>
      <c r="N27" s="44">
        <f t="shared" si="3"/>
        <v>16010</v>
      </c>
      <c r="O27" s="46">
        <v>16205</v>
      </c>
      <c r="P27" s="45">
        <v>16205</v>
      </c>
      <c r="Q27" s="44">
        <f t="shared" si="4"/>
        <v>16205</v>
      </c>
      <c r="R27" s="52">
        <v>15602</v>
      </c>
      <c r="S27" s="51">
        <v>1.3029999999999999</v>
      </c>
      <c r="T27" s="51">
        <v>1.1828000000000001</v>
      </c>
      <c r="U27" s="50">
        <v>104.67</v>
      </c>
      <c r="V27" s="43">
        <v>11973.91</v>
      </c>
      <c r="W27" s="43">
        <v>11997.85</v>
      </c>
      <c r="X27" s="49">
        <f t="shared" si="5"/>
        <v>13190.733851876901</v>
      </c>
      <c r="Y27" s="48">
        <v>1.3039000000000001</v>
      </c>
    </row>
    <row r="28" spans="2:25" x14ac:dyDescent="0.2">
      <c r="B28" s="47">
        <v>44132</v>
      </c>
      <c r="C28" s="46">
        <v>15819</v>
      </c>
      <c r="D28" s="45">
        <v>15819</v>
      </c>
      <c r="E28" s="44">
        <f t="shared" si="0"/>
        <v>15819</v>
      </c>
      <c r="F28" s="46">
        <v>15849</v>
      </c>
      <c r="G28" s="45">
        <v>15849</v>
      </c>
      <c r="H28" s="44">
        <f t="shared" si="1"/>
        <v>15849</v>
      </c>
      <c r="I28" s="46">
        <v>16017</v>
      </c>
      <c r="J28" s="45">
        <v>16017</v>
      </c>
      <c r="K28" s="44">
        <f t="shared" si="2"/>
        <v>16017</v>
      </c>
      <c r="L28" s="46">
        <v>16205</v>
      </c>
      <c r="M28" s="45">
        <v>16205</v>
      </c>
      <c r="N28" s="44">
        <f t="shared" si="3"/>
        <v>16205</v>
      </c>
      <c r="O28" s="46">
        <v>16400</v>
      </c>
      <c r="P28" s="45">
        <v>16400</v>
      </c>
      <c r="Q28" s="44">
        <f t="shared" si="4"/>
        <v>16400</v>
      </c>
      <c r="R28" s="52">
        <v>15819</v>
      </c>
      <c r="S28" s="51">
        <v>1.2941</v>
      </c>
      <c r="T28" s="51">
        <v>1.1727000000000001</v>
      </c>
      <c r="U28" s="50">
        <v>104.39</v>
      </c>
      <c r="V28" s="43">
        <v>12223.94</v>
      </c>
      <c r="W28" s="43">
        <v>12239.56</v>
      </c>
      <c r="X28" s="49">
        <f t="shared" si="5"/>
        <v>13489.383474034279</v>
      </c>
      <c r="Y28" s="48">
        <v>1.2948999999999999</v>
      </c>
    </row>
    <row r="29" spans="2:25" x14ac:dyDescent="0.2">
      <c r="B29" s="47">
        <v>44133</v>
      </c>
      <c r="C29" s="46">
        <v>15393</v>
      </c>
      <c r="D29" s="45">
        <v>15393</v>
      </c>
      <c r="E29" s="44">
        <f t="shared" si="0"/>
        <v>15393</v>
      </c>
      <c r="F29" s="46">
        <v>15435</v>
      </c>
      <c r="G29" s="45">
        <v>15435</v>
      </c>
      <c r="H29" s="44">
        <f t="shared" si="1"/>
        <v>15435</v>
      </c>
      <c r="I29" s="46">
        <v>15598</v>
      </c>
      <c r="J29" s="45">
        <v>15598</v>
      </c>
      <c r="K29" s="44">
        <f t="shared" si="2"/>
        <v>15598</v>
      </c>
      <c r="L29" s="46">
        <v>15783</v>
      </c>
      <c r="M29" s="45">
        <v>15783</v>
      </c>
      <c r="N29" s="44">
        <f t="shared" si="3"/>
        <v>15783</v>
      </c>
      <c r="O29" s="46">
        <v>15978</v>
      </c>
      <c r="P29" s="45">
        <v>15978</v>
      </c>
      <c r="Q29" s="44">
        <f t="shared" si="4"/>
        <v>15978</v>
      </c>
      <c r="R29" s="52">
        <v>15393</v>
      </c>
      <c r="S29" s="51">
        <v>1.2935000000000001</v>
      </c>
      <c r="T29" s="51">
        <v>1.1704000000000001</v>
      </c>
      <c r="U29" s="50">
        <v>104.37</v>
      </c>
      <c r="V29" s="43">
        <v>11900.27</v>
      </c>
      <c r="W29" s="43">
        <v>11924.44</v>
      </c>
      <c r="X29" s="49">
        <f t="shared" si="5"/>
        <v>13151.913875598086</v>
      </c>
      <c r="Y29" s="48">
        <v>1.2944</v>
      </c>
    </row>
    <row r="30" spans="2:25" x14ac:dyDescent="0.2">
      <c r="B30" s="47">
        <v>44134</v>
      </c>
      <c r="C30" s="46">
        <v>15256</v>
      </c>
      <c r="D30" s="45">
        <v>15256</v>
      </c>
      <c r="E30" s="44">
        <f t="shared" si="0"/>
        <v>15256</v>
      </c>
      <c r="F30" s="46">
        <v>15289</v>
      </c>
      <c r="G30" s="45">
        <v>15289</v>
      </c>
      <c r="H30" s="44">
        <f t="shared" si="1"/>
        <v>15289</v>
      </c>
      <c r="I30" s="46">
        <v>15456</v>
      </c>
      <c r="J30" s="45">
        <v>15456</v>
      </c>
      <c r="K30" s="44">
        <f t="shared" si="2"/>
        <v>15456</v>
      </c>
      <c r="L30" s="46">
        <v>15638</v>
      </c>
      <c r="M30" s="45">
        <v>15638</v>
      </c>
      <c r="N30" s="44">
        <f t="shared" si="3"/>
        <v>15638</v>
      </c>
      <c r="O30" s="46">
        <v>15833</v>
      </c>
      <c r="P30" s="45">
        <v>15833</v>
      </c>
      <c r="Q30" s="44">
        <f t="shared" si="4"/>
        <v>15833</v>
      </c>
      <c r="R30" s="52">
        <v>15256</v>
      </c>
      <c r="S30" s="51">
        <v>1.2972999999999999</v>
      </c>
      <c r="T30" s="51">
        <v>1.1700999999999999</v>
      </c>
      <c r="U30" s="50">
        <v>104.48</v>
      </c>
      <c r="V30" s="43">
        <v>11759.81</v>
      </c>
      <c r="W30" s="43">
        <v>11777.08</v>
      </c>
      <c r="X30" s="49">
        <f t="shared" si="5"/>
        <v>13038.201863088625</v>
      </c>
      <c r="Y30" s="48">
        <v>1.2982</v>
      </c>
    </row>
    <row r="31" spans="2:25" s="10" customFormat="1" x14ac:dyDescent="0.2">
      <c r="B31" s="42" t="s">
        <v>11</v>
      </c>
      <c r="C31" s="41">
        <f>ROUND(AVERAGE(C9:C30),2)</f>
        <v>15219.36</v>
      </c>
      <c r="D31" s="40">
        <f>ROUND(AVERAGE(D9:D30),2)</f>
        <v>15219.36</v>
      </c>
      <c r="E31" s="39">
        <f>ROUND(AVERAGE(C31:D31),2)</f>
        <v>15219.36</v>
      </c>
      <c r="F31" s="41">
        <f>ROUND(AVERAGE(F9:F30),2)</f>
        <v>15258.77</v>
      </c>
      <c r="G31" s="40">
        <f>ROUND(AVERAGE(G9:G30),2)</f>
        <v>15258.77</v>
      </c>
      <c r="H31" s="39">
        <f>ROUND(AVERAGE(F31:G31),2)</f>
        <v>15258.77</v>
      </c>
      <c r="I31" s="41">
        <f>ROUND(AVERAGE(I9:I30),2)</f>
        <v>15440.82</v>
      </c>
      <c r="J31" s="40">
        <f>ROUND(AVERAGE(J9:J30),2)</f>
        <v>15440.82</v>
      </c>
      <c r="K31" s="39">
        <f>ROUND(AVERAGE(I31:J31),2)</f>
        <v>15440.82</v>
      </c>
      <c r="L31" s="41">
        <f>ROUND(AVERAGE(L9:L30),2)</f>
        <v>15635.36</v>
      </c>
      <c r="M31" s="40">
        <f>ROUND(AVERAGE(M9:M30),2)</f>
        <v>15635.36</v>
      </c>
      <c r="N31" s="39">
        <f>ROUND(AVERAGE(L31:M31),2)</f>
        <v>15635.36</v>
      </c>
      <c r="O31" s="41">
        <f>ROUND(AVERAGE(O9:O30),2)</f>
        <v>15836.5</v>
      </c>
      <c r="P31" s="40">
        <f>ROUND(AVERAGE(P9:P30),2)</f>
        <v>15836.5</v>
      </c>
      <c r="Q31" s="39">
        <f>ROUND(AVERAGE(O31:P31),2)</f>
        <v>15836.5</v>
      </c>
      <c r="R31" s="38">
        <f>ROUND(AVERAGE(R9:R30),2)</f>
        <v>15219.36</v>
      </c>
      <c r="S31" s="37">
        <f>ROUND(AVERAGE(S9:S30),4)</f>
        <v>1.2977000000000001</v>
      </c>
      <c r="T31" s="36">
        <f>ROUND(AVERAGE(T9:T30),4)</f>
        <v>1.1775</v>
      </c>
      <c r="U31" s="175">
        <f>ROUND(AVERAGE(U9:U30),2)</f>
        <v>105.22</v>
      </c>
      <c r="V31" s="35">
        <f>AVERAGE(V9:V30)</f>
        <v>11727.38727272727</v>
      </c>
      <c r="W31" s="35">
        <f>AVERAGE(W9:W30)</f>
        <v>11750.392272727273</v>
      </c>
      <c r="X31" s="35">
        <f>AVERAGE(X9:X30)</f>
        <v>12925.040890492044</v>
      </c>
      <c r="Y31" s="34">
        <f>AVERAGE(Y9:Y30)</f>
        <v>1.2985045454545454</v>
      </c>
    </row>
    <row r="32" spans="2:25" s="5" customFormat="1" x14ac:dyDescent="0.2">
      <c r="B32" s="33" t="s">
        <v>12</v>
      </c>
      <c r="C32" s="32">
        <f t="shared" ref="C32:Y32" si="6">MAX(C9:C30)</f>
        <v>16064</v>
      </c>
      <c r="D32" s="31">
        <f t="shared" si="6"/>
        <v>16064</v>
      </c>
      <c r="E32" s="30">
        <f t="shared" si="6"/>
        <v>16064</v>
      </c>
      <c r="F32" s="32">
        <f t="shared" si="6"/>
        <v>16101</v>
      </c>
      <c r="G32" s="31">
        <f t="shared" si="6"/>
        <v>16101</v>
      </c>
      <c r="H32" s="30">
        <f t="shared" si="6"/>
        <v>16101</v>
      </c>
      <c r="I32" s="32">
        <f t="shared" si="6"/>
        <v>16275</v>
      </c>
      <c r="J32" s="31">
        <f t="shared" si="6"/>
        <v>16275</v>
      </c>
      <c r="K32" s="30">
        <f t="shared" si="6"/>
        <v>16275</v>
      </c>
      <c r="L32" s="32">
        <f t="shared" si="6"/>
        <v>16465</v>
      </c>
      <c r="M32" s="31">
        <f t="shared" si="6"/>
        <v>16465</v>
      </c>
      <c r="N32" s="30">
        <f t="shared" si="6"/>
        <v>16465</v>
      </c>
      <c r="O32" s="32">
        <f t="shared" si="6"/>
        <v>16660</v>
      </c>
      <c r="P32" s="31">
        <f t="shared" si="6"/>
        <v>16660</v>
      </c>
      <c r="Q32" s="30">
        <f t="shared" si="6"/>
        <v>16660</v>
      </c>
      <c r="R32" s="29">
        <f t="shared" si="6"/>
        <v>16064</v>
      </c>
      <c r="S32" s="28">
        <f t="shared" si="6"/>
        <v>1.3097000000000001</v>
      </c>
      <c r="T32" s="27">
        <f t="shared" si="6"/>
        <v>1.1852</v>
      </c>
      <c r="U32" s="26">
        <f t="shared" si="6"/>
        <v>106.02</v>
      </c>
      <c r="V32" s="25">
        <f t="shared" si="6"/>
        <v>12301.1</v>
      </c>
      <c r="W32" s="25">
        <f t="shared" si="6"/>
        <v>12321.88</v>
      </c>
      <c r="X32" s="25">
        <f t="shared" si="6"/>
        <v>13553.830577117786</v>
      </c>
      <c r="Y32" s="24">
        <f t="shared" si="6"/>
        <v>1.3105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14271</v>
      </c>
      <c r="D33" s="21">
        <f t="shared" si="7"/>
        <v>14271</v>
      </c>
      <c r="E33" s="20">
        <f t="shared" si="7"/>
        <v>14271</v>
      </c>
      <c r="F33" s="22">
        <f t="shared" si="7"/>
        <v>14305</v>
      </c>
      <c r="G33" s="21">
        <f t="shared" si="7"/>
        <v>14305</v>
      </c>
      <c r="H33" s="20">
        <f t="shared" si="7"/>
        <v>14305</v>
      </c>
      <c r="I33" s="22">
        <f t="shared" si="7"/>
        <v>14498</v>
      </c>
      <c r="J33" s="21">
        <f t="shared" si="7"/>
        <v>14498</v>
      </c>
      <c r="K33" s="20">
        <f t="shared" si="7"/>
        <v>14498</v>
      </c>
      <c r="L33" s="22">
        <f t="shared" si="7"/>
        <v>14699</v>
      </c>
      <c r="M33" s="21">
        <f t="shared" si="7"/>
        <v>14699</v>
      </c>
      <c r="N33" s="20">
        <f t="shared" si="7"/>
        <v>14699</v>
      </c>
      <c r="O33" s="22">
        <f t="shared" si="7"/>
        <v>14910</v>
      </c>
      <c r="P33" s="21">
        <f t="shared" si="7"/>
        <v>14910</v>
      </c>
      <c r="Q33" s="20">
        <f t="shared" si="7"/>
        <v>14910</v>
      </c>
      <c r="R33" s="19">
        <f t="shared" si="7"/>
        <v>14271</v>
      </c>
      <c r="S33" s="18">
        <f t="shared" si="7"/>
        <v>1.2878000000000001</v>
      </c>
      <c r="T33" s="17">
        <f t="shared" si="7"/>
        <v>1.1700999999999999</v>
      </c>
      <c r="U33" s="16">
        <f t="shared" si="7"/>
        <v>104.37</v>
      </c>
      <c r="V33" s="15">
        <f t="shared" si="7"/>
        <v>11028.59</v>
      </c>
      <c r="W33" s="15">
        <f t="shared" si="7"/>
        <v>11048.04</v>
      </c>
      <c r="X33" s="15">
        <f t="shared" si="7"/>
        <v>12171.428571428571</v>
      </c>
      <c r="Y33" s="14">
        <f t="shared" si="7"/>
        <v>1.2885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44105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44105</v>
      </c>
      <c r="C9" s="46">
        <v>33925</v>
      </c>
      <c r="D9" s="45">
        <v>33925</v>
      </c>
      <c r="E9" s="44">
        <f t="shared" ref="E9:E30" si="0">AVERAGE(C9:D9)</f>
        <v>33925</v>
      </c>
      <c r="F9" s="46">
        <v>34200</v>
      </c>
      <c r="G9" s="45">
        <v>34200</v>
      </c>
      <c r="H9" s="44">
        <f t="shared" ref="H9:H30" si="1">AVERAGE(F9:G9)</f>
        <v>34200</v>
      </c>
      <c r="I9" s="46">
        <v>36070</v>
      </c>
      <c r="J9" s="45">
        <v>36070</v>
      </c>
      <c r="K9" s="44">
        <f t="shared" ref="K9:K30" si="2">AVERAGE(I9:J9)</f>
        <v>36070</v>
      </c>
      <c r="L9" s="52">
        <v>33925</v>
      </c>
      <c r="M9" s="51">
        <v>1.2966</v>
      </c>
      <c r="N9" s="53">
        <v>1.1763999999999999</v>
      </c>
      <c r="O9" s="50">
        <v>105.47</v>
      </c>
      <c r="P9" s="43">
        <v>26164.58</v>
      </c>
      <c r="Q9" s="43">
        <v>26358.38</v>
      </c>
      <c r="R9" s="49">
        <f t="shared" ref="R9:R30" si="3">L9/N9</f>
        <v>28837.980278816733</v>
      </c>
      <c r="S9" s="48">
        <v>1.2975000000000001</v>
      </c>
    </row>
    <row r="10" spans="1:19" x14ac:dyDescent="0.2">
      <c r="B10" s="47">
        <v>44106</v>
      </c>
      <c r="C10" s="46">
        <v>33925</v>
      </c>
      <c r="D10" s="45">
        <v>33925</v>
      </c>
      <c r="E10" s="44">
        <f t="shared" si="0"/>
        <v>33925</v>
      </c>
      <c r="F10" s="46">
        <v>34200</v>
      </c>
      <c r="G10" s="45">
        <v>34200</v>
      </c>
      <c r="H10" s="44">
        <f t="shared" si="1"/>
        <v>34200</v>
      </c>
      <c r="I10" s="46">
        <v>36070</v>
      </c>
      <c r="J10" s="45">
        <v>36070</v>
      </c>
      <c r="K10" s="44">
        <f t="shared" si="2"/>
        <v>36070</v>
      </c>
      <c r="L10" s="52">
        <v>33925</v>
      </c>
      <c r="M10" s="51">
        <v>1.294</v>
      </c>
      <c r="N10" s="51">
        <v>1.1725000000000001</v>
      </c>
      <c r="O10" s="50">
        <v>105.18</v>
      </c>
      <c r="P10" s="43">
        <v>26217.16</v>
      </c>
      <c r="Q10" s="43">
        <v>26413.35</v>
      </c>
      <c r="R10" s="49">
        <f t="shared" si="3"/>
        <v>28933.901918976542</v>
      </c>
      <c r="S10" s="48">
        <v>1.2948</v>
      </c>
    </row>
    <row r="11" spans="1:19" x14ac:dyDescent="0.2">
      <c r="B11" s="47">
        <v>44109</v>
      </c>
      <c r="C11" s="46">
        <v>33925</v>
      </c>
      <c r="D11" s="45">
        <v>33925</v>
      </c>
      <c r="E11" s="44">
        <f t="shared" si="0"/>
        <v>33925</v>
      </c>
      <c r="F11" s="46">
        <v>34200</v>
      </c>
      <c r="G11" s="45">
        <v>34200</v>
      </c>
      <c r="H11" s="44">
        <f t="shared" si="1"/>
        <v>34200</v>
      </c>
      <c r="I11" s="46">
        <v>36065</v>
      </c>
      <c r="J11" s="45">
        <v>36065</v>
      </c>
      <c r="K11" s="44">
        <f t="shared" si="2"/>
        <v>36065</v>
      </c>
      <c r="L11" s="52">
        <v>33925</v>
      </c>
      <c r="M11" s="51">
        <v>1.2952999999999999</v>
      </c>
      <c r="N11" s="51">
        <v>1.1765000000000001</v>
      </c>
      <c r="O11" s="50">
        <v>105.61</v>
      </c>
      <c r="P11" s="43">
        <v>26190.84</v>
      </c>
      <c r="Q11" s="43">
        <v>26386.85</v>
      </c>
      <c r="R11" s="49">
        <f t="shared" si="3"/>
        <v>28835.529111772204</v>
      </c>
      <c r="S11" s="48">
        <v>1.2961</v>
      </c>
    </row>
    <row r="12" spans="1:19" x14ac:dyDescent="0.2">
      <c r="B12" s="47">
        <v>44110</v>
      </c>
      <c r="C12" s="46">
        <v>33500</v>
      </c>
      <c r="D12" s="45">
        <v>33500</v>
      </c>
      <c r="E12" s="44">
        <f t="shared" si="0"/>
        <v>33500</v>
      </c>
      <c r="F12" s="46">
        <v>33780</v>
      </c>
      <c r="G12" s="45">
        <v>33780</v>
      </c>
      <c r="H12" s="44">
        <f t="shared" si="1"/>
        <v>33780</v>
      </c>
      <c r="I12" s="46">
        <v>35640</v>
      </c>
      <c r="J12" s="45">
        <v>35640</v>
      </c>
      <c r="K12" s="44">
        <f t="shared" si="2"/>
        <v>35640</v>
      </c>
      <c r="L12" s="52">
        <v>33500</v>
      </c>
      <c r="M12" s="51">
        <v>1.2952999999999999</v>
      </c>
      <c r="N12" s="51">
        <v>1.1796</v>
      </c>
      <c r="O12" s="50">
        <v>105.62</v>
      </c>
      <c r="P12" s="43">
        <v>25862.73</v>
      </c>
      <c r="Q12" s="43">
        <v>26062.799999999999</v>
      </c>
      <c r="R12" s="49">
        <f t="shared" si="3"/>
        <v>28399.457443201085</v>
      </c>
      <c r="S12" s="48">
        <v>1.2961</v>
      </c>
    </row>
    <row r="13" spans="1:19" x14ac:dyDescent="0.2">
      <c r="B13" s="47">
        <v>44111</v>
      </c>
      <c r="C13" s="46">
        <v>33495</v>
      </c>
      <c r="D13" s="45">
        <v>33495</v>
      </c>
      <c r="E13" s="44">
        <f t="shared" si="0"/>
        <v>33495</v>
      </c>
      <c r="F13" s="46">
        <v>33780</v>
      </c>
      <c r="G13" s="45">
        <v>33780</v>
      </c>
      <c r="H13" s="44">
        <f t="shared" si="1"/>
        <v>33780</v>
      </c>
      <c r="I13" s="46">
        <v>35635</v>
      </c>
      <c r="J13" s="45">
        <v>35635</v>
      </c>
      <c r="K13" s="44">
        <f t="shared" si="2"/>
        <v>35635</v>
      </c>
      <c r="L13" s="52">
        <v>33495</v>
      </c>
      <c r="M13" s="51">
        <v>1.2878000000000001</v>
      </c>
      <c r="N13" s="51">
        <v>1.1774</v>
      </c>
      <c r="O13" s="50">
        <v>106.02</v>
      </c>
      <c r="P13" s="43">
        <v>26009.47</v>
      </c>
      <c r="Q13" s="43">
        <v>26216.53</v>
      </c>
      <c r="R13" s="49">
        <f t="shared" si="3"/>
        <v>28448.275862068964</v>
      </c>
      <c r="S13" s="48">
        <v>1.2885</v>
      </c>
    </row>
    <row r="14" spans="1:19" x14ac:dyDescent="0.2">
      <c r="B14" s="47">
        <v>44112</v>
      </c>
      <c r="C14" s="46">
        <v>33500</v>
      </c>
      <c r="D14" s="45">
        <v>33500</v>
      </c>
      <c r="E14" s="44">
        <f t="shared" si="0"/>
        <v>33500</v>
      </c>
      <c r="F14" s="46">
        <v>33780</v>
      </c>
      <c r="G14" s="45">
        <v>33780</v>
      </c>
      <c r="H14" s="44">
        <f t="shared" si="1"/>
        <v>33780</v>
      </c>
      <c r="I14" s="46">
        <v>35630</v>
      </c>
      <c r="J14" s="45">
        <v>35630</v>
      </c>
      <c r="K14" s="44">
        <f t="shared" si="2"/>
        <v>35630</v>
      </c>
      <c r="L14" s="52">
        <v>33500</v>
      </c>
      <c r="M14" s="51">
        <v>1.2904</v>
      </c>
      <c r="N14" s="51">
        <v>1.1759999999999999</v>
      </c>
      <c r="O14" s="50">
        <v>106.01</v>
      </c>
      <c r="P14" s="43">
        <v>25960.94</v>
      </c>
      <c r="Q14" s="43">
        <v>26163.74</v>
      </c>
      <c r="R14" s="49">
        <f t="shared" si="3"/>
        <v>28486.394557823132</v>
      </c>
      <c r="S14" s="48">
        <v>1.2910999999999999</v>
      </c>
    </row>
    <row r="15" spans="1:19" x14ac:dyDescent="0.2">
      <c r="B15" s="47">
        <v>44113</v>
      </c>
      <c r="C15" s="46">
        <v>33500</v>
      </c>
      <c r="D15" s="45">
        <v>33500</v>
      </c>
      <c r="E15" s="44">
        <f t="shared" si="0"/>
        <v>33500</v>
      </c>
      <c r="F15" s="46">
        <v>33780</v>
      </c>
      <c r="G15" s="45">
        <v>33780</v>
      </c>
      <c r="H15" s="44">
        <f t="shared" si="1"/>
        <v>33780</v>
      </c>
      <c r="I15" s="46">
        <v>35630</v>
      </c>
      <c r="J15" s="45">
        <v>35630</v>
      </c>
      <c r="K15" s="44">
        <f t="shared" si="2"/>
        <v>35630</v>
      </c>
      <c r="L15" s="52">
        <v>33500</v>
      </c>
      <c r="M15" s="51">
        <v>1.2943</v>
      </c>
      <c r="N15" s="51">
        <v>1.18</v>
      </c>
      <c r="O15" s="50">
        <v>105.92</v>
      </c>
      <c r="P15" s="43">
        <v>25882.720000000001</v>
      </c>
      <c r="Q15" s="43">
        <v>26082.93</v>
      </c>
      <c r="R15" s="49">
        <f t="shared" si="3"/>
        <v>28389.830508474577</v>
      </c>
      <c r="S15" s="48">
        <v>1.2950999999999999</v>
      </c>
    </row>
    <row r="16" spans="1:19" x14ac:dyDescent="0.2">
      <c r="B16" s="47">
        <v>44116</v>
      </c>
      <c r="C16" s="46">
        <v>33480</v>
      </c>
      <c r="D16" s="45">
        <v>33480</v>
      </c>
      <c r="E16" s="44">
        <f t="shared" si="0"/>
        <v>33480</v>
      </c>
      <c r="F16" s="46">
        <v>33780</v>
      </c>
      <c r="G16" s="45">
        <v>33780</v>
      </c>
      <c r="H16" s="44">
        <f t="shared" si="1"/>
        <v>33780</v>
      </c>
      <c r="I16" s="46">
        <v>35615</v>
      </c>
      <c r="J16" s="45">
        <v>35615</v>
      </c>
      <c r="K16" s="44">
        <f t="shared" si="2"/>
        <v>35615</v>
      </c>
      <c r="L16" s="52">
        <v>33480</v>
      </c>
      <c r="M16" s="51">
        <v>1.3022</v>
      </c>
      <c r="N16" s="51">
        <v>1.1795</v>
      </c>
      <c r="O16" s="50">
        <v>105.46</v>
      </c>
      <c r="P16" s="43">
        <v>25710.34</v>
      </c>
      <c r="Q16" s="43">
        <v>25924.79</v>
      </c>
      <c r="R16" s="49">
        <f t="shared" si="3"/>
        <v>28384.908859686308</v>
      </c>
      <c r="S16" s="48">
        <v>1.3029999999999999</v>
      </c>
    </row>
    <row r="17" spans="2:19" x14ac:dyDescent="0.2">
      <c r="B17" s="47">
        <v>44117</v>
      </c>
      <c r="C17" s="46">
        <v>33480</v>
      </c>
      <c r="D17" s="45">
        <v>33480</v>
      </c>
      <c r="E17" s="44">
        <f t="shared" si="0"/>
        <v>33480</v>
      </c>
      <c r="F17" s="46">
        <v>33780</v>
      </c>
      <c r="G17" s="45">
        <v>33780</v>
      </c>
      <c r="H17" s="44">
        <f t="shared" si="1"/>
        <v>33780</v>
      </c>
      <c r="I17" s="46">
        <v>35610</v>
      </c>
      <c r="J17" s="45">
        <v>35610</v>
      </c>
      <c r="K17" s="44">
        <f t="shared" si="2"/>
        <v>35610</v>
      </c>
      <c r="L17" s="52">
        <v>33480</v>
      </c>
      <c r="M17" s="51">
        <v>1.3031999999999999</v>
      </c>
      <c r="N17" s="51">
        <v>1.1789000000000001</v>
      </c>
      <c r="O17" s="50">
        <v>105.51</v>
      </c>
      <c r="P17" s="43">
        <v>25690.61</v>
      </c>
      <c r="Q17" s="43">
        <v>25904.91</v>
      </c>
      <c r="R17" s="49">
        <f t="shared" si="3"/>
        <v>28399.355331240986</v>
      </c>
      <c r="S17" s="48">
        <v>1.304</v>
      </c>
    </row>
    <row r="18" spans="2:19" x14ac:dyDescent="0.2">
      <c r="B18" s="47">
        <v>44118</v>
      </c>
      <c r="C18" s="46">
        <v>33000</v>
      </c>
      <c r="D18" s="45">
        <v>33000</v>
      </c>
      <c r="E18" s="44">
        <f t="shared" si="0"/>
        <v>33000</v>
      </c>
      <c r="F18" s="46">
        <v>33305</v>
      </c>
      <c r="G18" s="45">
        <v>33305</v>
      </c>
      <c r="H18" s="44">
        <f t="shared" si="1"/>
        <v>33305</v>
      </c>
      <c r="I18" s="46">
        <v>35130</v>
      </c>
      <c r="J18" s="45">
        <v>35130</v>
      </c>
      <c r="K18" s="44">
        <f t="shared" si="2"/>
        <v>35130</v>
      </c>
      <c r="L18" s="52">
        <v>33000</v>
      </c>
      <c r="M18" s="51">
        <v>1.2982</v>
      </c>
      <c r="N18" s="51">
        <v>1.1748000000000001</v>
      </c>
      <c r="O18" s="50">
        <v>105.34</v>
      </c>
      <c r="P18" s="43">
        <v>25419.81</v>
      </c>
      <c r="Q18" s="43">
        <v>25638.95</v>
      </c>
      <c r="R18" s="49">
        <f t="shared" si="3"/>
        <v>28089.887640449437</v>
      </c>
      <c r="S18" s="48">
        <v>1.2989999999999999</v>
      </c>
    </row>
    <row r="19" spans="2:19" x14ac:dyDescent="0.2">
      <c r="B19" s="47">
        <v>44119</v>
      </c>
      <c r="C19" s="46">
        <v>33000</v>
      </c>
      <c r="D19" s="45">
        <v>33000</v>
      </c>
      <c r="E19" s="44">
        <f t="shared" si="0"/>
        <v>33000</v>
      </c>
      <c r="F19" s="46">
        <v>33305</v>
      </c>
      <c r="G19" s="45">
        <v>33305</v>
      </c>
      <c r="H19" s="44">
        <f t="shared" si="1"/>
        <v>33305</v>
      </c>
      <c r="I19" s="46">
        <v>35125</v>
      </c>
      <c r="J19" s="45">
        <v>35125</v>
      </c>
      <c r="K19" s="44">
        <f t="shared" si="2"/>
        <v>35125</v>
      </c>
      <c r="L19" s="52">
        <v>33000</v>
      </c>
      <c r="M19" s="51">
        <v>1.2927</v>
      </c>
      <c r="N19" s="51">
        <v>1.1708000000000001</v>
      </c>
      <c r="O19" s="50">
        <v>105.27</v>
      </c>
      <c r="P19" s="43">
        <v>25527.96</v>
      </c>
      <c r="Q19" s="43">
        <v>25747.97</v>
      </c>
      <c r="R19" s="49">
        <f t="shared" si="3"/>
        <v>28185.855825076869</v>
      </c>
      <c r="S19" s="48">
        <v>1.2935000000000001</v>
      </c>
    </row>
    <row r="20" spans="2:19" x14ac:dyDescent="0.2">
      <c r="B20" s="47">
        <v>44120</v>
      </c>
      <c r="C20" s="46">
        <v>33000</v>
      </c>
      <c r="D20" s="45">
        <v>33000</v>
      </c>
      <c r="E20" s="44">
        <f t="shared" si="0"/>
        <v>33000</v>
      </c>
      <c r="F20" s="46">
        <v>33305</v>
      </c>
      <c r="G20" s="45">
        <v>33305</v>
      </c>
      <c r="H20" s="44">
        <f t="shared" si="1"/>
        <v>33305</v>
      </c>
      <c r="I20" s="46">
        <v>35125</v>
      </c>
      <c r="J20" s="45">
        <v>35125</v>
      </c>
      <c r="K20" s="44">
        <f t="shared" si="2"/>
        <v>35125</v>
      </c>
      <c r="L20" s="52">
        <v>33000</v>
      </c>
      <c r="M20" s="51">
        <v>1.2914000000000001</v>
      </c>
      <c r="N20" s="51">
        <v>1.1732</v>
      </c>
      <c r="O20" s="50">
        <v>105.26</v>
      </c>
      <c r="P20" s="43">
        <v>25553.66</v>
      </c>
      <c r="Q20" s="43">
        <v>25775.87</v>
      </c>
      <c r="R20" s="49">
        <f t="shared" si="3"/>
        <v>28128.19638595295</v>
      </c>
      <c r="S20" s="48">
        <v>1.2921</v>
      </c>
    </row>
    <row r="21" spans="2:19" x14ac:dyDescent="0.2">
      <c r="B21" s="47">
        <v>44123</v>
      </c>
      <c r="C21" s="46">
        <v>32985</v>
      </c>
      <c r="D21" s="45">
        <v>32985</v>
      </c>
      <c r="E21" s="44">
        <f t="shared" si="0"/>
        <v>32985</v>
      </c>
      <c r="F21" s="46">
        <v>33305</v>
      </c>
      <c r="G21" s="45">
        <v>33305</v>
      </c>
      <c r="H21" s="44">
        <f t="shared" si="1"/>
        <v>33305</v>
      </c>
      <c r="I21" s="46">
        <v>35110</v>
      </c>
      <c r="J21" s="45">
        <v>35110</v>
      </c>
      <c r="K21" s="44">
        <f t="shared" si="2"/>
        <v>35110</v>
      </c>
      <c r="L21" s="52">
        <v>32985</v>
      </c>
      <c r="M21" s="51">
        <v>1.3012999999999999</v>
      </c>
      <c r="N21" s="51">
        <v>1.1786000000000001</v>
      </c>
      <c r="O21" s="50">
        <v>105.32</v>
      </c>
      <c r="P21" s="43">
        <v>25347.73</v>
      </c>
      <c r="Q21" s="43">
        <v>25577.91</v>
      </c>
      <c r="R21" s="49">
        <f t="shared" si="3"/>
        <v>27986.594264381467</v>
      </c>
      <c r="S21" s="48">
        <v>1.3021</v>
      </c>
    </row>
    <row r="22" spans="2:19" x14ac:dyDescent="0.2">
      <c r="B22" s="47">
        <v>44124</v>
      </c>
      <c r="C22" s="46">
        <v>32985</v>
      </c>
      <c r="D22" s="45">
        <v>32985</v>
      </c>
      <c r="E22" s="44">
        <f t="shared" si="0"/>
        <v>32985</v>
      </c>
      <c r="F22" s="46">
        <v>33305</v>
      </c>
      <c r="G22" s="45">
        <v>33305</v>
      </c>
      <c r="H22" s="44">
        <f t="shared" si="1"/>
        <v>33305</v>
      </c>
      <c r="I22" s="46">
        <v>35105</v>
      </c>
      <c r="J22" s="45">
        <v>35105</v>
      </c>
      <c r="K22" s="44">
        <f t="shared" si="2"/>
        <v>35105</v>
      </c>
      <c r="L22" s="52">
        <v>32985</v>
      </c>
      <c r="M22" s="51">
        <v>1.2937000000000001</v>
      </c>
      <c r="N22" s="51">
        <v>1.1806000000000001</v>
      </c>
      <c r="O22" s="50">
        <v>105.68</v>
      </c>
      <c r="P22" s="43">
        <v>25496.639999999999</v>
      </c>
      <c r="Q22" s="43">
        <v>25728.080000000002</v>
      </c>
      <c r="R22" s="49">
        <f t="shared" si="3"/>
        <v>27939.183466034217</v>
      </c>
      <c r="S22" s="48">
        <v>1.2945</v>
      </c>
    </row>
    <row r="23" spans="2:19" x14ac:dyDescent="0.2">
      <c r="B23" s="47">
        <v>44125</v>
      </c>
      <c r="C23" s="46">
        <v>32980</v>
      </c>
      <c r="D23" s="45">
        <v>32980</v>
      </c>
      <c r="E23" s="44">
        <f t="shared" si="0"/>
        <v>32980</v>
      </c>
      <c r="F23" s="46">
        <v>33305</v>
      </c>
      <c r="G23" s="45">
        <v>33305</v>
      </c>
      <c r="H23" s="44">
        <f t="shared" si="1"/>
        <v>33305</v>
      </c>
      <c r="I23" s="46">
        <v>35100</v>
      </c>
      <c r="J23" s="45">
        <v>35100</v>
      </c>
      <c r="K23" s="44">
        <f t="shared" si="2"/>
        <v>35100</v>
      </c>
      <c r="L23" s="52">
        <v>32980</v>
      </c>
      <c r="M23" s="51">
        <v>1.3059000000000001</v>
      </c>
      <c r="N23" s="51">
        <v>1.1852</v>
      </c>
      <c r="O23" s="50">
        <v>104.86</v>
      </c>
      <c r="P23" s="43">
        <v>25254.61</v>
      </c>
      <c r="Q23" s="43">
        <v>25487.87</v>
      </c>
      <c r="R23" s="49">
        <f t="shared" si="3"/>
        <v>27826.527168410394</v>
      </c>
      <c r="S23" s="48">
        <v>1.3067</v>
      </c>
    </row>
    <row r="24" spans="2:19" x14ac:dyDescent="0.2">
      <c r="B24" s="47">
        <v>44126</v>
      </c>
      <c r="C24" s="46">
        <v>32985</v>
      </c>
      <c r="D24" s="45">
        <v>32985</v>
      </c>
      <c r="E24" s="44">
        <f t="shared" si="0"/>
        <v>32985</v>
      </c>
      <c r="F24" s="46">
        <v>33305</v>
      </c>
      <c r="G24" s="45">
        <v>33305</v>
      </c>
      <c r="H24" s="44">
        <f t="shared" si="1"/>
        <v>33305</v>
      </c>
      <c r="I24" s="46">
        <v>35095</v>
      </c>
      <c r="J24" s="45">
        <v>35095</v>
      </c>
      <c r="K24" s="44">
        <f t="shared" si="2"/>
        <v>35095</v>
      </c>
      <c r="L24" s="52">
        <v>32985</v>
      </c>
      <c r="M24" s="51">
        <v>1.3097000000000001</v>
      </c>
      <c r="N24" s="51">
        <v>1.1825000000000001</v>
      </c>
      <c r="O24" s="50">
        <v>104.67</v>
      </c>
      <c r="P24" s="43">
        <v>25185.16</v>
      </c>
      <c r="Q24" s="43">
        <v>25413.96</v>
      </c>
      <c r="R24" s="49">
        <f t="shared" si="3"/>
        <v>27894.291754756869</v>
      </c>
      <c r="S24" s="48">
        <v>1.3105</v>
      </c>
    </row>
    <row r="25" spans="2:19" x14ac:dyDescent="0.2">
      <c r="B25" s="47">
        <v>44127</v>
      </c>
      <c r="C25" s="46">
        <v>32985</v>
      </c>
      <c r="D25" s="45">
        <v>32985</v>
      </c>
      <c r="E25" s="44">
        <f t="shared" si="0"/>
        <v>32985</v>
      </c>
      <c r="F25" s="46">
        <v>33305</v>
      </c>
      <c r="G25" s="45">
        <v>33305</v>
      </c>
      <c r="H25" s="44">
        <f t="shared" si="1"/>
        <v>33305</v>
      </c>
      <c r="I25" s="46">
        <v>35095</v>
      </c>
      <c r="J25" s="45">
        <v>35095</v>
      </c>
      <c r="K25" s="44">
        <f t="shared" si="2"/>
        <v>35095</v>
      </c>
      <c r="L25" s="52">
        <v>32985</v>
      </c>
      <c r="M25" s="51">
        <v>1.3068</v>
      </c>
      <c r="N25" s="51">
        <v>1.1846000000000001</v>
      </c>
      <c r="O25" s="50">
        <v>104.78</v>
      </c>
      <c r="P25" s="43">
        <v>25241.05</v>
      </c>
      <c r="Q25" s="43">
        <v>25468.38</v>
      </c>
      <c r="R25" s="49">
        <f t="shared" si="3"/>
        <v>27844.842140807021</v>
      </c>
      <c r="S25" s="48">
        <v>1.3077000000000001</v>
      </c>
    </row>
    <row r="26" spans="2:19" x14ac:dyDescent="0.2">
      <c r="B26" s="47">
        <v>44130</v>
      </c>
      <c r="C26" s="46">
        <v>32970</v>
      </c>
      <c r="D26" s="45">
        <v>32970</v>
      </c>
      <c r="E26" s="44">
        <f t="shared" si="0"/>
        <v>32970</v>
      </c>
      <c r="F26" s="46">
        <v>33305</v>
      </c>
      <c r="G26" s="45">
        <v>33305</v>
      </c>
      <c r="H26" s="44">
        <f t="shared" si="1"/>
        <v>33305</v>
      </c>
      <c r="I26" s="46">
        <v>35075</v>
      </c>
      <c r="J26" s="45">
        <v>35075</v>
      </c>
      <c r="K26" s="44">
        <f t="shared" si="2"/>
        <v>35075</v>
      </c>
      <c r="L26" s="52">
        <v>32970</v>
      </c>
      <c r="M26" s="51">
        <v>1.3025</v>
      </c>
      <c r="N26" s="51">
        <v>1.1814</v>
      </c>
      <c r="O26" s="50">
        <v>105.02</v>
      </c>
      <c r="P26" s="43">
        <v>25312.86</v>
      </c>
      <c r="Q26" s="43">
        <v>25552.400000000001</v>
      </c>
      <c r="R26" s="49">
        <f t="shared" si="3"/>
        <v>27907.567293042153</v>
      </c>
      <c r="S26" s="48">
        <v>1.3033999999999999</v>
      </c>
    </row>
    <row r="27" spans="2:19" x14ac:dyDescent="0.2">
      <c r="B27" s="47">
        <v>44131</v>
      </c>
      <c r="C27" s="46">
        <v>32965</v>
      </c>
      <c r="D27" s="45">
        <v>32965</v>
      </c>
      <c r="E27" s="44">
        <f t="shared" si="0"/>
        <v>32965</v>
      </c>
      <c r="F27" s="46">
        <v>33305</v>
      </c>
      <c r="G27" s="45">
        <v>33305</v>
      </c>
      <c r="H27" s="44">
        <f t="shared" si="1"/>
        <v>33305</v>
      </c>
      <c r="I27" s="46">
        <v>35070</v>
      </c>
      <c r="J27" s="45">
        <v>35070</v>
      </c>
      <c r="K27" s="44">
        <f t="shared" si="2"/>
        <v>35070</v>
      </c>
      <c r="L27" s="52">
        <v>32965</v>
      </c>
      <c r="M27" s="51">
        <v>1.3029999999999999</v>
      </c>
      <c r="N27" s="51">
        <v>1.1828000000000001</v>
      </c>
      <c r="O27" s="50">
        <v>104.67</v>
      </c>
      <c r="P27" s="43">
        <v>25299.31</v>
      </c>
      <c r="Q27" s="43">
        <v>25542.6</v>
      </c>
      <c r="R27" s="49">
        <f t="shared" si="3"/>
        <v>27870.307744335474</v>
      </c>
      <c r="S27" s="48">
        <v>1.3039000000000001</v>
      </c>
    </row>
    <row r="28" spans="2:19" x14ac:dyDescent="0.2">
      <c r="B28" s="47">
        <v>44132</v>
      </c>
      <c r="C28" s="46">
        <v>32965</v>
      </c>
      <c r="D28" s="45">
        <v>32965</v>
      </c>
      <c r="E28" s="44">
        <f t="shared" si="0"/>
        <v>32965</v>
      </c>
      <c r="F28" s="46">
        <v>33305</v>
      </c>
      <c r="G28" s="45">
        <v>33305</v>
      </c>
      <c r="H28" s="44">
        <f t="shared" si="1"/>
        <v>33305</v>
      </c>
      <c r="I28" s="46">
        <v>35065</v>
      </c>
      <c r="J28" s="45">
        <v>35065</v>
      </c>
      <c r="K28" s="44">
        <f t="shared" si="2"/>
        <v>35065</v>
      </c>
      <c r="L28" s="52">
        <v>32965</v>
      </c>
      <c r="M28" s="51">
        <v>1.2941</v>
      </c>
      <c r="N28" s="51">
        <v>1.1727000000000001</v>
      </c>
      <c r="O28" s="50">
        <v>104.39</v>
      </c>
      <c r="P28" s="43">
        <v>25473.3</v>
      </c>
      <c r="Q28" s="43">
        <v>25720.13</v>
      </c>
      <c r="R28" s="49">
        <f t="shared" si="3"/>
        <v>28110.343651402745</v>
      </c>
      <c r="S28" s="48">
        <v>1.2948999999999999</v>
      </c>
    </row>
    <row r="29" spans="2:19" x14ac:dyDescent="0.2">
      <c r="B29" s="47">
        <v>44133</v>
      </c>
      <c r="C29" s="46">
        <v>32965</v>
      </c>
      <c r="D29" s="45">
        <v>32965</v>
      </c>
      <c r="E29" s="44">
        <f t="shared" si="0"/>
        <v>32965</v>
      </c>
      <c r="F29" s="46">
        <v>33305</v>
      </c>
      <c r="G29" s="45">
        <v>33305</v>
      </c>
      <c r="H29" s="44">
        <f t="shared" si="1"/>
        <v>33305</v>
      </c>
      <c r="I29" s="46">
        <v>35055</v>
      </c>
      <c r="J29" s="45">
        <v>35055</v>
      </c>
      <c r="K29" s="44">
        <f t="shared" si="2"/>
        <v>35055</v>
      </c>
      <c r="L29" s="52">
        <v>32965</v>
      </c>
      <c r="M29" s="51">
        <v>1.2935000000000001</v>
      </c>
      <c r="N29" s="51">
        <v>1.1704000000000001</v>
      </c>
      <c r="O29" s="50">
        <v>104.37</v>
      </c>
      <c r="P29" s="43">
        <v>25485.119999999999</v>
      </c>
      <c r="Q29" s="43">
        <v>25730.07</v>
      </c>
      <c r="R29" s="49">
        <f t="shared" si="3"/>
        <v>28165.584415584413</v>
      </c>
      <c r="S29" s="48">
        <v>1.2944</v>
      </c>
    </row>
    <row r="30" spans="2:19" x14ac:dyDescent="0.2">
      <c r="B30" s="47">
        <v>44134</v>
      </c>
      <c r="C30" s="46">
        <v>32500</v>
      </c>
      <c r="D30" s="45">
        <v>32500</v>
      </c>
      <c r="E30" s="44">
        <f t="shared" si="0"/>
        <v>32500</v>
      </c>
      <c r="F30" s="46">
        <v>32835</v>
      </c>
      <c r="G30" s="45">
        <v>32835</v>
      </c>
      <c r="H30" s="44">
        <f t="shared" si="1"/>
        <v>32835</v>
      </c>
      <c r="I30" s="46">
        <v>34585</v>
      </c>
      <c r="J30" s="45">
        <v>34585</v>
      </c>
      <c r="K30" s="44">
        <f t="shared" si="2"/>
        <v>34585</v>
      </c>
      <c r="L30" s="52">
        <v>32500</v>
      </c>
      <c r="M30" s="51">
        <v>1.2972999999999999</v>
      </c>
      <c r="N30" s="51">
        <v>1.1700999999999999</v>
      </c>
      <c r="O30" s="50">
        <v>104.48</v>
      </c>
      <c r="P30" s="43">
        <v>25052.03</v>
      </c>
      <c r="Q30" s="43">
        <v>25292.71</v>
      </c>
      <c r="R30" s="49">
        <f t="shared" si="3"/>
        <v>27775.403811640033</v>
      </c>
      <c r="S30" s="48">
        <v>1.2982</v>
      </c>
    </row>
    <row r="31" spans="2:19" s="10" customFormat="1" x14ac:dyDescent="0.2">
      <c r="B31" s="42" t="s">
        <v>11</v>
      </c>
      <c r="C31" s="41">
        <f>ROUND(AVERAGE(C9:C30),2)</f>
        <v>33227.949999999997</v>
      </c>
      <c r="D31" s="40">
        <f>ROUND(AVERAGE(D9:D30),2)</f>
        <v>33227.949999999997</v>
      </c>
      <c r="E31" s="39">
        <f>ROUND(AVERAGE(C31:D31),2)</f>
        <v>33227.949999999997</v>
      </c>
      <c r="F31" s="41">
        <f>ROUND(AVERAGE(F9:F30),2)</f>
        <v>33535.230000000003</v>
      </c>
      <c r="G31" s="40">
        <f>ROUND(AVERAGE(G9:G30),2)</f>
        <v>33535.230000000003</v>
      </c>
      <c r="H31" s="39">
        <f>ROUND(AVERAGE(F31:G31),2)</f>
        <v>33535.230000000003</v>
      </c>
      <c r="I31" s="41">
        <f>ROUND(AVERAGE(I9:I30),2)</f>
        <v>35350</v>
      </c>
      <c r="J31" s="40">
        <f>ROUND(AVERAGE(J9:J30),2)</f>
        <v>35350</v>
      </c>
      <c r="K31" s="39">
        <f>ROUND(AVERAGE(I31:J31),2)</f>
        <v>35350</v>
      </c>
      <c r="L31" s="38">
        <f>ROUND(AVERAGE(L9:L30),2)</f>
        <v>33227.949999999997</v>
      </c>
      <c r="M31" s="37">
        <f>ROUND(AVERAGE(M9:M30),4)</f>
        <v>1.2977000000000001</v>
      </c>
      <c r="N31" s="36">
        <f>ROUND(AVERAGE(N9:N30),4)</f>
        <v>1.1775</v>
      </c>
      <c r="O31" s="175">
        <f>ROUND(AVERAGE(O9:O30),2)</f>
        <v>105.22</v>
      </c>
      <c r="P31" s="35">
        <f>AVERAGE(P9:P30)</f>
        <v>25606.301363636365</v>
      </c>
      <c r="Q31" s="35">
        <f>AVERAGE(Q9:Q30)</f>
        <v>25826.871818181815</v>
      </c>
      <c r="R31" s="35">
        <f>AVERAGE(R9:R30)</f>
        <v>28220.009974269753</v>
      </c>
      <c r="S31" s="34">
        <f>AVERAGE(S9:S30)</f>
        <v>1.2985045454545454</v>
      </c>
    </row>
    <row r="32" spans="2:19" s="5" customFormat="1" x14ac:dyDescent="0.2">
      <c r="B32" s="33" t="s">
        <v>12</v>
      </c>
      <c r="C32" s="32">
        <f t="shared" ref="C32:S32" si="4">MAX(C9:C30)</f>
        <v>33925</v>
      </c>
      <c r="D32" s="31">
        <f t="shared" si="4"/>
        <v>33925</v>
      </c>
      <c r="E32" s="30">
        <f t="shared" si="4"/>
        <v>33925</v>
      </c>
      <c r="F32" s="32">
        <f t="shared" si="4"/>
        <v>34200</v>
      </c>
      <c r="G32" s="31">
        <f t="shared" si="4"/>
        <v>34200</v>
      </c>
      <c r="H32" s="30">
        <f t="shared" si="4"/>
        <v>34200</v>
      </c>
      <c r="I32" s="32">
        <f t="shared" si="4"/>
        <v>36070</v>
      </c>
      <c r="J32" s="31">
        <f t="shared" si="4"/>
        <v>36070</v>
      </c>
      <c r="K32" s="30">
        <f t="shared" si="4"/>
        <v>36070</v>
      </c>
      <c r="L32" s="29">
        <f t="shared" si="4"/>
        <v>33925</v>
      </c>
      <c r="M32" s="28">
        <f t="shared" si="4"/>
        <v>1.3097000000000001</v>
      </c>
      <c r="N32" s="27">
        <f t="shared" si="4"/>
        <v>1.1852</v>
      </c>
      <c r="O32" s="26">
        <f t="shared" si="4"/>
        <v>106.02</v>
      </c>
      <c r="P32" s="25">
        <f t="shared" si="4"/>
        <v>26217.16</v>
      </c>
      <c r="Q32" s="25">
        <f t="shared" si="4"/>
        <v>26413.35</v>
      </c>
      <c r="R32" s="25">
        <f t="shared" si="4"/>
        <v>28933.901918976542</v>
      </c>
      <c r="S32" s="24">
        <f t="shared" si="4"/>
        <v>1.3105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32500</v>
      </c>
      <c r="D33" s="21">
        <f t="shared" si="5"/>
        <v>32500</v>
      </c>
      <c r="E33" s="20">
        <f t="shared" si="5"/>
        <v>32500</v>
      </c>
      <c r="F33" s="22">
        <f t="shared" si="5"/>
        <v>32835</v>
      </c>
      <c r="G33" s="21">
        <f t="shared" si="5"/>
        <v>32835</v>
      </c>
      <c r="H33" s="20">
        <f t="shared" si="5"/>
        <v>32835</v>
      </c>
      <c r="I33" s="22">
        <f t="shared" si="5"/>
        <v>34585</v>
      </c>
      <c r="J33" s="21">
        <f t="shared" si="5"/>
        <v>34585</v>
      </c>
      <c r="K33" s="20">
        <f t="shared" si="5"/>
        <v>34585</v>
      </c>
      <c r="L33" s="19">
        <f t="shared" si="5"/>
        <v>32500</v>
      </c>
      <c r="M33" s="18">
        <f t="shared" si="5"/>
        <v>1.2878000000000001</v>
      </c>
      <c r="N33" s="17">
        <f t="shared" si="5"/>
        <v>1.1700999999999999</v>
      </c>
      <c r="O33" s="16">
        <f t="shared" si="5"/>
        <v>104.37</v>
      </c>
      <c r="P33" s="15">
        <f t="shared" si="5"/>
        <v>25052.03</v>
      </c>
      <c r="Q33" s="15">
        <f t="shared" si="5"/>
        <v>25292.71</v>
      </c>
      <c r="R33" s="15">
        <f t="shared" si="5"/>
        <v>27775.403811640033</v>
      </c>
      <c r="S33" s="14">
        <f t="shared" si="5"/>
        <v>1.2885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44134</v>
      </c>
      <c r="D5" s="74"/>
      <c r="F5" s="75">
        <v>44134</v>
      </c>
      <c r="G5" s="74"/>
      <c r="I5" s="75">
        <v>44134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44105</v>
      </c>
      <c r="D8" s="68">
        <v>6684.48</v>
      </c>
      <c r="F8" s="69">
        <f t="shared" ref="F8:F29" si="0">C8</f>
        <v>44105</v>
      </c>
      <c r="G8" s="68">
        <v>1762.52</v>
      </c>
      <c r="I8" s="69">
        <f t="shared" ref="I8:I29" si="1">C8</f>
        <v>44105</v>
      </c>
      <c r="J8" s="68">
        <v>2394.63</v>
      </c>
    </row>
    <row r="9" spans="2:10" x14ac:dyDescent="0.2">
      <c r="C9" s="69">
        <v>44106</v>
      </c>
      <c r="D9" s="68">
        <v>6310.52</v>
      </c>
      <c r="F9" s="69">
        <f t="shared" si="0"/>
        <v>44106</v>
      </c>
      <c r="G9" s="68">
        <v>1731.11</v>
      </c>
      <c r="I9" s="69">
        <f t="shared" si="1"/>
        <v>44106</v>
      </c>
      <c r="J9" s="68">
        <v>2286.19</v>
      </c>
    </row>
    <row r="10" spans="2:10" x14ac:dyDescent="0.2">
      <c r="C10" s="69">
        <v>44109</v>
      </c>
      <c r="D10" s="68">
        <v>6532.55</v>
      </c>
      <c r="F10" s="69">
        <f t="shared" si="0"/>
        <v>44109</v>
      </c>
      <c r="G10" s="68">
        <v>1760.7</v>
      </c>
      <c r="I10" s="69">
        <f t="shared" si="1"/>
        <v>44109</v>
      </c>
      <c r="J10" s="68">
        <v>2295.7399999999998</v>
      </c>
    </row>
    <row r="11" spans="2:10" x14ac:dyDescent="0.2">
      <c r="C11" s="69">
        <v>44110</v>
      </c>
      <c r="D11" s="68">
        <v>6537.52</v>
      </c>
      <c r="F11" s="69">
        <f t="shared" si="0"/>
        <v>44110</v>
      </c>
      <c r="G11" s="68">
        <v>1782.78</v>
      </c>
      <c r="I11" s="69">
        <f t="shared" si="1"/>
        <v>44110</v>
      </c>
      <c r="J11" s="68">
        <v>2326.75</v>
      </c>
    </row>
    <row r="12" spans="2:10" x14ac:dyDescent="0.2">
      <c r="C12" s="69">
        <v>44111</v>
      </c>
      <c r="D12" s="68">
        <v>6529.14</v>
      </c>
      <c r="F12" s="69">
        <f t="shared" si="0"/>
        <v>44111</v>
      </c>
      <c r="G12" s="68">
        <v>1770</v>
      </c>
      <c r="I12" s="69">
        <f t="shared" si="1"/>
        <v>44111</v>
      </c>
      <c r="J12" s="68">
        <v>2353.48</v>
      </c>
    </row>
    <row r="13" spans="2:10" x14ac:dyDescent="0.2">
      <c r="C13" s="69">
        <v>44112</v>
      </c>
      <c r="D13" s="68">
        <v>6656.64</v>
      </c>
      <c r="F13" s="69">
        <f t="shared" si="0"/>
        <v>44112</v>
      </c>
      <c r="G13" s="68">
        <v>1792.59</v>
      </c>
      <c r="I13" s="69">
        <f t="shared" si="1"/>
        <v>44112</v>
      </c>
      <c r="J13" s="68">
        <v>2375.67</v>
      </c>
    </row>
    <row r="14" spans="2:10" x14ac:dyDescent="0.2">
      <c r="C14" s="69">
        <v>44113</v>
      </c>
      <c r="D14" s="68">
        <v>6740.3</v>
      </c>
      <c r="F14" s="69">
        <f t="shared" si="0"/>
        <v>44113</v>
      </c>
      <c r="G14" s="68">
        <v>1811.5</v>
      </c>
      <c r="I14" s="69">
        <f t="shared" si="1"/>
        <v>44113</v>
      </c>
      <c r="J14" s="68">
        <v>2431.92</v>
      </c>
    </row>
    <row r="15" spans="2:10" x14ac:dyDescent="0.2">
      <c r="C15" s="69">
        <v>44116</v>
      </c>
      <c r="D15" s="68">
        <v>6764.08</v>
      </c>
      <c r="F15" s="69">
        <f t="shared" si="0"/>
        <v>44116</v>
      </c>
      <c r="G15" s="68">
        <v>1849.44</v>
      </c>
      <c r="I15" s="69">
        <f t="shared" si="1"/>
        <v>44116</v>
      </c>
      <c r="J15" s="68">
        <v>2461.08</v>
      </c>
    </row>
    <row r="16" spans="2:10" x14ac:dyDescent="0.2">
      <c r="C16" s="69">
        <v>44117</v>
      </c>
      <c r="D16" s="68">
        <v>6721.66</v>
      </c>
      <c r="F16" s="69">
        <f t="shared" si="0"/>
        <v>44117</v>
      </c>
      <c r="G16" s="68">
        <v>1855.1</v>
      </c>
      <c r="I16" s="69">
        <f t="shared" si="1"/>
        <v>44117</v>
      </c>
      <c r="J16" s="68">
        <v>2435</v>
      </c>
    </row>
    <row r="17" spans="2:10" x14ac:dyDescent="0.2">
      <c r="C17" s="69">
        <v>44118</v>
      </c>
      <c r="D17" s="68">
        <v>6735.81</v>
      </c>
      <c r="F17" s="69">
        <f t="shared" si="0"/>
        <v>44118</v>
      </c>
      <c r="G17" s="68">
        <v>1851.77</v>
      </c>
      <c r="I17" s="69">
        <f t="shared" si="1"/>
        <v>44118</v>
      </c>
      <c r="J17" s="68">
        <v>2413.21</v>
      </c>
    </row>
    <row r="18" spans="2:10" x14ac:dyDescent="0.2">
      <c r="C18" s="69">
        <v>44119</v>
      </c>
      <c r="D18" s="68">
        <v>6716.5</v>
      </c>
      <c r="F18" s="69">
        <f t="shared" si="0"/>
        <v>44119</v>
      </c>
      <c r="G18" s="68">
        <v>1845.07</v>
      </c>
      <c r="I18" s="69">
        <f t="shared" si="1"/>
        <v>44119</v>
      </c>
      <c r="J18" s="68">
        <v>2440.5</v>
      </c>
    </row>
    <row r="19" spans="2:10" x14ac:dyDescent="0.2">
      <c r="C19" s="69">
        <v>44120</v>
      </c>
      <c r="D19" s="68">
        <v>6757.4</v>
      </c>
      <c r="F19" s="69">
        <f t="shared" si="0"/>
        <v>44120</v>
      </c>
      <c r="G19" s="68">
        <v>1854.5</v>
      </c>
      <c r="I19" s="69">
        <f t="shared" si="1"/>
        <v>44120</v>
      </c>
      <c r="J19" s="68">
        <v>2425</v>
      </c>
    </row>
    <row r="20" spans="2:10" x14ac:dyDescent="0.2">
      <c r="C20" s="69">
        <v>44123</v>
      </c>
      <c r="D20" s="68">
        <v>6734.39</v>
      </c>
      <c r="F20" s="69">
        <f t="shared" si="0"/>
        <v>44123</v>
      </c>
      <c r="G20" s="68">
        <v>1863.59</v>
      </c>
      <c r="I20" s="69">
        <f t="shared" si="1"/>
        <v>44123</v>
      </c>
      <c r="J20" s="68">
        <v>2459.1799999999998</v>
      </c>
    </row>
    <row r="21" spans="2:10" x14ac:dyDescent="0.2">
      <c r="C21" s="69">
        <v>44124</v>
      </c>
      <c r="D21" s="68">
        <v>6783.5</v>
      </c>
      <c r="F21" s="69">
        <f t="shared" si="0"/>
        <v>44124</v>
      </c>
      <c r="G21" s="68">
        <v>1847.58</v>
      </c>
      <c r="I21" s="69">
        <f t="shared" si="1"/>
        <v>44124</v>
      </c>
      <c r="J21" s="68">
        <v>2492.87</v>
      </c>
    </row>
    <row r="22" spans="2:10" x14ac:dyDescent="0.2">
      <c r="C22" s="69">
        <v>44125</v>
      </c>
      <c r="D22" s="68">
        <v>6967.33</v>
      </c>
      <c r="F22" s="69">
        <f t="shared" si="0"/>
        <v>44125</v>
      </c>
      <c r="G22" s="68">
        <v>1850.31</v>
      </c>
      <c r="I22" s="69">
        <f t="shared" si="1"/>
        <v>44125</v>
      </c>
      <c r="J22" s="68">
        <v>2558.87</v>
      </c>
    </row>
    <row r="23" spans="2:10" x14ac:dyDescent="0.2">
      <c r="C23" s="69">
        <v>44126</v>
      </c>
      <c r="D23" s="68">
        <v>6973.29</v>
      </c>
      <c r="F23" s="69">
        <f t="shared" si="0"/>
        <v>44126</v>
      </c>
      <c r="G23" s="68">
        <v>1845</v>
      </c>
      <c r="I23" s="69">
        <f t="shared" si="1"/>
        <v>44126</v>
      </c>
      <c r="J23" s="68">
        <v>2570.36</v>
      </c>
    </row>
    <row r="24" spans="2:10" x14ac:dyDescent="0.2">
      <c r="C24" s="69">
        <v>44127</v>
      </c>
      <c r="D24" s="68">
        <v>6875.81</v>
      </c>
      <c r="F24" s="69">
        <f t="shared" si="0"/>
        <v>44127</v>
      </c>
      <c r="G24" s="68">
        <v>1843</v>
      </c>
      <c r="I24" s="69">
        <f t="shared" si="1"/>
        <v>44127</v>
      </c>
      <c r="J24" s="68">
        <v>2569.15</v>
      </c>
    </row>
    <row r="25" spans="2:10" x14ac:dyDescent="0.2">
      <c r="C25" s="69">
        <v>44130</v>
      </c>
      <c r="D25" s="68">
        <v>6848.71</v>
      </c>
      <c r="F25" s="69">
        <f t="shared" si="0"/>
        <v>44130</v>
      </c>
      <c r="G25" s="68">
        <v>1841.34</v>
      </c>
      <c r="I25" s="69">
        <f t="shared" si="1"/>
        <v>44130</v>
      </c>
      <c r="J25" s="68">
        <v>2531.21</v>
      </c>
    </row>
    <row r="26" spans="2:10" x14ac:dyDescent="0.2">
      <c r="C26" s="69">
        <v>44131</v>
      </c>
      <c r="D26" s="68">
        <v>6810.36</v>
      </c>
      <c r="F26" s="69">
        <f t="shared" si="0"/>
        <v>44131</v>
      </c>
      <c r="G26" s="68">
        <v>1830.66</v>
      </c>
      <c r="I26" s="69">
        <f t="shared" si="1"/>
        <v>44131</v>
      </c>
      <c r="J26" s="68">
        <v>2535.33</v>
      </c>
    </row>
    <row r="27" spans="2:10" x14ac:dyDescent="0.2">
      <c r="C27" s="69">
        <v>44132</v>
      </c>
      <c r="D27" s="68">
        <v>6810.69</v>
      </c>
      <c r="F27" s="69">
        <f t="shared" si="0"/>
        <v>44132</v>
      </c>
      <c r="G27" s="68">
        <v>1818.59</v>
      </c>
      <c r="I27" s="69">
        <f t="shared" si="1"/>
        <v>44132</v>
      </c>
      <c r="J27" s="68">
        <v>2582.5</v>
      </c>
    </row>
    <row r="28" spans="2:10" x14ac:dyDescent="0.2">
      <c r="C28" s="69">
        <v>44133</v>
      </c>
      <c r="D28" s="68">
        <v>6775.12</v>
      </c>
      <c r="F28" s="69">
        <f t="shared" si="0"/>
        <v>44133</v>
      </c>
      <c r="G28" s="68">
        <v>1815</v>
      </c>
      <c r="I28" s="69">
        <f t="shared" si="1"/>
        <v>44133</v>
      </c>
      <c r="J28" s="68">
        <v>2538.5500000000002</v>
      </c>
    </row>
    <row r="29" spans="2:10" ht="13.5" thickBot="1" x14ac:dyDescent="0.25">
      <c r="C29" s="69">
        <v>44134</v>
      </c>
      <c r="D29" s="68">
        <v>6709.34</v>
      </c>
      <c r="F29" s="69">
        <f t="shared" si="0"/>
        <v>44134</v>
      </c>
      <c r="G29" s="68">
        <v>1803</v>
      </c>
      <c r="I29" s="69">
        <f t="shared" si="1"/>
        <v>44134</v>
      </c>
      <c r="J29" s="68">
        <v>2520.09</v>
      </c>
    </row>
    <row r="30" spans="2:10" x14ac:dyDescent="0.2">
      <c r="B30" s="5"/>
      <c r="C30" s="67" t="s">
        <v>11</v>
      </c>
      <c r="D30" s="66">
        <f>ROUND(AVERAGE(D8:D29),2)</f>
        <v>6726.14</v>
      </c>
      <c r="F30" s="67" t="s">
        <v>11</v>
      </c>
      <c r="G30" s="66">
        <f>ROUND(AVERAGE(G8:G29),2)</f>
        <v>1819.33</v>
      </c>
      <c r="I30" s="67" t="s">
        <v>11</v>
      </c>
      <c r="J30" s="66">
        <f>ROUND(AVERAGE(J8:J29),2)</f>
        <v>2454.42</v>
      </c>
    </row>
    <row r="31" spans="2:10" x14ac:dyDescent="0.2">
      <c r="B31" s="5"/>
      <c r="C31" s="65" t="s">
        <v>12</v>
      </c>
      <c r="D31" s="64">
        <f>MAX(D8:D29)</f>
        <v>6973.29</v>
      </c>
      <c r="F31" s="65" t="s">
        <v>12</v>
      </c>
      <c r="G31" s="64">
        <f>MAX(G8:G29)</f>
        <v>1863.59</v>
      </c>
      <c r="I31" s="65" t="s">
        <v>12</v>
      </c>
      <c r="J31" s="64">
        <f>MAX(J8:J29)</f>
        <v>2582.5</v>
      </c>
    </row>
    <row r="32" spans="2:10" x14ac:dyDescent="0.2">
      <c r="B32" s="5"/>
      <c r="C32" s="63" t="s">
        <v>13</v>
      </c>
      <c r="D32" s="62">
        <f>MIN(D8:D29)</f>
        <v>6310.52</v>
      </c>
      <c r="F32" s="63" t="s">
        <v>13</v>
      </c>
      <c r="G32" s="62">
        <f>MIN(G8:G29)</f>
        <v>1731.11</v>
      </c>
      <c r="I32" s="63" t="s">
        <v>13</v>
      </c>
      <c r="J32" s="62">
        <f>MIN(J8:J29)</f>
        <v>2286.19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6726.14</v>
      </c>
      <c r="D11" s="155">
        <f>ABR!G30</f>
        <v>1819.33</v>
      </c>
      <c r="E11" s="155">
        <f>ABR!J30</f>
        <v>2454.42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1.2977000000000001</v>
      </c>
    </row>
    <row r="18" spans="2:9" x14ac:dyDescent="0.2">
      <c r="B18" s="151" t="s">
        <v>43</v>
      </c>
      <c r="C18" s="150">
        <f>'Averages Inc. Euro Eq'!F67</f>
        <v>105.22</v>
      </c>
    </row>
    <row r="19" spans="2:9" x14ac:dyDescent="0.2">
      <c r="B19" s="151" t="s">
        <v>41</v>
      </c>
      <c r="C19" s="149">
        <f>'Averages Inc. Euro Eq'!F68</f>
        <v>1.1775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1802.82</v>
      </c>
      <c r="D13" s="113">
        <v>1519.89</v>
      </c>
      <c r="E13" s="113">
        <v>6702.77</v>
      </c>
      <c r="F13" s="113">
        <v>1777.07</v>
      </c>
      <c r="G13" s="113">
        <v>15219.36</v>
      </c>
      <c r="H13" s="113">
        <v>18154.09</v>
      </c>
      <c r="I13" s="113">
        <v>2441.5500000000002</v>
      </c>
      <c r="J13" s="113">
        <v>1619.61</v>
      </c>
      <c r="K13" s="113">
        <v>0.5</v>
      </c>
      <c r="L13" s="113">
        <v>33227.949999999997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1802.82</v>
      </c>
      <c r="D15" s="113">
        <v>1519.89</v>
      </c>
      <c r="E15" s="113">
        <v>6702.77</v>
      </c>
      <c r="F15" s="113">
        <v>1777.07</v>
      </c>
      <c r="G15" s="113">
        <v>15219.36</v>
      </c>
      <c r="H15" s="113">
        <v>18154.09</v>
      </c>
      <c r="I15" s="113">
        <v>2441.5500000000002</v>
      </c>
      <c r="J15" s="113">
        <v>1619.61</v>
      </c>
      <c r="K15" s="113">
        <v>1</v>
      </c>
      <c r="L15" s="113">
        <v>33227.949999999997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1802.82</v>
      </c>
      <c r="D17" s="113">
        <v>1519.89</v>
      </c>
      <c r="E17" s="113">
        <v>6702.77</v>
      </c>
      <c r="F17" s="113">
        <v>1777.07</v>
      </c>
      <c r="G17" s="113">
        <v>15219.36</v>
      </c>
      <c r="H17" s="113">
        <v>18154.09</v>
      </c>
      <c r="I17" s="113">
        <v>2441.5500000000002</v>
      </c>
      <c r="J17" s="113">
        <v>1619.61</v>
      </c>
      <c r="K17" s="113">
        <v>0.75</v>
      </c>
      <c r="L17" s="113">
        <v>33227.949999999997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1819.84</v>
      </c>
      <c r="D19" s="113">
        <v>1555.14</v>
      </c>
      <c r="E19" s="113">
        <v>6716.3</v>
      </c>
      <c r="F19" s="113">
        <v>1793.5</v>
      </c>
      <c r="G19" s="113">
        <v>15258.77</v>
      </c>
      <c r="H19" s="113">
        <v>18152.23</v>
      </c>
      <c r="I19" s="113">
        <v>2458.41</v>
      </c>
      <c r="J19" s="113">
        <v>1638.73</v>
      </c>
      <c r="K19" s="113">
        <v>0.5</v>
      </c>
      <c r="L19" s="113">
        <v>33535.230000000003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1819.84</v>
      </c>
      <c r="D21" s="113">
        <v>1555.14</v>
      </c>
      <c r="E21" s="113">
        <v>6716.3</v>
      </c>
      <c r="F21" s="113">
        <v>1793.5</v>
      </c>
      <c r="G21" s="113">
        <v>15258.77</v>
      </c>
      <c r="H21" s="113">
        <v>18152.23</v>
      </c>
      <c r="I21" s="113">
        <v>2458.41</v>
      </c>
      <c r="J21" s="113">
        <v>1638.73</v>
      </c>
      <c r="K21" s="113">
        <v>1</v>
      </c>
      <c r="L21" s="113">
        <v>33535.230000000003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1819.84</v>
      </c>
      <c r="D23" s="113">
        <v>1555.14</v>
      </c>
      <c r="E23" s="113">
        <v>6716.3</v>
      </c>
      <c r="F23" s="113">
        <v>1793.5</v>
      </c>
      <c r="G23" s="113">
        <v>15258.77</v>
      </c>
      <c r="H23" s="113">
        <v>18152.23</v>
      </c>
      <c r="I23" s="113">
        <v>2458.41</v>
      </c>
      <c r="J23" s="113">
        <v>1638.73</v>
      </c>
      <c r="K23" s="113">
        <v>0.75</v>
      </c>
      <c r="L23" s="113">
        <v>33535.230000000003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1876.2</v>
      </c>
      <c r="D25" s="113">
        <v>1552.59</v>
      </c>
      <c r="E25" s="113">
        <v>6730.73</v>
      </c>
      <c r="F25" s="113">
        <v>1843.2</v>
      </c>
      <c r="G25" s="113">
        <v>15440.82</v>
      </c>
      <c r="H25" s="113"/>
      <c r="I25" s="113">
        <v>2496.73</v>
      </c>
      <c r="J25" s="113">
        <v>1666.57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1876.2</v>
      </c>
      <c r="D27" s="113">
        <v>1552.59</v>
      </c>
      <c r="E27" s="113">
        <v>6730.73</v>
      </c>
      <c r="F27" s="113">
        <v>1843.2</v>
      </c>
      <c r="G27" s="113">
        <v>15440.82</v>
      </c>
      <c r="H27" s="113"/>
      <c r="I27" s="113">
        <v>2496.73</v>
      </c>
      <c r="J27" s="113">
        <v>1666.57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1876.2</v>
      </c>
      <c r="D29" s="113">
        <v>1552.59</v>
      </c>
      <c r="E29" s="113">
        <v>6730.73</v>
      </c>
      <c r="F29" s="113">
        <v>1843.2</v>
      </c>
      <c r="G29" s="113">
        <v>15440.82</v>
      </c>
      <c r="H29" s="113"/>
      <c r="I29" s="113">
        <v>2496.73</v>
      </c>
      <c r="J29" s="113">
        <v>1666.57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1942.61</v>
      </c>
      <c r="D31" s="113"/>
      <c r="E31" s="113">
        <v>6744.09</v>
      </c>
      <c r="F31" s="113">
        <v>1873.8</v>
      </c>
      <c r="G31" s="113">
        <v>15635.36</v>
      </c>
      <c r="H31" s="113"/>
      <c r="I31" s="113">
        <v>2523.0500000000002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1942.61</v>
      </c>
      <c r="D33" s="113"/>
      <c r="E33" s="113">
        <v>6744.09</v>
      </c>
      <c r="F33" s="113">
        <v>1873.8</v>
      </c>
      <c r="G33" s="113">
        <v>15635.36</v>
      </c>
      <c r="H33" s="113"/>
      <c r="I33" s="113">
        <v>2523.0500000000002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1942.61</v>
      </c>
      <c r="D35" s="113"/>
      <c r="E35" s="113">
        <v>6744.09</v>
      </c>
      <c r="F35" s="113">
        <v>1873.8</v>
      </c>
      <c r="G35" s="113">
        <v>15635.36</v>
      </c>
      <c r="H35" s="113"/>
      <c r="I35" s="113">
        <v>2523.0500000000002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2013.82</v>
      </c>
      <c r="D37" s="113"/>
      <c r="E37" s="113">
        <v>6763.59</v>
      </c>
      <c r="F37" s="113">
        <v>1903.8</v>
      </c>
      <c r="G37" s="113">
        <v>15836.5</v>
      </c>
      <c r="H37" s="113"/>
      <c r="I37" s="113">
        <v>2529.6799999999998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2013.82</v>
      </c>
      <c r="D39" s="113"/>
      <c r="E39" s="113">
        <v>6763.59</v>
      </c>
      <c r="F39" s="113">
        <v>1903.8</v>
      </c>
      <c r="G39" s="113">
        <v>15836.5</v>
      </c>
      <c r="H39" s="113"/>
      <c r="I39" s="113">
        <v>2529.6799999999998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2013.82</v>
      </c>
      <c r="D41" s="113"/>
      <c r="E41" s="113">
        <v>6763.59</v>
      </c>
      <c r="F41" s="113">
        <v>1903.8</v>
      </c>
      <c r="G41" s="113">
        <v>15836.5</v>
      </c>
      <c r="H41" s="113"/>
      <c r="I41" s="113">
        <v>2529.6799999999998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18019.05</v>
      </c>
      <c r="I43" s="113"/>
      <c r="J43" s="113"/>
      <c r="K43" s="113">
        <v>0.5</v>
      </c>
      <c r="L43" s="113">
        <v>35350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18019.05</v>
      </c>
      <c r="I45" s="113"/>
      <c r="J45" s="113"/>
      <c r="K45" s="113">
        <v>1</v>
      </c>
      <c r="L45" s="113">
        <v>35350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18019.05</v>
      </c>
      <c r="I47" s="110"/>
      <c r="J47" s="110"/>
      <c r="K47" s="110">
        <v>0.75</v>
      </c>
      <c r="L47" s="110">
        <v>35350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1531.07</v>
      </c>
    </row>
    <row r="55" spans="2:5" x14ac:dyDescent="0.2">
      <c r="B55" s="100" t="s">
        <v>56</v>
      </c>
      <c r="C55" s="101">
        <v>1290.78</v>
      </c>
    </row>
    <row r="56" spans="2:5" x14ac:dyDescent="0.2">
      <c r="B56" s="100" t="s">
        <v>55</v>
      </c>
      <c r="C56" s="101">
        <v>5692.33</v>
      </c>
    </row>
    <row r="57" spans="2:5" x14ac:dyDescent="0.2">
      <c r="B57" s="100" t="s">
        <v>54</v>
      </c>
      <c r="C57" s="101">
        <v>1509.23</v>
      </c>
    </row>
    <row r="58" spans="2:5" x14ac:dyDescent="0.2">
      <c r="B58" s="100" t="s">
        <v>53</v>
      </c>
      <c r="C58" s="101">
        <v>12925.04</v>
      </c>
    </row>
    <row r="59" spans="2:5" x14ac:dyDescent="0.2">
      <c r="B59" s="100" t="s">
        <v>52</v>
      </c>
      <c r="C59" s="101">
        <v>15417.36</v>
      </c>
    </row>
    <row r="60" spans="2:5" x14ac:dyDescent="0.2">
      <c r="B60" s="100" t="s">
        <v>51</v>
      </c>
      <c r="C60" s="101">
        <v>2073.4699999999998</v>
      </c>
    </row>
    <row r="61" spans="2:5" x14ac:dyDescent="0.2">
      <c r="B61" s="98" t="s">
        <v>50</v>
      </c>
      <c r="C61" s="97">
        <v>1375.49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5164.95</v>
      </c>
      <c r="E65" s="96" t="s">
        <v>46</v>
      </c>
    </row>
    <row r="66" spans="2:9" x14ac:dyDescent="0.2">
      <c r="B66" s="93" t="s">
        <v>45</v>
      </c>
      <c r="D66" s="92">
        <v>5172.13</v>
      </c>
      <c r="E66" s="95" t="s">
        <v>10</v>
      </c>
      <c r="F66" s="90">
        <v>1.2977000000000001</v>
      </c>
    </row>
    <row r="67" spans="2:9" x14ac:dyDescent="0.2">
      <c r="B67" s="93" t="s">
        <v>44</v>
      </c>
      <c r="D67" s="92">
        <v>1369.4</v>
      </c>
      <c r="E67" s="95" t="s">
        <v>43</v>
      </c>
      <c r="F67" s="94">
        <v>105.22</v>
      </c>
    </row>
    <row r="68" spans="2:9" x14ac:dyDescent="0.2">
      <c r="B68" s="93" t="s">
        <v>42</v>
      </c>
      <c r="D68" s="92">
        <v>1381.2</v>
      </c>
      <c r="E68" s="91" t="s">
        <v>41</v>
      </c>
      <c r="F68" s="90">
        <v>1.1775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B28C70-C8E3-4406-85D6-A3EBD389473E}"/>
</file>

<file path=customXml/itemProps2.xml><?xml version="1.0" encoding="utf-8"?>
<ds:datastoreItem xmlns:ds="http://schemas.openxmlformats.org/officeDocument/2006/customXml" ds:itemID="{DC15C01B-E0D7-4CAD-BD9C-00AB3E7A7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2020-11-03T13:44:25Z</cp:lastPrinted>
  <dcterms:created xsi:type="dcterms:W3CDTF">2012-05-31T12:49:12Z</dcterms:created>
  <dcterms:modified xsi:type="dcterms:W3CDTF">2020-11-03T13:45:29Z</dcterms:modified>
</cp:coreProperties>
</file>