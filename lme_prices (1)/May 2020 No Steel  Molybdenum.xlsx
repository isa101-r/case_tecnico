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370" yWindow="720" windowWidth="20730" windowHeight="11205" tabRatio="993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E11" i="13"/>
  <c r="J29" i="12"/>
  <c r="G29" i="12"/>
  <c r="D29" i="12"/>
  <c r="J28" i="12"/>
  <c r="G28" i="12"/>
  <c r="D28" i="12"/>
  <c r="J27" i="12"/>
  <c r="G27" i="12"/>
  <c r="D11" i="13" s="1"/>
  <c r="D27" i="12"/>
  <c r="C11" i="13" s="1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0" i="10"/>
  <c r="Q30" i="10"/>
  <c r="P30" i="10"/>
  <c r="O30" i="10"/>
  <c r="N30" i="10"/>
  <c r="M30" i="10"/>
  <c r="L30" i="10"/>
  <c r="J30" i="10"/>
  <c r="I30" i="10"/>
  <c r="H30" i="10"/>
  <c r="G30" i="10"/>
  <c r="F30" i="10"/>
  <c r="D30" i="10"/>
  <c r="C30" i="10"/>
  <c r="S29" i="10"/>
  <c r="Q29" i="10"/>
  <c r="P29" i="10"/>
  <c r="O29" i="10"/>
  <c r="N29" i="10"/>
  <c r="M29" i="10"/>
  <c r="L29" i="10"/>
  <c r="J29" i="10"/>
  <c r="I29" i="10"/>
  <c r="G29" i="10"/>
  <c r="F29" i="10"/>
  <c r="E29" i="10"/>
  <c r="D29" i="10"/>
  <c r="C29" i="10"/>
  <c r="S28" i="10"/>
  <c r="Q28" i="10"/>
  <c r="P28" i="10"/>
  <c r="O28" i="10"/>
  <c r="N28" i="10"/>
  <c r="M28" i="10"/>
  <c r="L28" i="10"/>
  <c r="J28" i="10"/>
  <c r="I28" i="10"/>
  <c r="K28" i="10" s="1"/>
  <c r="G28" i="10"/>
  <c r="F28" i="10"/>
  <c r="H28" i="10" s="1"/>
  <c r="D28" i="10"/>
  <c r="C28" i="10"/>
  <c r="E28" i="10" s="1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0" i="10" s="1"/>
  <c r="K9" i="10"/>
  <c r="K30" i="10" s="1"/>
  <c r="H9" i="10"/>
  <c r="H29" i="10" s="1"/>
  <c r="E9" i="10"/>
  <c r="E30" i="10" s="1"/>
  <c r="Y30" i="8"/>
  <c r="W30" i="8"/>
  <c r="V30" i="8"/>
  <c r="U30" i="8"/>
  <c r="T30" i="8"/>
  <c r="S30" i="8"/>
  <c r="R30" i="8"/>
  <c r="P30" i="8"/>
  <c r="O30" i="8"/>
  <c r="M30" i="8"/>
  <c r="L30" i="8"/>
  <c r="J30" i="8"/>
  <c r="I30" i="8"/>
  <c r="G30" i="8"/>
  <c r="F30" i="8"/>
  <c r="D30" i="8"/>
  <c r="C30" i="8"/>
  <c r="Y29" i="8"/>
  <c r="W29" i="8"/>
  <c r="V29" i="8"/>
  <c r="U29" i="8"/>
  <c r="T29" i="8"/>
  <c r="S29" i="8"/>
  <c r="R29" i="8"/>
  <c r="P29" i="8"/>
  <c r="O29" i="8"/>
  <c r="M29" i="8"/>
  <c r="L29" i="8"/>
  <c r="K29" i="8"/>
  <c r="J29" i="8"/>
  <c r="I29" i="8"/>
  <c r="G29" i="8"/>
  <c r="F29" i="8"/>
  <c r="D29" i="8"/>
  <c r="C29" i="8"/>
  <c r="Y28" i="8"/>
  <c r="W28" i="8"/>
  <c r="V28" i="8"/>
  <c r="U28" i="8"/>
  <c r="T28" i="8"/>
  <c r="S28" i="8"/>
  <c r="R28" i="8"/>
  <c r="P28" i="8"/>
  <c r="O28" i="8"/>
  <c r="Q28" i="8" s="1"/>
  <c r="N28" i="8"/>
  <c r="M28" i="8"/>
  <c r="L28" i="8"/>
  <c r="J28" i="8"/>
  <c r="I28" i="8"/>
  <c r="K28" i="8" s="1"/>
  <c r="G28" i="8"/>
  <c r="F28" i="8"/>
  <c r="H28" i="8" s="1"/>
  <c r="D28" i="8"/>
  <c r="C28" i="8"/>
  <c r="E28" i="8" s="1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H10" i="8"/>
  <c r="E10" i="8"/>
  <c r="X9" i="8"/>
  <c r="X28" i="8" s="1"/>
  <c r="Q9" i="8"/>
  <c r="Q29" i="8" s="1"/>
  <c r="N9" i="8"/>
  <c r="N29" i="8" s="1"/>
  <c r="K9" i="8"/>
  <c r="K30" i="8" s="1"/>
  <c r="H9" i="8"/>
  <c r="H30" i="8" s="1"/>
  <c r="E9" i="8"/>
  <c r="E29" i="8" s="1"/>
  <c r="S30" i="7"/>
  <c r="Q30" i="7"/>
  <c r="P30" i="7"/>
  <c r="O30" i="7"/>
  <c r="N30" i="7"/>
  <c r="M30" i="7"/>
  <c r="L30" i="7"/>
  <c r="J30" i="7"/>
  <c r="I30" i="7"/>
  <c r="G30" i="7"/>
  <c r="F30" i="7"/>
  <c r="D30" i="7"/>
  <c r="C30" i="7"/>
  <c r="S29" i="7"/>
  <c r="R29" i="7"/>
  <c r="Q29" i="7"/>
  <c r="P29" i="7"/>
  <c r="O29" i="7"/>
  <c r="N29" i="7"/>
  <c r="M29" i="7"/>
  <c r="L29" i="7"/>
  <c r="J29" i="7"/>
  <c r="I29" i="7"/>
  <c r="G29" i="7"/>
  <c r="F29" i="7"/>
  <c r="D29" i="7"/>
  <c r="C29" i="7"/>
  <c r="S28" i="7"/>
  <c r="Q28" i="7"/>
  <c r="P28" i="7"/>
  <c r="O28" i="7"/>
  <c r="N28" i="7"/>
  <c r="M28" i="7"/>
  <c r="L28" i="7"/>
  <c r="K28" i="7"/>
  <c r="J28" i="7"/>
  <c r="I28" i="7"/>
  <c r="G28" i="7"/>
  <c r="F28" i="7"/>
  <c r="H28" i="7" s="1"/>
  <c r="D28" i="7"/>
  <c r="C28" i="7"/>
  <c r="E28" i="7" s="1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28" i="7" s="1"/>
  <c r="K9" i="7"/>
  <c r="K30" i="7" s="1"/>
  <c r="H9" i="7"/>
  <c r="H30" i="7" s="1"/>
  <c r="E9" i="7"/>
  <c r="E29" i="7" s="1"/>
  <c r="Y30" i="6"/>
  <c r="W30" i="6"/>
  <c r="V30" i="6"/>
  <c r="U30" i="6"/>
  <c r="T30" i="6"/>
  <c r="S30" i="6"/>
  <c r="R30" i="6"/>
  <c r="P30" i="6"/>
  <c r="O30" i="6"/>
  <c r="M30" i="6"/>
  <c r="L30" i="6"/>
  <c r="J30" i="6"/>
  <c r="I30" i="6"/>
  <c r="G30" i="6"/>
  <c r="F30" i="6"/>
  <c r="D30" i="6"/>
  <c r="C30" i="6"/>
  <c r="Y29" i="6"/>
  <c r="W29" i="6"/>
  <c r="V29" i="6"/>
  <c r="U29" i="6"/>
  <c r="T29" i="6"/>
  <c r="S29" i="6"/>
  <c r="R29" i="6"/>
  <c r="Q29" i="6"/>
  <c r="P29" i="6"/>
  <c r="O29" i="6"/>
  <c r="M29" i="6"/>
  <c r="L29" i="6"/>
  <c r="J29" i="6"/>
  <c r="I29" i="6"/>
  <c r="G29" i="6"/>
  <c r="F29" i="6"/>
  <c r="E29" i="6"/>
  <c r="D29" i="6"/>
  <c r="C29" i="6"/>
  <c r="Y28" i="6"/>
  <c r="W28" i="6"/>
  <c r="V28" i="6"/>
  <c r="U28" i="6"/>
  <c r="T28" i="6"/>
  <c r="S28" i="6"/>
  <c r="R28" i="6"/>
  <c r="P28" i="6"/>
  <c r="O28" i="6"/>
  <c r="Q28" i="6" s="1"/>
  <c r="M28" i="6"/>
  <c r="L28" i="6"/>
  <c r="N28" i="6" s="1"/>
  <c r="J28" i="6"/>
  <c r="I28" i="6"/>
  <c r="K28" i="6" s="1"/>
  <c r="H28" i="6"/>
  <c r="G28" i="6"/>
  <c r="F28" i="6"/>
  <c r="D28" i="6"/>
  <c r="C28" i="6"/>
  <c r="E28" i="6" s="1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X28" i="6" s="1"/>
  <c r="Q10" i="6"/>
  <c r="N10" i="6"/>
  <c r="K10" i="6"/>
  <c r="H10" i="6"/>
  <c r="E10" i="6"/>
  <c r="X9" i="6"/>
  <c r="X29" i="6" s="1"/>
  <c r="Q9" i="6"/>
  <c r="Q30" i="6" s="1"/>
  <c r="N9" i="6"/>
  <c r="N29" i="6" s="1"/>
  <c r="K9" i="6"/>
  <c r="K29" i="6" s="1"/>
  <c r="H9" i="6"/>
  <c r="H29" i="6" s="1"/>
  <c r="E9" i="6"/>
  <c r="E30" i="6" s="1"/>
  <c r="Y30" i="5"/>
  <c r="W30" i="5"/>
  <c r="V30" i="5"/>
  <c r="U30" i="5"/>
  <c r="T30" i="5"/>
  <c r="S30" i="5"/>
  <c r="R30" i="5"/>
  <c r="P30" i="5"/>
  <c r="O30" i="5"/>
  <c r="M30" i="5"/>
  <c r="L30" i="5"/>
  <c r="J30" i="5"/>
  <c r="I30" i="5"/>
  <c r="G30" i="5"/>
  <c r="F30" i="5"/>
  <c r="D30" i="5"/>
  <c r="C30" i="5"/>
  <c r="Y29" i="5"/>
  <c r="X29" i="5"/>
  <c r="W29" i="5"/>
  <c r="V29" i="5"/>
  <c r="U29" i="5"/>
  <c r="T29" i="5"/>
  <c r="S29" i="5"/>
  <c r="R29" i="5"/>
  <c r="P29" i="5"/>
  <c r="O29" i="5"/>
  <c r="M29" i="5"/>
  <c r="L29" i="5"/>
  <c r="J29" i="5"/>
  <c r="I29" i="5"/>
  <c r="H29" i="5"/>
  <c r="G29" i="5"/>
  <c r="F29" i="5"/>
  <c r="D29" i="5"/>
  <c r="C29" i="5"/>
  <c r="Y28" i="5"/>
  <c r="W28" i="5"/>
  <c r="V28" i="5"/>
  <c r="U28" i="5"/>
  <c r="T28" i="5"/>
  <c r="S28" i="5"/>
  <c r="R28" i="5"/>
  <c r="P28" i="5"/>
  <c r="O28" i="5"/>
  <c r="Q28" i="5" s="1"/>
  <c r="M28" i="5"/>
  <c r="L28" i="5"/>
  <c r="N28" i="5" s="1"/>
  <c r="K28" i="5"/>
  <c r="J28" i="5"/>
  <c r="I28" i="5"/>
  <c r="G28" i="5"/>
  <c r="F28" i="5"/>
  <c r="H28" i="5" s="1"/>
  <c r="D28" i="5"/>
  <c r="C28" i="5"/>
  <c r="E28" i="5" s="1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Q30" i="5" s="1"/>
  <c r="N10" i="5"/>
  <c r="K10" i="5"/>
  <c r="H10" i="5"/>
  <c r="E10" i="5"/>
  <c r="E30" i="5" s="1"/>
  <c r="X9" i="5"/>
  <c r="X30" i="5" s="1"/>
  <c r="Q9" i="5"/>
  <c r="Q29" i="5" s="1"/>
  <c r="N9" i="5"/>
  <c r="N29" i="5" s="1"/>
  <c r="K9" i="5"/>
  <c r="K29" i="5" s="1"/>
  <c r="H9" i="5"/>
  <c r="H30" i="5" s="1"/>
  <c r="E9" i="5"/>
  <c r="E29" i="5" s="1"/>
  <c r="Y30" i="4"/>
  <c r="W30" i="4"/>
  <c r="V30" i="4"/>
  <c r="U30" i="4"/>
  <c r="T30" i="4"/>
  <c r="S30" i="4"/>
  <c r="R30" i="4"/>
  <c r="P30" i="4"/>
  <c r="O30" i="4"/>
  <c r="M30" i="4"/>
  <c r="L30" i="4"/>
  <c r="J30" i="4"/>
  <c r="I30" i="4"/>
  <c r="G30" i="4"/>
  <c r="F30" i="4"/>
  <c r="D30" i="4"/>
  <c r="C30" i="4"/>
  <c r="Y29" i="4"/>
  <c r="W29" i="4"/>
  <c r="V29" i="4"/>
  <c r="U29" i="4"/>
  <c r="T29" i="4"/>
  <c r="S29" i="4"/>
  <c r="R29" i="4"/>
  <c r="P29" i="4"/>
  <c r="O29" i="4"/>
  <c r="M29" i="4"/>
  <c r="L29" i="4"/>
  <c r="K29" i="4"/>
  <c r="J29" i="4"/>
  <c r="I29" i="4"/>
  <c r="G29" i="4"/>
  <c r="F29" i="4"/>
  <c r="D29" i="4"/>
  <c r="C29" i="4"/>
  <c r="Y28" i="4"/>
  <c r="W28" i="4"/>
  <c r="V28" i="4"/>
  <c r="U28" i="4"/>
  <c r="T28" i="4"/>
  <c r="S28" i="4"/>
  <c r="R28" i="4"/>
  <c r="P28" i="4"/>
  <c r="Q28" i="4" s="1"/>
  <c r="O28" i="4"/>
  <c r="N28" i="4"/>
  <c r="M28" i="4"/>
  <c r="L28" i="4"/>
  <c r="J28" i="4"/>
  <c r="I28" i="4"/>
  <c r="K28" i="4" s="1"/>
  <c r="G28" i="4"/>
  <c r="F28" i="4"/>
  <c r="H28" i="4" s="1"/>
  <c r="E28" i="4"/>
  <c r="D28" i="4"/>
  <c r="C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X30" i="4" s="1"/>
  <c r="Q9" i="4"/>
  <c r="Q29" i="4" s="1"/>
  <c r="N9" i="4"/>
  <c r="N29" i="4" s="1"/>
  <c r="K9" i="4"/>
  <c r="K30" i="4" s="1"/>
  <c r="H9" i="4"/>
  <c r="H29" i="4" s="1"/>
  <c r="E9" i="4"/>
  <c r="E29" i="4" s="1"/>
  <c r="S30" i="3"/>
  <c r="Q30" i="3"/>
  <c r="P30" i="3"/>
  <c r="O30" i="3"/>
  <c r="N30" i="3"/>
  <c r="M30" i="3"/>
  <c r="L30" i="3"/>
  <c r="J30" i="3"/>
  <c r="I30" i="3"/>
  <c r="G30" i="3"/>
  <c r="F30" i="3"/>
  <c r="D30" i="3"/>
  <c r="C30" i="3"/>
  <c r="S29" i="3"/>
  <c r="R29" i="3"/>
  <c r="Q29" i="3"/>
  <c r="P29" i="3"/>
  <c r="O29" i="3"/>
  <c r="N29" i="3"/>
  <c r="M29" i="3"/>
  <c r="L29" i="3"/>
  <c r="J29" i="3"/>
  <c r="I29" i="3"/>
  <c r="G29" i="3"/>
  <c r="F29" i="3"/>
  <c r="D29" i="3"/>
  <c r="C29" i="3"/>
  <c r="S28" i="3"/>
  <c r="Q28" i="3"/>
  <c r="P28" i="3"/>
  <c r="O28" i="3"/>
  <c r="N28" i="3"/>
  <c r="M28" i="3"/>
  <c r="L28" i="3"/>
  <c r="K28" i="3"/>
  <c r="J28" i="3"/>
  <c r="I28" i="3"/>
  <c r="G28" i="3"/>
  <c r="F28" i="3"/>
  <c r="H28" i="3" s="1"/>
  <c r="D28" i="3"/>
  <c r="C28" i="3"/>
  <c r="E28" i="3" s="1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28" i="3" s="1"/>
  <c r="K9" i="3"/>
  <c r="K30" i="3" s="1"/>
  <c r="H9" i="3"/>
  <c r="H30" i="3" s="1"/>
  <c r="E9" i="3"/>
  <c r="E29" i="3" s="1"/>
  <c r="S30" i="2"/>
  <c r="Q30" i="2"/>
  <c r="P30" i="2"/>
  <c r="O30" i="2"/>
  <c r="N30" i="2"/>
  <c r="M30" i="2"/>
  <c r="L30" i="2"/>
  <c r="J30" i="2"/>
  <c r="I30" i="2"/>
  <c r="H30" i="2"/>
  <c r="G30" i="2"/>
  <c r="F30" i="2"/>
  <c r="D30" i="2"/>
  <c r="C30" i="2"/>
  <c r="S29" i="2"/>
  <c r="Q29" i="2"/>
  <c r="P29" i="2"/>
  <c r="O29" i="2"/>
  <c r="N29" i="2"/>
  <c r="M29" i="2"/>
  <c r="L29" i="2"/>
  <c r="J29" i="2"/>
  <c r="I29" i="2"/>
  <c r="G29" i="2"/>
  <c r="F29" i="2"/>
  <c r="E29" i="2"/>
  <c r="D29" i="2"/>
  <c r="C29" i="2"/>
  <c r="S28" i="2"/>
  <c r="Q28" i="2"/>
  <c r="P28" i="2"/>
  <c r="O28" i="2"/>
  <c r="N28" i="2"/>
  <c r="M28" i="2"/>
  <c r="L28" i="2"/>
  <c r="J28" i="2"/>
  <c r="K28" i="2" s="1"/>
  <c r="I28" i="2"/>
  <c r="G28" i="2"/>
  <c r="F28" i="2"/>
  <c r="H28" i="2" s="1"/>
  <c r="D28" i="2"/>
  <c r="C28" i="2"/>
  <c r="E28" i="2" s="1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0" i="2" s="1"/>
  <c r="K9" i="2"/>
  <c r="K30" i="2" s="1"/>
  <c r="H9" i="2"/>
  <c r="H29" i="2" s="1"/>
  <c r="E9" i="2"/>
  <c r="E30" i="2" s="1"/>
  <c r="Y30" i="1"/>
  <c r="W30" i="1"/>
  <c r="V30" i="1"/>
  <c r="U30" i="1"/>
  <c r="T30" i="1"/>
  <c r="S30" i="1"/>
  <c r="R30" i="1"/>
  <c r="P30" i="1"/>
  <c r="O30" i="1"/>
  <c r="M30" i="1"/>
  <c r="L30" i="1"/>
  <c r="J30" i="1"/>
  <c r="I30" i="1"/>
  <c r="G30" i="1"/>
  <c r="F30" i="1"/>
  <c r="D30" i="1"/>
  <c r="C30" i="1"/>
  <c r="Y29" i="1"/>
  <c r="X29" i="1"/>
  <c r="W29" i="1"/>
  <c r="V29" i="1"/>
  <c r="U29" i="1"/>
  <c r="T29" i="1"/>
  <c r="S29" i="1"/>
  <c r="R29" i="1"/>
  <c r="P29" i="1"/>
  <c r="O29" i="1"/>
  <c r="M29" i="1"/>
  <c r="L29" i="1"/>
  <c r="J29" i="1"/>
  <c r="I29" i="1"/>
  <c r="H29" i="1"/>
  <c r="G29" i="1"/>
  <c r="F29" i="1"/>
  <c r="D29" i="1"/>
  <c r="C29" i="1"/>
  <c r="Y28" i="1"/>
  <c r="W28" i="1"/>
  <c r="V28" i="1"/>
  <c r="U28" i="1"/>
  <c r="T28" i="1"/>
  <c r="S28" i="1"/>
  <c r="R28" i="1"/>
  <c r="P28" i="1"/>
  <c r="O28" i="1"/>
  <c r="Q28" i="1" s="1"/>
  <c r="M28" i="1"/>
  <c r="L28" i="1"/>
  <c r="N28" i="1" s="1"/>
  <c r="K28" i="1"/>
  <c r="J28" i="1"/>
  <c r="I28" i="1"/>
  <c r="G28" i="1"/>
  <c r="F28" i="1"/>
  <c r="H28" i="1" s="1"/>
  <c r="D28" i="1"/>
  <c r="C28" i="1"/>
  <c r="E28" i="1" s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Q30" i="1" s="1"/>
  <c r="N10" i="1"/>
  <c r="K10" i="1"/>
  <c r="H10" i="1"/>
  <c r="E10" i="1"/>
  <c r="E30" i="1" s="1"/>
  <c r="X9" i="1"/>
  <c r="X30" i="1" s="1"/>
  <c r="Q9" i="1"/>
  <c r="Q29" i="1" s="1"/>
  <c r="N9" i="1"/>
  <c r="N29" i="1" s="1"/>
  <c r="K9" i="1"/>
  <c r="K29" i="1" s="1"/>
  <c r="H9" i="1"/>
  <c r="H30" i="1" s="1"/>
  <c r="E9" i="1"/>
  <c r="E29" i="1" s="1"/>
  <c r="H30" i="4" l="1"/>
  <c r="N30" i="6"/>
  <c r="X28" i="1"/>
  <c r="N30" i="1"/>
  <c r="R29" i="2"/>
  <c r="K29" i="3"/>
  <c r="R30" i="3"/>
  <c r="X29" i="4"/>
  <c r="E30" i="4"/>
  <c r="Q30" i="4"/>
  <c r="X28" i="5"/>
  <c r="N30" i="5"/>
  <c r="K30" i="6"/>
  <c r="K29" i="7"/>
  <c r="R30" i="7"/>
  <c r="H29" i="8"/>
  <c r="X29" i="8"/>
  <c r="E30" i="8"/>
  <c r="Q30" i="8"/>
  <c r="R29" i="10"/>
  <c r="R28" i="2"/>
  <c r="E30" i="7"/>
  <c r="X30" i="8"/>
  <c r="R28" i="10"/>
  <c r="K30" i="1"/>
  <c r="K29" i="2"/>
  <c r="H29" i="3"/>
  <c r="X28" i="4"/>
  <c r="N30" i="4"/>
  <c r="K30" i="5"/>
  <c r="H30" i="6"/>
  <c r="X30" i="6"/>
  <c r="H29" i="7"/>
  <c r="N30" i="8"/>
  <c r="K29" i="10"/>
  <c r="E30" i="3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<sst xmlns="http://schemas.openxmlformats.org/spreadsheetml/2006/main" count="429" uniqueCount="99">
  <si>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</si>
  <si>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</si>
  <si>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</si>
  <si>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</si>
  <si>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</si>
  <si>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</si>
  <si>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</si>
  <si>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</si>
  <si>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</si>
  <si>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</si>
  <si>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</si>
  <si>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</si>
  <si>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</si>
  <si>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</si>
  <si>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</si>
  <si>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</si>
  <si>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</si>
  <si>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</si>
  <si>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</si>
  <si>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</si>
  <si>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</si>
  <si>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</si>
  <si>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</si>
  <si>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</si>
  <si>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</si>
  <si>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</si>
  <si>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</si>
  <si>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</si>
  <si>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</si>
  <si>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</si>
  <si>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</si>
  <si>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</si>
  <si>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</si>
  <si>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</si>
  <si>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</si>
  <si>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</si>
  <si>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</si>
  <si>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</si>
  <si>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</si>
  <si>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</si>
  <si>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</si>
  <si>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</si>
  <si>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</si>
  <si>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</si>
  <si>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</si>
  <si>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</si>
  <si>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</si>
  <si>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</si>
  <si>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</si>
  <si>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</si>
  <si>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</si>
  <si>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</si>
  <si>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</si>
  <si>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</si>
  <si>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</si>
  <si>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</si>
  <si>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</si>
  <si>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</si>
  <si>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</si>
  <si>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</si>
  <si>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</si>
  <si>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</si>
  <si>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</si>
  <si>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</si>
  <si>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</si>
  <si>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</si>
  <si>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</si>
  <si>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</si>
  <si>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</si>
  <si>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</si>
  <si>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</si>
  <si>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</si>
  <si>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</si>
  <si>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</si>
  <si>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</si>
  <si>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</si>
  <si>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</si>
  <si>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</si>
  <si>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</si>
  <si>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</si>
  <si>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</si>
  <si>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</si>
  <si>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</si>
  <si>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</si>
  <si>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</si>
  <si>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</si>
  <si>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</si>
  <si>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</si>
  <si>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</si>
  <si>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</si>
  <si>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</si>
  <si>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</si>
  <si>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</si>
  <si>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</si>
  <si>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</si>
  <si>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MAY 2020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</si>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</sst>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3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43952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43952</v>
      </c>
      <c r="C9" s="46">
        <v>5061</v>
      </c>
      <c r="D9" s="45">
        <v>5061</v>
      </c>
      <c r="E9" s="44">
        <f t="shared" ref="E9:E27" si="0">AVERAGE(C9:D9)</f>
        <v>5061</v>
      </c>
      <c r="F9" s="46">
        <v>5090.5</v>
      </c>
      <c r="G9" s="45">
        <v>5090.5</v>
      </c>
      <c r="H9" s="44">
        <f t="shared" ref="H9:H27" si="1">AVERAGE(F9:G9)</f>
        <v>5090.5</v>
      </c>
      <c r="I9" s="46">
        <v>5183.5</v>
      </c>
      <c r="J9" s="45">
        <v>5183.5</v>
      </c>
      <c r="K9" s="44">
        <f t="shared" ref="K9:K27" si="2">AVERAGE(I9:J9)</f>
        <v>5183.5</v>
      </c>
      <c r="L9" s="46">
        <v>5247.5</v>
      </c>
      <c r="M9" s="45">
        <v>5247.5</v>
      </c>
      <c r="N9" s="44">
        <f t="shared" ref="N9:N27" si="3">AVERAGE(L9:M9)</f>
        <v>5247.5</v>
      </c>
      <c r="O9" s="46">
        <v>5314.5</v>
      </c>
      <c r="P9" s="45">
        <v>5314.5</v>
      </c>
      <c r="Q9" s="44">
        <f t="shared" ref="Q9:Q27" si="4">AVERAGE(O9:P9)</f>
        <v>5314.5</v>
      </c>
      <c r="R9" s="52">
        <v>5061</v>
      </c>
      <c r="S9" s="51">
        <v>1.2534000000000001</v>
      </c>
      <c r="T9" s="53">
        <v>1.0973999999999999</v>
      </c>
      <c r="U9" s="50">
        <v>106.7</v>
      </c>
      <c r="V9" s="43">
        <v>4037.82</v>
      </c>
      <c r="W9" s="43">
        <v>4060.06</v>
      </c>
      <c r="X9" s="49">
        <f t="shared" ref="X9:X27" si="5">R9/T9</f>
        <v>4611.8097320940406</v>
      </c>
      <c r="Y9" s="48">
        <v>1.2538</v>
      </c>
    </row>
    <row r="10" spans="1:25" x14ac:dyDescent="0.2">
      <c r="B10" s="47">
        <v>43955</v>
      </c>
      <c r="C10" s="46">
        <v>5058</v>
      </c>
      <c r="D10" s="45">
        <v>5058</v>
      </c>
      <c r="E10" s="44">
        <f t="shared" si="0"/>
        <v>5058</v>
      </c>
      <c r="F10" s="46">
        <v>5086</v>
      </c>
      <c r="G10" s="45">
        <v>5086</v>
      </c>
      <c r="H10" s="44">
        <f t="shared" si="1"/>
        <v>5086</v>
      </c>
      <c r="I10" s="46">
        <v>5182</v>
      </c>
      <c r="J10" s="45">
        <v>5182</v>
      </c>
      <c r="K10" s="44">
        <f t="shared" si="2"/>
        <v>5182</v>
      </c>
      <c r="L10" s="46">
        <v>5246</v>
      </c>
      <c r="M10" s="45">
        <v>5246</v>
      </c>
      <c r="N10" s="44">
        <f t="shared" si="3"/>
        <v>5246</v>
      </c>
      <c r="O10" s="46">
        <v>5313</v>
      </c>
      <c r="P10" s="45">
        <v>5313</v>
      </c>
      <c r="Q10" s="44">
        <f t="shared" si="4"/>
        <v>5313</v>
      </c>
      <c r="R10" s="52">
        <v>5058</v>
      </c>
      <c r="S10" s="51">
        <v>1.244</v>
      </c>
      <c r="T10" s="51">
        <v>1.0939000000000001</v>
      </c>
      <c r="U10" s="50">
        <v>106.81</v>
      </c>
      <c r="V10" s="43">
        <v>4065.92</v>
      </c>
      <c r="W10" s="43">
        <v>4086.78</v>
      </c>
      <c r="X10" s="49">
        <f t="shared" si="5"/>
        <v>4623.8230185574548</v>
      </c>
      <c r="Y10" s="48">
        <v>1.2444999999999999</v>
      </c>
    </row>
    <row r="11" spans="1:25" x14ac:dyDescent="0.2">
      <c r="B11" s="47">
        <v>43956</v>
      </c>
      <c r="C11" s="46">
        <v>5111.5</v>
      </c>
      <c r="D11" s="45">
        <v>5111.5</v>
      </c>
      <c r="E11" s="44">
        <f t="shared" si="0"/>
        <v>5111.5</v>
      </c>
      <c r="F11" s="46">
        <v>5142.5</v>
      </c>
      <c r="G11" s="45">
        <v>5142.5</v>
      </c>
      <c r="H11" s="44">
        <f t="shared" si="1"/>
        <v>5142.5</v>
      </c>
      <c r="I11" s="46">
        <v>5237.5</v>
      </c>
      <c r="J11" s="45">
        <v>5237.5</v>
      </c>
      <c r="K11" s="44">
        <f t="shared" si="2"/>
        <v>5237.5</v>
      </c>
      <c r="L11" s="46">
        <v>5304.5</v>
      </c>
      <c r="M11" s="45">
        <v>5304.5</v>
      </c>
      <c r="N11" s="44">
        <f t="shared" si="3"/>
        <v>5304.5</v>
      </c>
      <c r="O11" s="46">
        <v>5371.5</v>
      </c>
      <c r="P11" s="45">
        <v>5371.5</v>
      </c>
      <c r="Q11" s="44">
        <f t="shared" si="4"/>
        <v>5371.5</v>
      </c>
      <c r="R11" s="52">
        <v>5111.5</v>
      </c>
      <c r="S11" s="51">
        <v>1.2448999999999999</v>
      </c>
      <c r="T11" s="51">
        <v>1.0831999999999999</v>
      </c>
      <c r="U11" s="50">
        <v>106.74</v>
      </c>
      <c r="V11" s="43">
        <v>4105.95</v>
      </c>
      <c r="W11" s="43">
        <v>4129.2</v>
      </c>
      <c r="X11" s="49">
        <f t="shared" si="5"/>
        <v>4718.8884785819791</v>
      </c>
      <c r="Y11" s="48">
        <v>1.2454000000000001</v>
      </c>
    </row>
    <row r="12" spans="1:25" x14ac:dyDescent="0.2">
      <c r="B12" s="47">
        <v>43957</v>
      </c>
      <c r="C12" s="46">
        <v>5199.5</v>
      </c>
      <c r="D12" s="45">
        <v>5199.5</v>
      </c>
      <c r="E12" s="44">
        <f t="shared" si="0"/>
        <v>5199.5</v>
      </c>
      <c r="F12" s="46">
        <v>5228</v>
      </c>
      <c r="G12" s="45">
        <v>5228</v>
      </c>
      <c r="H12" s="44">
        <f t="shared" si="1"/>
        <v>5228</v>
      </c>
      <c r="I12" s="46">
        <v>5324</v>
      </c>
      <c r="J12" s="45">
        <v>5324</v>
      </c>
      <c r="K12" s="44">
        <f t="shared" si="2"/>
        <v>5324</v>
      </c>
      <c r="L12" s="46">
        <v>5391</v>
      </c>
      <c r="M12" s="45">
        <v>5391</v>
      </c>
      <c r="N12" s="44">
        <f t="shared" si="3"/>
        <v>5391</v>
      </c>
      <c r="O12" s="46">
        <v>5458</v>
      </c>
      <c r="P12" s="45">
        <v>5458</v>
      </c>
      <c r="Q12" s="44">
        <f t="shared" si="4"/>
        <v>5458</v>
      </c>
      <c r="R12" s="52">
        <v>5199.5</v>
      </c>
      <c r="S12" s="51">
        <v>1.2388999999999999</v>
      </c>
      <c r="T12" s="51">
        <v>1.0813999999999999</v>
      </c>
      <c r="U12" s="50">
        <v>106.12</v>
      </c>
      <c r="V12" s="43">
        <v>4196.87</v>
      </c>
      <c r="W12" s="43">
        <v>4218.17</v>
      </c>
      <c r="X12" s="49">
        <f t="shared" si="5"/>
        <v>4808.1191048640658</v>
      </c>
      <c r="Y12" s="48">
        <v>1.2394000000000001</v>
      </c>
    </row>
    <row r="13" spans="1:25" x14ac:dyDescent="0.2">
      <c r="B13" s="47">
        <v>43958</v>
      </c>
      <c r="C13" s="46">
        <v>5227.5</v>
      </c>
      <c r="D13" s="45">
        <v>5227.5</v>
      </c>
      <c r="E13" s="44">
        <f t="shared" si="0"/>
        <v>5227.5</v>
      </c>
      <c r="F13" s="46">
        <v>5257</v>
      </c>
      <c r="G13" s="45">
        <v>5257</v>
      </c>
      <c r="H13" s="44">
        <f t="shared" si="1"/>
        <v>5257</v>
      </c>
      <c r="I13" s="46">
        <v>5355</v>
      </c>
      <c r="J13" s="45">
        <v>5355</v>
      </c>
      <c r="K13" s="44">
        <f t="shared" si="2"/>
        <v>5355</v>
      </c>
      <c r="L13" s="46">
        <v>5423.5</v>
      </c>
      <c r="M13" s="45">
        <v>5423.5</v>
      </c>
      <c r="N13" s="44">
        <f t="shared" si="3"/>
        <v>5423.5</v>
      </c>
      <c r="O13" s="46">
        <v>5490.5</v>
      </c>
      <c r="P13" s="45">
        <v>5490.5</v>
      </c>
      <c r="Q13" s="44">
        <f t="shared" si="4"/>
        <v>5490.5</v>
      </c>
      <c r="R13" s="52">
        <v>5227.5</v>
      </c>
      <c r="S13" s="51">
        <v>1.2346999999999999</v>
      </c>
      <c r="T13" s="51">
        <v>1.079</v>
      </c>
      <c r="U13" s="50">
        <v>106.6</v>
      </c>
      <c r="V13" s="43">
        <v>4233.82</v>
      </c>
      <c r="W13" s="43">
        <v>4255.99</v>
      </c>
      <c r="X13" s="49">
        <f t="shared" si="5"/>
        <v>4844.7636700648754</v>
      </c>
      <c r="Y13" s="48">
        <v>1.2352000000000001</v>
      </c>
    </row>
    <row r="14" spans="1:25" x14ac:dyDescent="0.2">
      <c r="B14" s="47">
        <v>43962</v>
      </c>
      <c r="C14" s="46">
        <v>5231</v>
      </c>
      <c r="D14" s="45">
        <v>5231</v>
      </c>
      <c r="E14" s="44">
        <f t="shared" si="0"/>
        <v>5231</v>
      </c>
      <c r="F14" s="46">
        <v>5266</v>
      </c>
      <c r="G14" s="45">
        <v>5266</v>
      </c>
      <c r="H14" s="44">
        <f t="shared" si="1"/>
        <v>5266</v>
      </c>
      <c r="I14" s="46">
        <v>5366</v>
      </c>
      <c r="J14" s="45">
        <v>5366</v>
      </c>
      <c r="K14" s="44">
        <f t="shared" si="2"/>
        <v>5366</v>
      </c>
      <c r="L14" s="46">
        <v>5435.5</v>
      </c>
      <c r="M14" s="45">
        <v>5435.5</v>
      </c>
      <c r="N14" s="44">
        <f t="shared" si="3"/>
        <v>5435.5</v>
      </c>
      <c r="O14" s="46">
        <v>5500</v>
      </c>
      <c r="P14" s="45">
        <v>5500</v>
      </c>
      <c r="Q14" s="44">
        <f t="shared" si="4"/>
        <v>5500</v>
      </c>
      <c r="R14" s="52">
        <v>5231</v>
      </c>
      <c r="S14" s="51">
        <v>1.2292000000000001</v>
      </c>
      <c r="T14" s="51">
        <v>1.0813999999999999</v>
      </c>
      <c r="U14" s="50">
        <v>107.31</v>
      </c>
      <c r="V14" s="43">
        <v>4255.6099999999997</v>
      </c>
      <c r="W14" s="43">
        <v>4282.3500000000004</v>
      </c>
      <c r="X14" s="49">
        <f t="shared" si="5"/>
        <v>4837.2480118365083</v>
      </c>
      <c r="Y14" s="48">
        <v>1.2297</v>
      </c>
    </row>
    <row r="15" spans="1:25" x14ac:dyDescent="0.2">
      <c r="B15" s="47">
        <v>43963</v>
      </c>
      <c r="C15" s="46">
        <v>5234</v>
      </c>
      <c r="D15" s="45">
        <v>5234</v>
      </c>
      <c r="E15" s="44">
        <f t="shared" si="0"/>
        <v>5234</v>
      </c>
      <c r="F15" s="46">
        <v>5263.5</v>
      </c>
      <c r="G15" s="45">
        <v>5263.5</v>
      </c>
      <c r="H15" s="44">
        <f t="shared" si="1"/>
        <v>5263.5</v>
      </c>
      <c r="I15" s="46">
        <v>5365.5</v>
      </c>
      <c r="J15" s="45">
        <v>5365.5</v>
      </c>
      <c r="K15" s="44">
        <f t="shared" si="2"/>
        <v>5365.5</v>
      </c>
      <c r="L15" s="46">
        <v>5435.5</v>
      </c>
      <c r="M15" s="45">
        <v>5435.5</v>
      </c>
      <c r="N15" s="44">
        <f t="shared" si="3"/>
        <v>5435.5</v>
      </c>
      <c r="O15" s="46">
        <v>5501.5</v>
      </c>
      <c r="P15" s="45">
        <v>5501.5</v>
      </c>
      <c r="Q15" s="44">
        <f t="shared" si="4"/>
        <v>5501.5</v>
      </c>
      <c r="R15" s="52">
        <v>5234</v>
      </c>
      <c r="S15" s="51">
        <v>1.2371000000000001</v>
      </c>
      <c r="T15" s="51">
        <v>1.0849</v>
      </c>
      <c r="U15" s="50">
        <v>107.34</v>
      </c>
      <c r="V15" s="43">
        <v>4230.8599999999997</v>
      </c>
      <c r="W15" s="43">
        <v>4252.99</v>
      </c>
      <c r="X15" s="49">
        <f t="shared" si="5"/>
        <v>4824.4077795188496</v>
      </c>
      <c r="Y15" s="48">
        <v>1.2376</v>
      </c>
    </row>
    <row r="16" spans="1:25" x14ac:dyDescent="0.2">
      <c r="B16" s="47">
        <v>43964</v>
      </c>
      <c r="C16" s="46">
        <v>5212.5</v>
      </c>
      <c r="D16" s="45">
        <v>5212.5</v>
      </c>
      <c r="E16" s="44">
        <f t="shared" si="0"/>
        <v>5212.5</v>
      </c>
      <c r="F16" s="46">
        <v>5245</v>
      </c>
      <c r="G16" s="45">
        <v>5245</v>
      </c>
      <c r="H16" s="44">
        <f t="shared" si="1"/>
        <v>5245</v>
      </c>
      <c r="I16" s="46">
        <v>5343.5</v>
      </c>
      <c r="J16" s="45">
        <v>5343.5</v>
      </c>
      <c r="K16" s="44">
        <f t="shared" si="2"/>
        <v>5343.5</v>
      </c>
      <c r="L16" s="46">
        <v>5411.5</v>
      </c>
      <c r="M16" s="45">
        <v>5411.5</v>
      </c>
      <c r="N16" s="44">
        <f t="shared" si="3"/>
        <v>5411.5</v>
      </c>
      <c r="O16" s="46">
        <v>5477.5</v>
      </c>
      <c r="P16" s="45">
        <v>5477.5</v>
      </c>
      <c r="Q16" s="44">
        <f t="shared" si="4"/>
        <v>5477.5</v>
      </c>
      <c r="R16" s="52">
        <v>5212.5</v>
      </c>
      <c r="S16" s="51">
        <v>1.2322</v>
      </c>
      <c r="T16" s="51">
        <v>1.0876999999999999</v>
      </c>
      <c r="U16" s="50">
        <v>106.96</v>
      </c>
      <c r="V16" s="43">
        <v>4230.24</v>
      </c>
      <c r="W16" s="43">
        <v>4254.8900000000003</v>
      </c>
      <c r="X16" s="49">
        <f t="shared" si="5"/>
        <v>4792.2221200698723</v>
      </c>
      <c r="Y16" s="48">
        <v>1.2326999999999999</v>
      </c>
    </row>
    <row r="17" spans="2:25" x14ac:dyDescent="0.2">
      <c r="B17" s="47">
        <v>43965</v>
      </c>
      <c r="C17" s="46">
        <v>5155.5</v>
      </c>
      <c r="D17" s="45">
        <v>5155.5</v>
      </c>
      <c r="E17" s="44">
        <f t="shared" si="0"/>
        <v>5155.5</v>
      </c>
      <c r="F17" s="46">
        <v>5186.5</v>
      </c>
      <c r="G17" s="45">
        <v>5186.5</v>
      </c>
      <c r="H17" s="44">
        <f t="shared" si="1"/>
        <v>5186.5</v>
      </c>
      <c r="I17" s="46">
        <v>5291</v>
      </c>
      <c r="J17" s="45">
        <v>5291</v>
      </c>
      <c r="K17" s="44">
        <f t="shared" si="2"/>
        <v>5291</v>
      </c>
      <c r="L17" s="46">
        <v>5359</v>
      </c>
      <c r="M17" s="45">
        <v>5359</v>
      </c>
      <c r="N17" s="44">
        <f t="shared" si="3"/>
        <v>5359</v>
      </c>
      <c r="O17" s="46">
        <v>5425</v>
      </c>
      <c r="P17" s="45">
        <v>5425</v>
      </c>
      <c r="Q17" s="44">
        <f t="shared" si="4"/>
        <v>5425</v>
      </c>
      <c r="R17" s="52">
        <v>5155.5</v>
      </c>
      <c r="S17" s="51">
        <v>1.2199</v>
      </c>
      <c r="T17" s="51">
        <v>1.079</v>
      </c>
      <c r="U17" s="50">
        <v>107.08</v>
      </c>
      <c r="V17" s="43">
        <v>4226.17</v>
      </c>
      <c r="W17" s="43">
        <v>4250.18</v>
      </c>
      <c r="X17" s="49">
        <f t="shared" si="5"/>
        <v>4778.0352177942541</v>
      </c>
      <c r="Y17" s="48">
        <v>1.2202999999999999</v>
      </c>
    </row>
    <row r="18" spans="2:25" x14ac:dyDescent="0.2">
      <c r="B18" s="47">
        <v>43966</v>
      </c>
      <c r="C18" s="46">
        <v>5165</v>
      </c>
      <c r="D18" s="45">
        <v>5165</v>
      </c>
      <c r="E18" s="44">
        <f t="shared" si="0"/>
        <v>5165</v>
      </c>
      <c r="F18" s="46">
        <v>5194.5</v>
      </c>
      <c r="G18" s="45">
        <v>5194.5</v>
      </c>
      <c r="H18" s="44">
        <f t="shared" si="1"/>
        <v>5194.5</v>
      </c>
      <c r="I18" s="46">
        <v>5299</v>
      </c>
      <c r="J18" s="45">
        <v>5299</v>
      </c>
      <c r="K18" s="44">
        <f t="shared" si="2"/>
        <v>5299</v>
      </c>
      <c r="L18" s="46">
        <v>5369</v>
      </c>
      <c r="M18" s="45">
        <v>5369</v>
      </c>
      <c r="N18" s="44">
        <f t="shared" si="3"/>
        <v>5369</v>
      </c>
      <c r="O18" s="46">
        <v>5496</v>
      </c>
      <c r="P18" s="45">
        <v>5496</v>
      </c>
      <c r="Q18" s="44">
        <f t="shared" si="4"/>
        <v>5496</v>
      </c>
      <c r="R18" s="52">
        <v>5165</v>
      </c>
      <c r="S18" s="51">
        <v>1.216</v>
      </c>
      <c r="T18" s="51">
        <v>1.08</v>
      </c>
      <c r="U18" s="50">
        <v>107</v>
      </c>
      <c r="V18" s="43">
        <v>4247.53</v>
      </c>
      <c r="W18" s="43">
        <v>4270.3900000000003</v>
      </c>
      <c r="X18" s="49">
        <f t="shared" si="5"/>
        <v>4782.4074074074069</v>
      </c>
      <c r="Y18" s="48">
        <v>1.2163999999999999</v>
      </c>
    </row>
    <row r="19" spans="2:25" x14ac:dyDescent="0.2">
      <c r="B19" s="47">
        <v>43969</v>
      </c>
      <c r="C19" s="46">
        <v>5249.5</v>
      </c>
      <c r="D19" s="45">
        <v>5249.5</v>
      </c>
      <c r="E19" s="44">
        <f t="shared" si="0"/>
        <v>5249.5</v>
      </c>
      <c r="F19" s="46">
        <v>5277.5</v>
      </c>
      <c r="G19" s="45">
        <v>5277.5</v>
      </c>
      <c r="H19" s="44">
        <f t="shared" si="1"/>
        <v>5277.5</v>
      </c>
      <c r="I19" s="46">
        <v>5380.5</v>
      </c>
      <c r="J19" s="45">
        <v>5380.5</v>
      </c>
      <c r="K19" s="44">
        <f t="shared" si="2"/>
        <v>5380.5</v>
      </c>
      <c r="L19" s="46">
        <v>5447.5</v>
      </c>
      <c r="M19" s="45">
        <v>5447.5</v>
      </c>
      <c r="N19" s="44">
        <f t="shared" si="3"/>
        <v>5447.5</v>
      </c>
      <c r="O19" s="46">
        <v>5513.5</v>
      </c>
      <c r="P19" s="45">
        <v>5513.5</v>
      </c>
      <c r="Q19" s="44">
        <f t="shared" si="4"/>
        <v>5513.5</v>
      </c>
      <c r="R19" s="52">
        <v>5249.5</v>
      </c>
      <c r="S19" s="51">
        <v>1.2153</v>
      </c>
      <c r="T19" s="51">
        <v>1.0821000000000001</v>
      </c>
      <c r="U19" s="50">
        <v>107.28</v>
      </c>
      <c r="V19" s="43">
        <v>4319.51</v>
      </c>
      <c r="W19" s="43">
        <v>4341.12</v>
      </c>
      <c r="X19" s="49">
        <f t="shared" si="5"/>
        <v>4851.2152296460581</v>
      </c>
      <c r="Y19" s="48">
        <v>1.2157</v>
      </c>
    </row>
    <row r="20" spans="2:25" x14ac:dyDescent="0.2">
      <c r="B20" s="47">
        <v>43970</v>
      </c>
      <c r="C20" s="46">
        <v>5314</v>
      </c>
      <c r="D20" s="45">
        <v>5314</v>
      </c>
      <c r="E20" s="44">
        <f t="shared" si="0"/>
        <v>5314</v>
      </c>
      <c r="F20" s="46">
        <v>5343.5</v>
      </c>
      <c r="G20" s="45">
        <v>5343.5</v>
      </c>
      <c r="H20" s="44">
        <f t="shared" si="1"/>
        <v>5343.5</v>
      </c>
      <c r="I20" s="46">
        <v>5439</v>
      </c>
      <c r="J20" s="45">
        <v>5439</v>
      </c>
      <c r="K20" s="44">
        <f t="shared" si="2"/>
        <v>5439</v>
      </c>
      <c r="L20" s="46">
        <v>5499</v>
      </c>
      <c r="M20" s="45">
        <v>5499</v>
      </c>
      <c r="N20" s="44">
        <f t="shared" si="3"/>
        <v>5499</v>
      </c>
      <c r="O20" s="46">
        <v>5564</v>
      </c>
      <c r="P20" s="45">
        <v>5564</v>
      </c>
      <c r="Q20" s="44">
        <f t="shared" si="4"/>
        <v>5564</v>
      </c>
      <c r="R20" s="52">
        <v>5314</v>
      </c>
      <c r="S20" s="51">
        <v>1.2237</v>
      </c>
      <c r="T20" s="51">
        <v>1.0949</v>
      </c>
      <c r="U20" s="50">
        <v>107.75</v>
      </c>
      <c r="V20" s="43">
        <v>4342.57</v>
      </c>
      <c r="W20" s="43">
        <v>4364.8900000000003</v>
      </c>
      <c r="X20" s="49">
        <f t="shared" si="5"/>
        <v>4853.4112704356567</v>
      </c>
      <c r="Y20" s="48">
        <v>1.2242</v>
      </c>
    </row>
    <row r="21" spans="2:25" x14ac:dyDescent="0.2">
      <c r="B21" s="47">
        <v>43971</v>
      </c>
      <c r="C21" s="46">
        <v>5333</v>
      </c>
      <c r="D21" s="45">
        <v>5333</v>
      </c>
      <c r="E21" s="44">
        <f t="shared" si="0"/>
        <v>5333</v>
      </c>
      <c r="F21" s="46">
        <v>5360.5</v>
      </c>
      <c r="G21" s="45">
        <v>5360.5</v>
      </c>
      <c r="H21" s="44">
        <f t="shared" si="1"/>
        <v>5360.5</v>
      </c>
      <c r="I21" s="46">
        <v>5455.5</v>
      </c>
      <c r="J21" s="45">
        <v>5455.5</v>
      </c>
      <c r="K21" s="44">
        <f t="shared" si="2"/>
        <v>5455.5</v>
      </c>
      <c r="L21" s="46">
        <v>5518.5</v>
      </c>
      <c r="M21" s="45">
        <v>5518.5</v>
      </c>
      <c r="N21" s="44">
        <f t="shared" si="3"/>
        <v>5518.5</v>
      </c>
      <c r="O21" s="46">
        <v>5583.5</v>
      </c>
      <c r="P21" s="45">
        <v>5583.5</v>
      </c>
      <c r="Q21" s="44">
        <f t="shared" si="4"/>
        <v>5583.5</v>
      </c>
      <c r="R21" s="52">
        <v>5333</v>
      </c>
      <c r="S21" s="51">
        <v>1.2263999999999999</v>
      </c>
      <c r="T21" s="51">
        <v>1.0964</v>
      </c>
      <c r="U21" s="50">
        <v>107.61</v>
      </c>
      <c r="V21" s="43">
        <v>4348.5</v>
      </c>
      <c r="W21" s="43">
        <v>4369.1400000000003</v>
      </c>
      <c r="X21" s="49">
        <f t="shared" si="5"/>
        <v>4864.1006931776719</v>
      </c>
      <c r="Y21" s="48">
        <v>1.2269000000000001</v>
      </c>
    </row>
    <row r="22" spans="2:25" x14ac:dyDescent="0.2">
      <c r="B22" s="47">
        <v>43972</v>
      </c>
      <c r="C22" s="46">
        <v>5387</v>
      </c>
      <c r="D22" s="45">
        <v>5387</v>
      </c>
      <c r="E22" s="44">
        <f t="shared" si="0"/>
        <v>5387</v>
      </c>
      <c r="F22" s="46">
        <v>5413.5</v>
      </c>
      <c r="G22" s="45">
        <v>5413.5</v>
      </c>
      <c r="H22" s="44">
        <f t="shared" si="1"/>
        <v>5413.5</v>
      </c>
      <c r="I22" s="46">
        <v>5507</v>
      </c>
      <c r="J22" s="45">
        <v>5507</v>
      </c>
      <c r="K22" s="44">
        <f t="shared" si="2"/>
        <v>5507</v>
      </c>
      <c r="L22" s="46">
        <v>5567</v>
      </c>
      <c r="M22" s="45">
        <v>5567</v>
      </c>
      <c r="N22" s="44">
        <f t="shared" si="3"/>
        <v>5567</v>
      </c>
      <c r="O22" s="46">
        <v>5632</v>
      </c>
      <c r="P22" s="45">
        <v>5632</v>
      </c>
      <c r="Q22" s="44">
        <f t="shared" si="4"/>
        <v>5632</v>
      </c>
      <c r="R22" s="52">
        <v>5387</v>
      </c>
      <c r="S22" s="51">
        <v>1.2224999999999999</v>
      </c>
      <c r="T22" s="51">
        <v>1.0993999999999999</v>
      </c>
      <c r="U22" s="50">
        <v>107.7</v>
      </c>
      <c r="V22" s="43">
        <v>4406.54</v>
      </c>
      <c r="W22" s="43">
        <v>4426.7700000000004</v>
      </c>
      <c r="X22" s="49">
        <f t="shared" si="5"/>
        <v>4899.9454247771519</v>
      </c>
      <c r="Y22" s="48">
        <v>1.2229000000000001</v>
      </c>
    </row>
    <row r="23" spans="2:25" x14ac:dyDescent="0.2">
      <c r="B23" s="47">
        <v>43973</v>
      </c>
      <c r="C23" s="46">
        <v>5242.5</v>
      </c>
      <c r="D23" s="45">
        <v>5242.5</v>
      </c>
      <c r="E23" s="44">
        <f t="shared" si="0"/>
        <v>5242.5</v>
      </c>
      <c r="F23" s="46">
        <v>5272</v>
      </c>
      <c r="G23" s="45">
        <v>5272</v>
      </c>
      <c r="H23" s="44">
        <f t="shared" si="1"/>
        <v>5272</v>
      </c>
      <c r="I23" s="46">
        <v>5369.5</v>
      </c>
      <c r="J23" s="45">
        <v>5369.5</v>
      </c>
      <c r="K23" s="44">
        <f t="shared" si="2"/>
        <v>5369.5</v>
      </c>
      <c r="L23" s="46">
        <v>5433.5</v>
      </c>
      <c r="M23" s="45">
        <v>5433.5</v>
      </c>
      <c r="N23" s="44">
        <f t="shared" si="3"/>
        <v>5433.5</v>
      </c>
      <c r="O23" s="46">
        <v>5498.5</v>
      </c>
      <c r="P23" s="45">
        <v>5498.5</v>
      </c>
      <c r="Q23" s="44">
        <f t="shared" si="4"/>
        <v>5498.5</v>
      </c>
      <c r="R23" s="52">
        <v>5242.5</v>
      </c>
      <c r="S23" s="51">
        <v>1.2179</v>
      </c>
      <c r="T23" s="51">
        <v>1.0906</v>
      </c>
      <c r="U23" s="50">
        <v>107.51</v>
      </c>
      <c r="V23" s="43">
        <v>4304.54</v>
      </c>
      <c r="W23" s="43">
        <v>4327.34</v>
      </c>
      <c r="X23" s="49">
        <f t="shared" si="5"/>
        <v>4806.9869796442326</v>
      </c>
      <c r="Y23" s="48">
        <v>1.2182999999999999</v>
      </c>
    </row>
    <row r="24" spans="2:25" x14ac:dyDescent="0.2">
      <c r="B24" s="47">
        <v>43977</v>
      </c>
      <c r="C24" s="46">
        <v>5341.5</v>
      </c>
      <c r="D24" s="45">
        <v>5341.5</v>
      </c>
      <c r="E24" s="44">
        <f t="shared" si="0"/>
        <v>5341.5</v>
      </c>
      <c r="F24" s="46">
        <v>5375</v>
      </c>
      <c r="G24" s="45">
        <v>5375</v>
      </c>
      <c r="H24" s="44">
        <f t="shared" si="1"/>
        <v>5375</v>
      </c>
      <c r="I24" s="46">
        <v>5469.5</v>
      </c>
      <c r="J24" s="45">
        <v>5469.5</v>
      </c>
      <c r="K24" s="44">
        <f t="shared" si="2"/>
        <v>5469.5</v>
      </c>
      <c r="L24" s="46">
        <v>5531.5</v>
      </c>
      <c r="M24" s="45">
        <v>5531.5</v>
      </c>
      <c r="N24" s="44">
        <f t="shared" si="3"/>
        <v>5531.5</v>
      </c>
      <c r="O24" s="46">
        <v>5596.5</v>
      </c>
      <c r="P24" s="45">
        <v>5596.5</v>
      </c>
      <c r="Q24" s="44">
        <f t="shared" si="4"/>
        <v>5596.5</v>
      </c>
      <c r="R24" s="52">
        <v>5341.5</v>
      </c>
      <c r="S24" s="51">
        <v>1.2338</v>
      </c>
      <c r="T24" s="51">
        <v>1.0979000000000001</v>
      </c>
      <c r="U24" s="50">
        <v>107.48</v>
      </c>
      <c r="V24" s="43">
        <v>4329.3100000000004</v>
      </c>
      <c r="W24" s="43">
        <v>4355.05</v>
      </c>
      <c r="X24" s="49">
        <f t="shared" si="5"/>
        <v>4865.1971946443209</v>
      </c>
      <c r="Y24" s="48">
        <v>1.2342</v>
      </c>
    </row>
    <row r="25" spans="2:25" x14ac:dyDescent="0.2">
      <c r="B25" s="47">
        <v>43978</v>
      </c>
      <c r="C25" s="46">
        <v>5308.5</v>
      </c>
      <c r="D25" s="45">
        <v>5308.5</v>
      </c>
      <c r="E25" s="44">
        <f t="shared" si="0"/>
        <v>5308.5</v>
      </c>
      <c r="F25" s="46">
        <v>5342.5</v>
      </c>
      <c r="G25" s="45">
        <v>5342.5</v>
      </c>
      <c r="H25" s="44">
        <f t="shared" si="1"/>
        <v>5342.5</v>
      </c>
      <c r="I25" s="46">
        <v>5439</v>
      </c>
      <c r="J25" s="45">
        <v>5439</v>
      </c>
      <c r="K25" s="44">
        <f t="shared" si="2"/>
        <v>5439</v>
      </c>
      <c r="L25" s="46">
        <v>5501</v>
      </c>
      <c r="M25" s="45">
        <v>5501</v>
      </c>
      <c r="N25" s="44">
        <f t="shared" si="3"/>
        <v>5501</v>
      </c>
      <c r="O25" s="46">
        <v>5566</v>
      </c>
      <c r="P25" s="45">
        <v>5566</v>
      </c>
      <c r="Q25" s="44">
        <f t="shared" si="4"/>
        <v>5566</v>
      </c>
      <c r="R25" s="52">
        <v>5308.5</v>
      </c>
      <c r="S25" s="51">
        <v>1.2312000000000001</v>
      </c>
      <c r="T25" s="51">
        <v>1.1017999999999999</v>
      </c>
      <c r="U25" s="50">
        <v>107.82</v>
      </c>
      <c r="V25" s="43">
        <v>4311.6499999999996</v>
      </c>
      <c r="W25" s="43">
        <v>4337.8500000000004</v>
      </c>
      <c r="X25" s="49">
        <f t="shared" si="5"/>
        <v>4818.0250499183157</v>
      </c>
      <c r="Y25" s="48">
        <v>1.2316</v>
      </c>
    </row>
    <row r="26" spans="2:25" x14ac:dyDescent="0.2">
      <c r="B26" s="47">
        <v>43979</v>
      </c>
      <c r="C26" s="46">
        <v>5278.5</v>
      </c>
      <c r="D26" s="45">
        <v>5278.5</v>
      </c>
      <c r="E26" s="44">
        <f t="shared" si="0"/>
        <v>5278.5</v>
      </c>
      <c r="F26" s="46">
        <v>5306.5</v>
      </c>
      <c r="G26" s="45">
        <v>5306.5</v>
      </c>
      <c r="H26" s="44">
        <f t="shared" si="1"/>
        <v>5306.5</v>
      </c>
      <c r="I26" s="46">
        <v>5402</v>
      </c>
      <c r="J26" s="45">
        <v>5402</v>
      </c>
      <c r="K26" s="44">
        <f t="shared" si="2"/>
        <v>5402</v>
      </c>
      <c r="L26" s="46">
        <v>5464</v>
      </c>
      <c r="M26" s="45">
        <v>5464</v>
      </c>
      <c r="N26" s="44">
        <f t="shared" si="3"/>
        <v>5464</v>
      </c>
      <c r="O26" s="46">
        <v>5529</v>
      </c>
      <c r="P26" s="45">
        <v>5529</v>
      </c>
      <c r="Q26" s="44">
        <f t="shared" si="4"/>
        <v>5529</v>
      </c>
      <c r="R26" s="52">
        <v>5278.5</v>
      </c>
      <c r="S26" s="51">
        <v>1.2254</v>
      </c>
      <c r="T26" s="51">
        <v>1.1007</v>
      </c>
      <c r="U26" s="50">
        <v>107.76</v>
      </c>
      <c r="V26" s="43">
        <v>4307.57</v>
      </c>
      <c r="W26" s="43">
        <v>4329.01</v>
      </c>
      <c r="X26" s="49">
        <f t="shared" si="5"/>
        <v>4795.5846279640227</v>
      </c>
      <c r="Y26" s="48">
        <v>1.2258</v>
      </c>
    </row>
    <row r="27" spans="2:25" x14ac:dyDescent="0.2">
      <c r="B27" s="47">
        <v>43980</v>
      </c>
      <c r="C27" s="46">
        <v>5332.5</v>
      </c>
      <c r="D27" s="45">
        <v>5332.5</v>
      </c>
      <c r="E27" s="44">
        <f t="shared" si="0"/>
        <v>5332.5</v>
      </c>
      <c r="F27" s="46">
        <v>5357</v>
      </c>
      <c r="G27" s="45">
        <v>5357</v>
      </c>
      <c r="H27" s="44">
        <f t="shared" si="1"/>
        <v>5357</v>
      </c>
      <c r="I27" s="46">
        <v>5449.5</v>
      </c>
      <c r="J27" s="45">
        <v>5449.5</v>
      </c>
      <c r="K27" s="44">
        <f t="shared" si="2"/>
        <v>5449.5</v>
      </c>
      <c r="L27" s="46">
        <v>5511.5</v>
      </c>
      <c r="M27" s="45">
        <v>5511.5</v>
      </c>
      <c r="N27" s="44">
        <f t="shared" si="3"/>
        <v>5511.5</v>
      </c>
      <c r="O27" s="46">
        <v>5576.5</v>
      </c>
      <c r="P27" s="45">
        <v>5576.5</v>
      </c>
      <c r="Q27" s="44">
        <f t="shared" si="4"/>
        <v>5576.5</v>
      </c>
      <c r="R27" s="52">
        <v>5332.5</v>
      </c>
      <c r="S27" s="51">
        <v>1.2364999999999999</v>
      </c>
      <c r="T27" s="51">
        <v>1.1134999999999999</v>
      </c>
      <c r="U27" s="50">
        <v>107.16</v>
      </c>
      <c r="V27" s="43">
        <v>4312.58</v>
      </c>
      <c r="W27" s="43">
        <v>4330.6400000000003</v>
      </c>
      <c r="X27" s="49">
        <f t="shared" si="5"/>
        <v>4788.9537494387068</v>
      </c>
      <c r="Y27" s="48">
        <v>1.2370000000000001</v>
      </c>
    </row>
    <row r="28" spans="2:25" s="10" customFormat="1" x14ac:dyDescent="0.2">
      <c r="B28" s="42" t="s">
        <v>11</v>
      </c>
      <c r="C28" s="41">
        <f>ROUND(AVERAGE(C9:C27),2)</f>
        <v>5233.82</v>
      </c>
      <c r="D28" s="40">
        <f>ROUND(AVERAGE(D9:D27),2)</f>
        <v>5233.82</v>
      </c>
      <c r="E28" s="39">
        <f>ROUND(AVERAGE(C28:D28),2)</f>
        <v>5233.82</v>
      </c>
      <c r="F28" s="41">
        <f>ROUND(AVERAGE(F9:F27),2)</f>
        <v>5263.55</v>
      </c>
      <c r="G28" s="40">
        <f>ROUND(AVERAGE(G9:G27),2)</f>
        <v>5263.55</v>
      </c>
      <c r="H28" s="39">
        <f>ROUND(AVERAGE(F28:G28),2)</f>
        <v>5263.55</v>
      </c>
      <c r="I28" s="41">
        <f>ROUND(AVERAGE(I9:I27),2)</f>
        <v>5360.97</v>
      </c>
      <c r="J28" s="40">
        <f>ROUND(AVERAGE(J9:J27),2)</f>
        <v>5360.97</v>
      </c>
      <c r="K28" s="39">
        <f>ROUND(AVERAGE(I28:J28),2)</f>
        <v>5360.97</v>
      </c>
      <c r="L28" s="41">
        <f>ROUND(AVERAGE(L9:L27),2)</f>
        <v>5426.13</v>
      </c>
      <c r="M28" s="40">
        <f>ROUND(AVERAGE(M9:M27),2)</f>
        <v>5426.13</v>
      </c>
      <c r="N28" s="39">
        <f>ROUND(AVERAGE(L28:M28),2)</f>
        <v>5426.13</v>
      </c>
      <c r="O28" s="41">
        <f>ROUND(AVERAGE(O9:O27),2)</f>
        <v>5495.11</v>
      </c>
      <c r="P28" s="40">
        <f>ROUND(AVERAGE(P9:P27),2)</f>
        <v>5495.11</v>
      </c>
      <c r="Q28" s="39">
        <f>ROUND(AVERAGE(O28:P28),2)</f>
        <v>5495.11</v>
      </c>
      <c r="R28" s="38">
        <f>ROUND(AVERAGE(R9:R27),2)</f>
        <v>5233.82</v>
      </c>
      <c r="S28" s="37">
        <f>ROUND(AVERAGE(S9:S27),4)</f>
        <v>1.2306999999999999</v>
      </c>
      <c r="T28" s="36">
        <f>ROUND(AVERAGE(T9:T27),4)</f>
        <v>1.0908</v>
      </c>
      <c r="U28" s="175">
        <f>ROUND(AVERAGE(U9:U27),2)</f>
        <v>107.2</v>
      </c>
      <c r="V28" s="35">
        <f>AVERAGE(V9:V27)</f>
        <v>4253.3452631578939</v>
      </c>
      <c r="W28" s="35">
        <f>AVERAGE(W9:W27)</f>
        <v>4275.9373684210523</v>
      </c>
      <c r="X28" s="35">
        <f>AVERAGE(X9:X27)</f>
        <v>4798.1655137071293</v>
      </c>
      <c r="Y28" s="34">
        <f>AVERAGE(Y9:Y27)</f>
        <v>1.2311368421052631</v>
      </c>
    </row>
    <row r="29" spans="2:25" s="5" customFormat="1" x14ac:dyDescent="0.2">
      <c r="B29" s="33" t="s">
        <v>12</v>
      </c>
      <c r="C29" s="32">
        <f t="shared" ref="C29:Y29" si="6">MAX(C9:C27)</f>
        <v>5387</v>
      </c>
      <c r="D29" s="31">
        <f t="shared" si="6"/>
        <v>5387</v>
      </c>
      <c r="E29" s="30">
        <f t="shared" si="6"/>
        <v>5387</v>
      </c>
      <c r="F29" s="32">
        <f t="shared" si="6"/>
        <v>5413.5</v>
      </c>
      <c r="G29" s="31">
        <f t="shared" si="6"/>
        <v>5413.5</v>
      </c>
      <c r="H29" s="30">
        <f t="shared" si="6"/>
        <v>5413.5</v>
      </c>
      <c r="I29" s="32">
        <f t="shared" si="6"/>
        <v>5507</v>
      </c>
      <c r="J29" s="31">
        <f t="shared" si="6"/>
        <v>5507</v>
      </c>
      <c r="K29" s="30">
        <f t="shared" si="6"/>
        <v>5507</v>
      </c>
      <c r="L29" s="32">
        <f t="shared" si="6"/>
        <v>5567</v>
      </c>
      <c r="M29" s="31">
        <f t="shared" si="6"/>
        <v>5567</v>
      </c>
      <c r="N29" s="30">
        <f t="shared" si="6"/>
        <v>5567</v>
      </c>
      <c r="O29" s="32">
        <f t="shared" si="6"/>
        <v>5632</v>
      </c>
      <c r="P29" s="31">
        <f t="shared" si="6"/>
        <v>5632</v>
      </c>
      <c r="Q29" s="30">
        <f t="shared" si="6"/>
        <v>5632</v>
      </c>
      <c r="R29" s="29">
        <f t="shared" si="6"/>
        <v>5387</v>
      </c>
      <c r="S29" s="28">
        <f t="shared" si="6"/>
        <v>1.2534000000000001</v>
      </c>
      <c r="T29" s="27">
        <f t="shared" si="6"/>
        <v>1.1134999999999999</v>
      </c>
      <c r="U29" s="26">
        <f t="shared" si="6"/>
        <v>107.82</v>
      </c>
      <c r="V29" s="25">
        <f t="shared" si="6"/>
        <v>4406.54</v>
      </c>
      <c r="W29" s="25">
        <f t="shared" si="6"/>
        <v>4426.7700000000004</v>
      </c>
      <c r="X29" s="25">
        <f t="shared" si="6"/>
        <v>4899.9454247771519</v>
      </c>
      <c r="Y29" s="24">
        <f t="shared" si="6"/>
        <v>1.2538</v>
      </c>
    </row>
    <row r="30" spans="2:25" s="5" customFormat="1" ht="13.5" thickBot="1" x14ac:dyDescent="0.25">
      <c r="B30" s="23" t="s">
        <v>13</v>
      </c>
      <c r="C30" s="22">
        <f t="shared" ref="C30:Y30" si="7">MIN(C9:C27)</f>
        <v>5058</v>
      </c>
      <c r="D30" s="21">
        <f t="shared" si="7"/>
        <v>5058</v>
      </c>
      <c r="E30" s="20">
        <f t="shared" si="7"/>
        <v>5058</v>
      </c>
      <c r="F30" s="22">
        <f t="shared" si="7"/>
        <v>5086</v>
      </c>
      <c r="G30" s="21">
        <f t="shared" si="7"/>
        <v>5086</v>
      </c>
      <c r="H30" s="20">
        <f t="shared" si="7"/>
        <v>5086</v>
      </c>
      <c r="I30" s="22">
        <f t="shared" si="7"/>
        <v>5182</v>
      </c>
      <c r="J30" s="21">
        <f t="shared" si="7"/>
        <v>5182</v>
      </c>
      <c r="K30" s="20">
        <f t="shared" si="7"/>
        <v>5182</v>
      </c>
      <c r="L30" s="22">
        <f t="shared" si="7"/>
        <v>5246</v>
      </c>
      <c r="M30" s="21">
        <f t="shared" si="7"/>
        <v>5246</v>
      </c>
      <c r="N30" s="20">
        <f t="shared" si="7"/>
        <v>5246</v>
      </c>
      <c r="O30" s="22">
        <f t="shared" si="7"/>
        <v>5313</v>
      </c>
      <c r="P30" s="21">
        <f t="shared" si="7"/>
        <v>5313</v>
      </c>
      <c r="Q30" s="20">
        <f t="shared" si="7"/>
        <v>5313</v>
      </c>
      <c r="R30" s="19">
        <f t="shared" si="7"/>
        <v>5058</v>
      </c>
      <c r="S30" s="18">
        <f t="shared" si="7"/>
        <v>1.2153</v>
      </c>
      <c r="T30" s="17">
        <f t="shared" si="7"/>
        <v>1.079</v>
      </c>
      <c r="U30" s="16">
        <f t="shared" si="7"/>
        <v>106.12</v>
      </c>
      <c r="V30" s="15">
        <f t="shared" si="7"/>
        <v>4037.82</v>
      </c>
      <c r="W30" s="15">
        <f t="shared" si="7"/>
        <v>4060.06</v>
      </c>
      <c r="X30" s="15">
        <f t="shared" si="7"/>
        <v>4611.8097320940406</v>
      </c>
      <c r="Y30" s="14">
        <f t="shared" si="7"/>
        <v>1.2157</v>
      </c>
    </row>
    <row r="32" spans="2:25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53" orientation="landscape" horizontalDpi="204" verticalDpi="196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43952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43952</v>
      </c>
      <c r="C9" s="46">
        <v>1185</v>
      </c>
      <c r="D9" s="45">
        <v>1185</v>
      </c>
      <c r="E9" s="44">
        <f t="shared" ref="E9:E27" si="0">AVERAGE(C9:D9)</f>
        <v>1185</v>
      </c>
      <c r="F9" s="46">
        <v>1200</v>
      </c>
      <c r="G9" s="45">
        <v>1200</v>
      </c>
      <c r="H9" s="44">
        <f t="shared" ref="H9:H27" si="1">AVERAGE(F9:G9)</f>
        <v>1200</v>
      </c>
      <c r="I9" s="46">
        <v>1202.5</v>
      </c>
      <c r="J9" s="45">
        <v>1202.5</v>
      </c>
      <c r="K9" s="44">
        <f t="shared" ref="K9:K27" si="2">AVERAGE(I9:J9)</f>
        <v>1202.5</v>
      </c>
      <c r="L9" s="52">
        <v>1185</v>
      </c>
      <c r="M9" s="51">
        <v>1.2534000000000001</v>
      </c>
      <c r="N9" s="53">
        <v>1.0973999999999999</v>
      </c>
      <c r="O9" s="50">
        <v>106.7</v>
      </c>
      <c r="P9" s="43">
        <v>945.43</v>
      </c>
      <c r="Q9" s="43">
        <v>957.09</v>
      </c>
      <c r="R9" s="49">
        <f t="shared" ref="R9:R27" si="3">L9/N9</f>
        <v>1079.8250410060143</v>
      </c>
      <c r="S9" s="48">
        <v>1.2538</v>
      </c>
    </row>
    <row r="10" spans="1:19" x14ac:dyDescent="0.2">
      <c r="B10" s="47">
        <v>43955</v>
      </c>
      <c r="C10" s="46">
        <v>1170.5</v>
      </c>
      <c r="D10" s="45">
        <v>1170.5</v>
      </c>
      <c r="E10" s="44">
        <f t="shared" si="0"/>
        <v>1170.5</v>
      </c>
      <c r="F10" s="46">
        <v>1190</v>
      </c>
      <c r="G10" s="45">
        <v>1190</v>
      </c>
      <c r="H10" s="44">
        <f t="shared" si="1"/>
        <v>1190</v>
      </c>
      <c r="I10" s="46">
        <v>1192.5</v>
      </c>
      <c r="J10" s="45">
        <v>1192.5</v>
      </c>
      <c r="K10" s="44">
        <f t="shared" si="2"/>
        <v>1192.5</v>
      </c>
      <c r="L10" s="52">
        <v>1170.5</v>
      </c>
      <c r="M10" s="51">
        <v>1.244</v>
      </c>
      <c r="N10" s="51">
        <v>1.0939000000000001</v>
      </c>
      <c r="O10" s="50">
        <v>106.81</v>
      </c>
      <c r="P10" s="43">
        <v>940.92</v>
      </c>
      <c r="Q10" s="43">
        <v>956.21</v>
      </c>
      <c r="R10" s="49">
        <f t="shared" si="3"/>
        <v>1070.0246823292805</v>
      </c>
      <c r="S10" s="48">
        <v>1.2444999999999999</v>
      </c>
    </row>
    <row r="11" spans="1:19" x14ac:dyDescent="0.2">
      <c r="B11" s="47">
        <v>43956</v>
      </c>
      <c r="C11" s="46">
        <v>1175</v>
      </c>
      <c r="D11" s="45">
        <v>1175</v>
      </c>
      <c r="E11" s="44">
        <f t="shared" si="0"/>
        <v>1175</v>
      </c>
      <c r="F11" s="46">
        <v>1190</v>
      </c>
      <c r="G11" s="45">
        <v>1190</v>
      </c>
      <c r="H11" s="44">
        <f t="shared" si="1"/>
        <v>1190</v>
      </c>
      <c r="I11" s="46">
        <v>1192.5</v>
      </c>
      <c r="J11" s="45">
        <v>1192.5</v>
      </c>
      <c r="K11" s="44">
        <f t="shared" si="2"/>
        <v>1192.5</v>
      </c>
      <c r="L11" s="52">
        <v>1175</v>
      </c>
      <c r="M11" s="51">
        <v>1.2448999999999999</v>
      </c>
      <c r="N11" s="51">
        <v>1.0831999999999999</v>
      </c>
      <c r="O11" s="50">
        <v>106.74</v>
      </c>
      <c r="P11" s="43">
        <v>943.85</v>
      </c>
      <c r="Q11" s="43">
        <v>955.52</v>
      </c>
      <c r="R11" s="49">
        <f t="shared" si="3"/>
        <v>1084.7488921713443</v>
      </c>
      <c r="S11" s="48">
        <v>1.2454000000000001</v>
      </c>
    </row>
    <row r="12" spans="1:19" x14ac:dyDescent="0.2">
      <c r="B12" s="47">
        <v>43957</v>
      </c>
      <c r="C12" s="46">
        <v>1175</v>
      </c>
      <c r="D12" s="45">
        <v>1175</v>
      </c>
      <c r="E12" s="44">
        <f t="shared" si="0"/>
        <v>1175</v>
      </c>
      <c r="F12" s="46">
        <v>1190</v>
      </c>
      <c r="G12" s="45">
        <v>1190</v>
      </c>
      <c r="H12" s="44">
        <f t="shared" si="1"/>
        <v>1190</v>
      </c>
      <c r="I12" s="46">
        <v>1192.5</v>
      </c>
      <c r="J12" s="45">
        <v>1192.5</v>
      </c>
      <c r="K12" s="44">
        <f t="shared" si="2"/>
        <v>1192.5</v>
      </c>
      <c r="L12" s="52">
        <v>1175</v>
      </c>
      <c r="M12" s="51">
        <v>1.2388999999999999</v>
      </c>
      <c r="N12" s="51">
        <v>1.0813999999999999</v>
      </c>
      <c r="O12" s="50">
        <v>106.12</v>
      </c>
      <c r="P12" s="43">
        <v>948.42</v>
      </c>
      <c r="Q12" s="43">
        <v>960.14</v>
      </c>
      <c r="R12" s="49">
        <f t="shared" si="3"/>
        <v>1086.5544664324025</v>
      </c>
      <c r="S12" s="48">
        <v>1.2394000000000001</v>
      </c>
    </row>
    <row r="13" spans="1:19" x14ac:dyDescent="0.2">
      <c r="B13" s="47">
        <v>43958</v>
      </c>
      <c r="C13" s="46">
        <v>1175</v>
      </c>
      <c r="D13" s="45">
        <v>1175</v>
      </c>
      <c r="E13" s="44">
        <f t="shared" si="0"/>
        <v>1175</v>
      </c>
      <c r="F13" s="46">
        <v>1180</v>
      </c>
      <c r="G13" s="45">
        <v>1180</v>
      </c>
      <c r="H13" s="44">
        <f t="shared" si="1"/>
        <v>1180</v>
      </c>
      <c r="I13" s="46">
        <v>1182.5</v>
      </c>
      <c r="J13" s="45">
        <v>1182.5</v>
      </c>
      <c r="K13" s="44">
        <f t="shared" si="2"/>
        <v>1182.5</v>
      </c>
      <c r="L13" s="52">
        <v>1175</v>
      </c>
      <c r="M13" s="51">
        <v>1.2346999999999999</v>
      </c>
      <c r="N13" s="51">
        <v>1.079</v>
      </c>
      <c r="O13" s="50">
        <v>106.6</v>
      </c>
      <c r="P13" s="43">
        <v>951.65</v>
      </c>
      <c r="Q13" s="43">
        <v>955.31</v>
      </c>
      <c r="R13" s="49">
        <f t="shared" si="3"/>
        <v>1088.9712696941613</v>
      </c>
      <c r="S13" s="48">
        <v>1.2352000000000001</v>
      </c>
    </row>
    <row r="14" spans="1:19" x14ac:dyDescent="0.2">
      <c r="B14" s="47">
        <v>43962</v>
      </c>
      <c r="C14" s="46">
        <v>1176</v>
      </c>
      <c r="D14" s="45">
        <v>1176</v>
      </c>
      <c r="E14" s="44">
        <f t="shared" si="0"/>
        <v>1176</v>
      </c>
      <c r="F14" s="46">
        <v>1195</v>
      </c>
      <c r="G14" s="45">
        <v>1195</v>
      </c>
      <c r="H14" s="44">
        <f t="shared" si="1"/>
        <v>1195</v>
      </c>
      <c r="I14" s="46">
        <v>1197.5</v>
      </c>
      <c r="J14" s="45">
        <v>1197.5</v>
      </c>
      <c r="K14" s="44">
        <f t="shared" si="2"/>
        <v>1197.5</v>
      </c>
      <c r="L14" s="52">
        <v>1176</v>
      </c>
      <c r="M14" s="51">
        <v>1.2292000000000001</v>
      </c>
      <c r="N14" s="51">
        <v>1.0813999999999999</v>
      </c>
      <c r="O14" s="50">
        <v>107.31</v>
      </c>
      <c r="P14" s="43">
        <v>956.72</v>
      </c>
      <c r="Q14" s="43">
        <v>971.78</v>
      </c>
      <c r="R14" s="49">
        <f t="shared" si="3"/>
        <v>1087.479193637877</v>
      </c>
      <c r="S14" s="48">
        <v>1.2297</v>
      </c>
    </row>
    <row r="15" spans="1:19" x14ac:dyDescent="0.2">
      <c r="B15" s="47">
        <v>43963</v>
      </c>
      <c r="C15" s="46">
        <v>1190</v>
      </c>
      <c r="D15" s="45">
        <v>1190</v>
      </c>
      <c r="E15" s="44">
        <f t="shared" si="0"/>
        <v>1190</v>
      </c>
      <c r="F15" s="46">
        <v>1200</v>
      </c>
      <c r="G15" s="45">
        <v>1200</v>
      </c>
      <c r="H15" s="44">
        <f t="shared" si="1"/>
        <v>1200</v>
      </c>
      <c r="I15" s="46">
        <v>1202.5</v>
      </c>
      <c r="J15" s="45">
        <v>1202.5</v>
      </c>
      <c r="K15" s="44">
        <f t="shared" si="2"/>
        <v>1202.5</v>
      </c>
      <c r="L15" s="52">
        <v>1190</v>
      </c>
      <c r="M15" s="51">
        <v>1.2371000000000001</v>
      </c>
      <c r="N15" s="51">
        <v>1.0849</v>
      </c>
      <c r="O15" s="50">
        <v>107.34</v>
      </c>
      <c r="P15" s="43">
        <v>961.93</v>
      </c>
      <c r="Q15" s="43">
        <v>969.62</v>
      </c>
      <c r="R15" s="49">
        <f t="shared" si="3"/>
        <v>1096.8752880449811</v>
      </c>
      <c r="S15" s="48">
        <v>1.2376</v>
      </c>
    </row>
    <row r="16" spans="1:19" x14ac:dyDescent="0.2">
      <c r="B16" s="47">
        <v>43964</v>
      </c>
      <c r="C16" s="46">
        <v>1183.5</v>
      </c>
      <c r="D16" s="45">
        <v>1183.5</v>
      </c>
      <c r="E16" s="44">
        <f t="shared" si="0"/>
        <v>1183.5</v>
      </c>
      <c r="F16" s="46">
        <v>1200</v>
      </c>
      <c r="G16" s="45">
        <v>1200</v>
      </c>
      <c r="H16" s="44">
        <f t="shared" si="1"/>
        <v>1200</v>
      </c>
      <c r="I16" s="46">
        <v>1202</v>
      </c>
      <c r="J16" s="45">
        <v>1202</v>
      </c>
      <c r="K16" s="44">
        <f t="shared" si="2"/>
        <v>1202</v>
      </c>
      <c r="L16" s="52">
        <v>1183.5</v>
      </c>
      <c r="M16" s="51">
        <v>1.2322</v>
      </c>
      <c r="N16" s="51">
        <v>1.0876999999999999</v>
      </c>
      <c r="O16" s="50">
        <v>106.96</v>
      </c>
      <c r="P16" s="43">
        <v>960.48</v>
      </c>
      <c r="Q16" s="43">
        <v>973.47</v>
      </c>
      <c r="R16" s="49">
        <f t="shared" si="3"/>
        <v>1088.0757561827711</v>
      </c>
      <c r="S16" s="48">
        <v>1.2326999999999999</v>
      </c>
    </row>
    <row r="17" spans="2:19" x14ac:dyDescent="0.2">
      <c r="B17" s="47">
        <v>43965</v>
      </c>
      <c r="C17" s="46">
        <v>1200</v>
      </c>
      <c r="D17" s="45">
        <v>1200</v>
      </c>
      <c r="E17" s="44">
        <f t="shared" si="0"/>
        <v>1200</v>
      </c>
      <c r="F17" s="46">
        <v>1210</v>
      </c>
      <c r="G17" s="45">
        <v>1210</v>
      </c>
      <c r="H17" s="44">
        <f t="shared" si="1"/>
        <v>1210</v>
      </c>
      <c r="I17" s="46">
        <v>1212</v>
      </c>
      <c r="J17" s="45">
        <v>1212</v>
      </c>
      <c r="K17" s="44">
        <f t="shared" si="2"/>
        <v>1212</v>
      </c>
      <c r="L17" s="52">
        <v>1200</v>
      </c>
      <c r="M17" s="51">
        <v>1.2199</v>
      </c>
      <c r="N17" s="51">
        <v>1.079</v>
      </c>
      <c r="O17" s="50">
        <v>107.08</v>
      </c>
      <c r="P17" s="43">
        <v>983.69</v>
      </c>
      <c r="Q17" s="43">
        <v>991.56</v>
      </c>
      <c r="R17" s="49">
        <f t="shared" si="3"/>
        <v>1112.1408711770157</v>
      </c>
      <c r="S17" s="48">
        <v>1.2202999999999999</v>
      </c>
    </row>
    <row r="18" spans="2:19" x14ac:dyDescent="0.2">
      <c r="B18" s="47">
        <v>43966</v>
      </c>
      <c r="C18" s="46">
        <v>1200</v>
      </c>
      <c r="D18" s="45">
        <v>1200</v>
      </c>
      <c r="E18" s="44">
        <f t="shared" si="0"/>
        <v>1200</v>
      </c>
      <c r="F18" s="46">
        <v>1210</v>
      </c>
      <c r="G18" s="45">
        <v>1210</v>
      </c>
      <c r="H18" s="44">
        <f t="shared" si="1"/>
        <v>1210</v>
      </c>
      <c r="I18" s="46">
        <v>1212</v>
      </c>
      <c r="J18" s="45">
        <v>1212</v>
      </c>
      <c r="K18" s="44">
        <f t="shared" si="2"/>
        <v>1212</v>
      </c>
      <c r="L18" s="52">
        <v>1200</v>
      </c>
      <c r="M18" s="51">
        <v>1.216</v>
      </c>
      <c r="N18" s="51">
        <v>1.08</v>
      </c>
      <c r="O18" s="50">
        <v>107</v>
      </c>
      <c r="P18" s="43">
        <v>986.84</v>
      </c>
      <c r="Q18" s="43">
        <v>994.74</v>
      </c>
      <c r="R18" s="49">
        <f t="shared" si="3"/>
        <v>1111.1111111111111</v>
      </c>
      <c r="S18" s="48">
        <v>1.2163999999999999</v>
      </c>
    </row>
    <row r="19" spans="2:19" x14ac:dyDescent="0.2">
      <c r="B19" s="47">
        <v>43969</v>
      </c>
      <c r="C19" s="46">
        <v>1220</v>
      </c>
      <c r="D19" s="45">
        <v>1220</v>
      </c>
      <c r="E19" s="44">
        <f t="shared" si="0"/>
        <v>1220</v>
      </c>
      <c r="F19" s="46">
        <v>1220</v>
      </c>
      <c r="G19" s="45">
        <v>1220</v>
      </c>
      <c r="H19" s="44">
        <f t="shared" si="1"/>
        <v>1220</v>
      </c>
      <c r="I19" s="46">
        <v>1222</v>
      </c>
      <c r="J19" s="45">
        <v>1222</v>
      </c>
      <c r="K19" s="44">
        <f t="shared" si="2"/>
        <v>1222</v>
      </c>
      <c r="L19" s="52">
        <v>1220</v>
      </c>
      <c r="M19" s="51">
        <v>1.2153</v>
      </c>
      <c r="N19" s="51">
        <v>1.0821000000000001</v>
      </c>
      <c r="O19" s="50">
        <v>107.28</v>
      </c>
      <c r="P19" s="43">
        <v>1003.87</v>
      </c>
      <c r="Q19" s="43">
        <v>1003.54</v>
      </c>
      <c r="R19" s="49">
        <f t="shared" si="3"/>
        <v>1127.4373902596801</v>
      </c>
      <c r="S19" s="48">
        <v>1.2157</v>
      </c>
    </row>
    <row r="20" spans="2:19" x14ac:dyDescent="0.2">
      <c r="B20" s="47">
        <v>43970</v>
      </c>
      <c r="C20" s="46">
        <v>1220</v>
      </c>
      <c r="D20" s="45">
        <v>1220</v>
      </c>
      <c r="E20" s="44">
        <f t="shared" si="0"/>
        <v>1220</v>
      </c>
      <c r="F20" s="46">
        <v>1220</v>
      </c>
      <c r="G20" s="45">
        <v>1220</v>
      </c>
      <c r="H20" s="44">
        <f t="shared" si="1"/>
        <v>1220</v>
      </c>
      <c r="I20" s="46">
        <v>1222</v>
      </c>
      <c r="J20" s="45">
        <v>1222</v>
      </c>
      <c r="K20" s="44">
        <f t="shared" si="2"/>
        <v>1222</v>
      </c>
      <c r="L20" s="52">
        <v>1220</v>
      </c>
      <c r="M20" s="51">
        <v>1.2237</v>
      </c>
      <c r="N20" s="51">
        <v>1.0949</v>
      </c>
      <c r="O20" s="50">
        <v>107.75</v>
      </c>
      <c r="P20" s="43">
        <v>996.98</v>
      </c>
      <c r="Q20" s="43">
        <v>996.57</v>
      </c>
      <c r="R20" s="49">
        <f t="shared" si="3"/>
        <v>1114.257009772582</v>
      </c>
      <c r="S20" s="48">
        <v>1.2242</v>
      </c>
    </row>
    <row r="21" spans="2:19" x14ac:dyDescent="0.2">
      <c r="B21" s="47">
        <v>43971</v>
      </c>
      <c r="C21" s="46">
        <v>1203</v>
      </c>
      <c r="D21" s="45">
        <v>1203</v>
      </c>
      <c r="E21" s="44">
        <f t="shared" si="0"/>
        <v>1203</v>
      </c>
      <c r="F21" s="46">
        <v>1203</v>
      </c>
      <c r="G21" s="45">
        <v>1203</v>
      </c>
      <c r="H21" s="44">
        <f t="shared" si="1"/>
        <v>1203</v>
      </c>
      <c r="I21" s="46">
        <v>1204</v>
      </c>
      <c r="J21" s="45">
        <v>1204</v>
      </c>
      <c r="K21" s="44">
        <f t="shared" si="2"/>
        <v>1204</v>
      </c>
      <c r="L21" s="52">
        <v>1203</v>
      </c>
      <c r="M21" s="51">
        <v>1.2263999999999999</v>
      </c>
      <c r="N21" s="51">
        <v>1.0964</v>
      </c>
      <c r="O21" s="50">
        <v>107.61</v>
      </c>
      <c r="P21" s="43">
        <v>980.92</v>
      </c>
      <c r="Q21" s="43">
        <v>980.52</v>
      </c>
      <c r="R21" s="49">
        <f t="shared" si="3"/>
        <v>1097.2272893104705</v>
      </c>
      <c r="S21" s="48">
        <v>1.2269000000000001</v>
      </c>
    </row>
    <row r="22" spans="2:19" x14ac:dyDescent="0.2">
      <c r="B22" s="47">
        <v>43972</v>
      </c>
      <c r="C22" s="46">
        <v>1200</v>
      </c>
      <c r="D22" s="45">
        <v>1200</v>
      </c>
      <c r="E22" s="44">
        <f t="shared" si="0"/>
        <v>1200</v>
      </c>
      <c r="F22" s="46">
        <v>1200</v>
      </c>
      <c r="G22" s="45">
        <v>1200</v>
      </c>
      <c r="H22" s="44">
        <f t="shared" si="1"/>
        <v>1200</v>
      </c>
      <c r="I22" s="46">
        <v>1201</v>
      </c>
      <c r="J22" s="45">
        <v>1201</v>
      </c>
      <c r="K22" s="44">
        <f t="shared" si="2"/>
        <v>1201</v>
      </c>
      <c r="L22" s="52">
        <v>1200</v>
      </c>
      <c r="M22" s="51">
        <v>1.2224999999999999</v>
      </c>
      <c r="N22" s="51">
        <v>1.0993999999999999</v>
      </c>
      <c r="O22" s="50">
        <v>107.7</v>
      </c>
      <c r="P22" s="43">
        <v>981.6</v>
      </c>
      <c r="Q22" s="43">
        <v>981.27</v>
      </c>
      <c r="R22" s="49">
        <f t="shared" si="3"/>
        <v>1091.5044569765328</v>
      </c>
      <c r="S22" s="48">
        <v>1.2229000000000001</v>
      </c>
    </row>
    <row r="23" spans="2:19" x14ac:dyDescent="0.2">
      <c r="B23" s="47">
        <v>43973</v>
      </c>
      <c r="C23" s="46">
        <v>1220</v>
      </c>
      <c r="D23" s="45">
        <v>1220</v>
      </c>
      <c r="E23" s="44">
        <f t="shared" si="0"/>
        <v>1220</v>
      </c>
      <c r="F23" s="46">
        <v>1220</v>
      </c>
      <c r="G23" s="45">
        <v>1220</v>
      </c>
      <c r="H23" s="44">
        <f t="shared" si="1"/>
        <v>1220</v>
      </c>
      <c r="I23" s="46">
        <v>1221</v>
      </c>
      <c r="J23" s="45">
        <v>1221</v>
      </c>
      <c r="K23" s="44">
        <f t="shared" si="2"/>
        <v>1221</v>
      </c>
      <c r="L23" s="52">
        <v>1220</v>
      </c>
      <c r="M23" s="51">
        <v>1.2179</v>
      </c>
      <c r="N23" s="51">
        <v>1.0906</v>
      </c>
      <c r="O23" s="50">
        <v>107.51</v>
      </c>
      <c r="P23" s="43">
        <v>1001.72</v>
      </c>
      <c r="Q23" s="43">
        <v>1001.4</v>
      </c>
      <c r="R23" s="49">
        <f t="shared" si="3"/>
        <v>1118.6502842472034</v>
      </c>
      <c r="S23" s="48">
        <v>1.2182999999999999</v>
      </c>
    </row>
    <row r="24" spans="2:19" x14ac:dyDescent="0.2">
      <c r="B24" s="47">
        <v>43977</v>
      </c>
      <c r="C24" s="46">
        <v>1265</v>
      </c>
      <c r="D24" s="45">
        <v>1265</v>
      </c>
      <c r="E24" s="44">
        <f t="shared" si="0"/>
        <v>1265</v>
      </c>
      <c r="F24" s="46">
        <v>1235</v>
      </c>
      <c r="G24" s="45">
        <v>1235</v>
      </c>
      <c r="H24" s="44">
        <f t="shared" si="1"/>
        <v>1235</v>
      </c>
      <c r="I24" s="46">
        <v>1235</v>
      </c>
      <c r="J24" s="45">
        <v>1235</v>
      </c>
      <c r="K24" s="44">
        <f t="shared" si="2"/>
        <v>1235</v>
      </c>
      <c r="L24" s="52">
        <v>1265</v>
      </c>
      <c r="M24" s="51">
        <v>1.2338</v>
      </c>
      <c r="N24" s="51">
        <v>1.0979000000000001</v>
      </c>
      <c r="O24" s="50">
        <v>107.48</v>
      </c>
      <c r="P24" s="43">
        <v>1025.29</v>
      </c>
      <c r="Q24" s="43">
        <v>1000.65</v>
      </c>
      <c r="R24" s="49">
        <f t="shared" si="3"/>
        <v>1152.1996538846888</v>
      </c>
      <c r="S24" s="48">
        <v>1.2342</v>
      </c>
    </row>
    <row r="25" spans="2:19" x14ac:dyDescent="0.2">
      <c r="B25" s="47">
        <v>43978</v>
      </c>
      <c r="C25" s="46">
        <v>1270</v>
      </c>
      <c r="D25" s="45">
        <v>1270</v>
      </c>
      <c r="E25" s="44">
        <f t="shared" si="0"/>
        <v>1270</v>
      </c>
      <c r="F25" s="46">
        <v>1235</v>
      </c>
      <c r="G25" s="45">
        <v>1235</v>
      </c>
      <c r="H25" s="44">
        <f t="shared" si="1"/>
        <v>1235</v>
      </c>
      <c r="I25" s="46">
        <v>1235</v>
      </c>
      <c r="J25" s="45">
        <v>1235</v>
      </c>
      <c r="K25" s="44">
        <f t="shared" si="2"/>
        <v>1235</v>
      </c>
      <c r="L25" s="52">
        <v>1270</v>
      </c>
      <c r="M25" s="51">
        <v>1.2312000000000001</v>
      </c>
      <c r="N25" s="51">
        <v>1.1017999999999999</v>
      </c>
      <c r="O25" s="50">
        <v>107.82</v>
      </c>
      <c r="P25" s="43">
        <v>1031.51</v>
      </c>
      <c r="Q25" s="43">
        <v>1002.76</v>
      </c>
      <c r="R25" s="49">
        <f t="shared" si="3"/>
        <v>1152.65928480668</v>
      </c>
      <c r="S25" s="48">
        <v>1.2316</v>
      </c>
    </row>
    <row r="26" spans="2:19" x14ac:dyDescent="0.2">
      <c r="B26" s="47">
        <v>43979</v>
      </c>
      <c r="C26" s="46">
        <v>1230</v>
      </c>
      <c r="D26" s="45">
        <v>1230</v>
      </c>
      <c r="E26" s="44">
        <f t="shared" si="0"/>
        <v>1230</v>
      </c>
      <c r="F26" s="46">
        <v>1220</v>
      </c>
      <c r="G26" s="45">
        <v>1220</v>
      </c>
      <c r="H26" s="44">
        <f t="shared" si="1"/>
        <v>1220</v>
      </c>
      <c r="I26" s="46">
        <v>1220</v>
      </c>
      <c r="J26" s="45">
        <v>1220</v>
      </c>
      <c r="K26" s="44">
        <f t="shared" si="2"/>
        <v>1220</v>
      </c>
      <c r="L26" s="52">
        <v>1230</v>
      </c>
      <c r="M26" s="51">
        <v>1.2254</v>
      </c>
      <c r="N26" s="51">
        <v>1.1007</v>
      </c>
      <c r="O26" s="50">
        <v>107.76</v>
      </c>
      <c r="P26" s="43">
        <v>1003.75</v>
      </c>
      <c r="Q26" s="43">
        <v>995.27</v>
      </c>
      <c r="R26" s="49">
        <f t="shared" si="3"/>
        <v>1117.4707004633415</v>
      </c>
      <c r="S26" s="48">
        <v>1.2258</v>
      </c>
    </row>
    <row r="27" spans="2:19" x14ac:dyDescent="0.2">
      <c r="B27" s="47">
        <v>43980</v>
      </c>
      <c r="C27" s="46">
        <v>1215</v>
      </c>
      <c r="D27" s="45">
        <v>1215</v>
      </c>
      <c r="E27" s="44">
        <f t="shared" si="0"/>
        <v>1215</v>
      </c>
      <c r="F27" s="46">
        <v>1215</v>
      </c>
      <c r="G27" s="45">
        <v>1215</v>
      </c>
      <c r="H27" s="44">
        <f t="shared" si="1"/>
        <v>1215</v>
      </c>
      <c r="I27" s="46">
        <v>1215</v>
      </c>
      <c r="J27" s="45">
        <v>1215</v>
      </c>
      <c r="K27" s="44">
        <f t="shared" si="2"/>
        <v>1215</v>
      </c>
      <c r="L27" s="52">
        <v>1215</v>
      </c>
      <c r="M27" s="51">
        <v>1.2364999999999999</v>
      </c>
      <c r="N27" s="51">
        <v>1.1134999999999999</v>
      </c>
      <c r="O27" s="50">
        <v>107.16</v>
      </c>
      <c r="P27" s="43">
        <v>982.61</v>
      </c>
      <c r="Q27" s="43">
        <v>982.22</v>
      </c>
      <c r="R27" s="49">
        <f t="shared" si="3"/>
        <v>1091.1540188594522</v>
      </c>
      <c r="S27" s="48">
        <v>1.2370000000000001</v>
      </c>
    </row>
    <row r="28" spans="2:19" s="10" customFormat="1" x14ac:dyDescent="0.2">
      <c r="B28" s="42" t="s">
        <v>11</v>
      </c>
      <c r="C28" s="41">
        <f>ROUND(AVERAGE(C9:C27),2)</f>
        <v>1203.8399999999999</v>
      </c>
      <c r="D28" s="40">
        <f>ROUND(AVERAGE(D9:D27),2)</f>
        <v>1203.8399999999999</v>
      </c>
      <c r="E28" s="39">
        <f>ROUND(AVERAGE(C28:D28),2)</f>
        <v>1203.8399999999999</v>
      </c>
      <c r="F28" s="41">
        <f>ROUND(AVERAGE(F9:F27),2)</f>
        <v>1207</v>
      </c>
      <c r="G28" s="40">
        <f>ROUND(AVERAGE(G9:G27),2)</f>
        <v>1207</v>
      </c>
      <c r="H28" s="39">
        <f>ROUND(AVERAGE(F28:G28),2)</f>
        <v>1207</v>
      </c>
      <c r="I28" s="41">
        <f>ROUND(AVERAGE(I9:I27),2)</f>
        <v>1208.6099999999999</v>
      </c>
      <c r="J28" s="40">
        <f>ROUND(AVERAGE(J9:J27),2)</f>
        <v>1208.6099999999999</v>
      </c>
      <c r="K28" s="39">
        <f>ROUND(AVERAGE(I28:J28),2)</f>
        <v>1208.6099999999999</v>
      </c>
      <c r="L28" s="38">
        <f>ROUND(AVERAGE(L9:L27),2)</f>
        <v>1203.8399999999999</v>
      </c>
      <c r="M28" s="37">
        <f>ROUND(AVERAGE(M9:M27),4)</f>
        <v>1.2306999999999999</v>
      </c>
      <c r="N28" s="36">
        <f>ROUND(AVERAGE(N9:N27),4)</f>
        <v>1.0908</v>
      </c>
      <c r="O28" s="175">
        <f>ROUND(AVERAGE(O9:O27),2)</f>
        <v>107.2</v>
      </c>
      <c r="P28" s="35">
        <f>AVERAGE(P9:P27)</f>
        <v>978.32526315789471</v>
      </c>
      <c r="Q28" s="35">
        <f>AVERAGE(Q9:Q27)</f>
        <v>980.50736842105255</v>
      </c>
      <c r="R28" s="35">
        <f>AVERAGE(R9:R27)</f>
        <v>1103.5982452825049</v>
      </c>
      <c r="S28" s="34">
        <f>AVERAGE(S9:S27)</f>
        <v>1.2311368421052631</v>
      </c>
    </row>
    <row r="29" spans="2:19" s="5" customFormat="1" x14ac:dyDescent="0.2">
      <c r="B29" s="33" t="s">
        <v>12</v>
      </c>
      <c r="C29" s="32">
        <f t="shared" ref="C29:S29" si="4">MAX(C9:C27)</f>
        <v>1270</v>
      </c>
      <c r="D29" s="31">
        <f t="shared" si="4"/>
        <v>1270</v>
      </c>
      <c r="E29" s="30">
        <f t="shared" si="4"/>
        <v>1270</v>
      </c>
      <c r="F29" s="32">
        <f t="shared" si="4"/>
        <v>1235</v>
      </c>
      <c r="G29" s="31">
        <f t="shared" si="4"/>
        <v>1235</v>
      </c>
      <c r="H29" s="30">
        <f t="shared" si="4"/>
        <v>1235</v>
      </c>
      <c r="I29" s="32">
        <f t="shared" si="4"/>
        <v>1235</v>
      </c>
      <c r="J29" s="31">
        <f t="shared" si="4"/>
        <v>1235</v>
      </c>
      <c r="K29" s="30">
        <f t="shared" si="4"/>
        <v>1235</v>
      </c>
      <c r="L29" s="29">
        <f t="shared" si="4"/>
        <v>1270</v>
      </c>
      <c r="M29" s="28">
        <f t="shared" si="4"/>
        <v>1.2534000000000001</v>
      </c>
      <c r="N29" s="27">
        <f t="shared" si="4"/>
        <v>1.1134999999999999</v>
      </c>
      <c r="O29" s="26">
        <f t="shared" si="4"/>
        <v>107.82</v>
      </c>
      <c r="P29" s="25">
        <f t="shared" si="4"/>
        <v>1031.51</v>
      </c>
      <c r="Q29" s="25">
        <f t="shared" si="4"/>
        <v>1003.54</v>
      </c>
      <c r="R29" s="25">
        <f t="shared" si="4"/>
        <v>1152.65928480668</v>
      </c>
      <c r="S29" s="24">
        <f t="shared" si="4"/>
        <v>1.2538</v>
      </c>
    </row>
    <row r="30" spans="2:19" s="5" customFormat="1" ht="13.5" thickBot="1" x14ac:dyDescent="0.25">
      <c r="B30" s="23" t="s">
        <v>13</v>
      </c>
      <c r="C30" s="22">
        <f t="shared" ref="C30:S30" si="5">MIN(C9:C27)</f>
        <v>1170.5</v>
      </c>
      <c r="D30" s="21">
        <f t="shared" si="5"/>
        <v>1170.5</v>
      </c>
      <c r="E30" s="20">
        <f t="shared" si="5"/>
        <v>1170.5</v>
      </c>
      <c r="F30" s="22">
        <f t="shared" si="5"/>
        <v>1180</v>
      </c>
      <c r="G30" s="21">
        <f t="shared" si="5"/>
        <v>1180</v>
      </c>
      <c r="H30" s="20">
        <f t="shared" si="5"/>
        <v>1180</v>
      </c>
      <c r="I30" s="22">
        <f t="shared" si="5"/>
        <v>1182.5</v>
      </c>
      <c r="J30" s="21">
        <f t="shared" si="5"/>
        <v>1182.5</v>
      </c>
      <c r="K30" s="20">
        <f t="shared" si="5"/>
        <v>1182.5</v>
      </c>
      <c r="L30" s="19">
        <f t="shared" si="5"/>
        <v>1170.5</v>
      </c>
      <c r="M30" s="18">
        <f t="shared" si="5"/>
        <v>1.2153</v>
      </c>
      <c r="N30" s="17">
        <f t="shared" si="5"/>
        <v>1.079</v>
      </c>
      <c r="O30" s="16">
        <f t="shared" si="5"/>
        <v>106.12</v>
      </c>
      <c r="P30" s="15">
        <f t="shared" si="5"/>
        <v>940.92</v>
      </c>
      <c r="Q30" s="15">
        <f t="shared" si="5"/>
        <v>955.31</v>
      </c>
      <c r="R30" s="15">
        <f t="shared" si="5"/>
        <v>1070.0246823292805</v>
      </c>
      <c r="S30" s="14">
        <f t="shared" si="5"/>
        <v>1.2157</v>
      </c>
    </row>
    <row r="32" spans="2:19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43952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43952</v>
      </c>
      <c r="C9" s="46">
        <v>1130</v>
      </c>
      <c r="D9" s="45">
        <v>1130</v>
      </c>
      <c r="E9" s="44">
        <f t="shared" ref="E9:E27" si="0">AVERAGE(C9:D9)</f>
        <v>1130</v>
      </c>
      <c r="F9" s="46">
        <v>1150</v>
      </c>
      <c r="G9" s="45">
        <v>1150</v>
      </c>
      <c r="H9" s="44">
        <f t="shared" ref="H9:H27" si="1">AVERAGE(F9:G9)</f>
        <v>1150</v>
      </c>
      <c r="I9" s="46">
        <v>1172</v>
      </c>
      <c r="J9" s="45">
        <v>1172</v>
      </c>
      <c r="K9" s="44">
        <f t="shared" ref="K9:K27" si="2">AVERAGE(I9:J9)</f>
        <v>1172</v>
      </c>
      <c r="L9" s="52">
        <v>1130</v>
      </c>
      <c r="M9" s="51">
        <v>1.2534000000000001</v>
      </c>
      <c r="N9" s="53">
        <v>1.0973999999999999</v>
      </c>
      <c r="O9" s="50">
        <v>106.7</v>
      </c>
      <c r="P9" s="43">
        <v>901.55</v>
      </c>
      <c r="Q9" s="43">
        <v>917.21</v>
      </c>
      <c r="R9" s="49">
        <f t="shared" ref="R9:R27" si="3">L9/N9</f>
        <v>1029.7065791871698</v>
      </c>
      <c r="S9" s="48">
        <v>1.2538</v>
      </c>
    </row>
    <row r="10" spans="1:19" x14ac:dyDescent="0.2">
      <c r="B10" s="47">
        <v>43955</v>
      </c>
      <c r="C10" s="46">
        <v>1117</v>
      </c>
      <c r="D10" s="45">
        <v>1117</v>
      </c>
      <c r="E10" s="44">
        <f t="shared" si="0"/>
        <v>1117</v>
      </c>
      <c r="F10" s="46">
        <v>1135</v>
      </c>
      <c r="G10" s="45">
        <v>1135</v>
      </c>
      <c r="H10" s="44">
        <f t="shared" si="1"/>
        <v>1135</v>
      </c>
      <c r="I10" s="46">
        <v>1156</v>
      </c>
      <c r="J10" s="45">
        <v>1156</v>
      </c>
      <c r="K10" s="44">
        <f t="shared" si="2"/>
        <v>1156</v>
      </c>
      <c r="L10" s="52">
        <v>1117</v>
      </c>
      <c r="M10" s="51">
        <v>1.244</v>
      </c>
      <c r="N10" s="51">
        <v>1.0939000000000001</v>
      </c>
      <c r="O10" s="50">
        <v>106.81</v>
      </c>
      <c r="P10" s="43">
        <v>897.91</v>
      </c>
      <c r="Q10" s="43">
        <v>912.01</v>
      </c>
      <c r="R10" s="49">
        <f t="shared" si="3"/>
        <v>1021.117103940031</v>
      </c>
      <c r="S10" s="48">
        <v>1.2444999999999999</v>
      </c>
    </row>
    <row r="11" spans="1:19" x14ac:dyDescent="0.2">
      <c r="B11" s="47">
        <v>43956</v>
      </c>
      <c r="C11" s="46">
        <v>1110</v>
      </c>
      <c r="D11" s="45">
        <v>1110</v>
      </c>
      <c r="E11" s="44">
        <f t="shared" si="0"/>
        <v>1110</v>
      </c>
      <c r="F11" s="46">
        <v>1130</v>
      </c>
      <c r="G11" s="45">
        <v>1130</v>
      </c>
      <c r="H11" s="44">
        <f t="shared" si="1"/>
        <v>1130</v>
      </c>
      <c r="I11" s="46">
        <v>1151.5</v>
      </c>
      <c r="J11" s="45">
        <v>1151.5</v>
      </c>
      <c r="K11" s="44">
        <f t="shared" si="2"/>
        <v>1151.5</v>
      </c>
      <c r="L11" s="52">
        <v>1110</v>
      </c>
      <c r="M11" s="51">
        <v>1.2448999999999999</v>
      </c>
      <c r="N11" s="51">
        <v>1.0831999999999999</v>
      </c>
      <c r="O11" s="50">
        <v>106.74</v>
      </c>
      <c r="P11" s="43">
        <v>891.64</v>
      </c>
      <c r="Q11" s="43">
        <v>907.34</v>
      </c>
      <c r="R11" s="49">
        <f t="shared" si="3"/>
        <v>1024.7415066469721</v>
      </c>
      <c r="S11" s="48">
        <v>1.2454000000000001</v>
      </c>
    </row>
    <row r="12" spans="1:19" x14ac:dyDescent="0.2">
      <c r="B12" s="47">
        <v>43957</v>
      </c>
      <c r="C12" s="46">
        <v>1110</v>
      </c>
      <c r="D12" s="45">
        <v>1110</v>
      </c>
      <c r="E12" s="44">
        <f t="shared" si="0"/>
        <v>1110</v>
      </c>
      <c r="F12" s="46">
        <v>1130</v>
      </c>
      <c r="G12" s="45">
        <v>1130</v>
      </c>
      <c r="H12" s="44">
        <f t="shared" si="1"/>
        <v>1130</v>
      </c>
      <c r="I12" s="46">
        <v>1151.5</v>
      </c>
      <c r="J12" s="45">
        <v>1151.5</v>
      </c>
      <c r="K12" s="44">
        <f t="shared" si="2"/>
        <v>1151.5</v>
      </c>
      <c r="L12" s="52">
        <v>1110</v>
      </c>
      <c r="M12" s="51">
        <v>1.2388999999999999</v>
      </c>
      <c r="N12" s="51">
        <v>1.0813999999999999</v>
      </c>
      <c r="O12" s="50">
        <v>106.12</v>
      </c>
      <c r="P12" s="43">
        <v>895.96</v>
      </c>
      <c r="Q12" s="43">
        <v>911.73</v>
      </c>
      <c r="R12" s="49">
        <f t="shared" si="3"/>
        <v>1026.4471980765675</v>
      </c>
      <c r="S12" s="48">
        <v>1.2394000000000001</v>
      </c>
    </row>
    <row r="13" spans="1:19" x14ac:dyDescent="0.2">
      <c r="B13" s="47">
        <v>43958</v>
      </c>
      <c r="C13" s="46">
        <v>1110</v>
      </c>
      <c r="D13" s="45">
        <v>1110</v>
      </c>
      <c r="E13" s="44">
        <f t="shared" si="0"/>
        <v>1110</v>
      </c>
      <c r="F13" s="46">
        <v>1130</v>
      </c>
      <c r="G13" s="45">
        <v>1130</v>
      </c>
      <c r="H13" s="44">
        <f t="shared" si="1"/>
        <v>1130</v>
      </c>
      <c r="I13" s="46">
        <v>1156</v>
      </c>
      <c r="J13" s="45">
        <v>1156</v>
      </c>
      <c r="K13" s="44">
        <f t="shared" si="2"/>
        <v>1156</v>
      </c>
      <c r="L13" s="52">
        <v>1110</v>
      </c>
      <c r="M13" s="51">
        <v>1.2346999999999999</v>
      </c>
      <c r="N13" s="51">
        <v>1.079</v>
      </c>
      <c r="O13" s="50">
        <v>106.6</v>
      </c>
      <c r="P13" s="43">
        <v>899</v>
      </c>
      <c r="Q13" s="43">
        <v>914.83</v>
      </c>
      <c r="R13" s="49">
        <f t="shared" si="3"/>
        <v>1028.7303058387397</v>
      </c>
      <c r="S13" s="48">
        <v>1.2352000000000001</v>
      </c>
    </row>
    <row r="14" spans="1:19" x14ac:dyDescent="0.2">
      <c r="B14" s="47">
        <v>43962</v>
      </c>
      <c r="C14" s="46">
        <v>1110</v>
      </c>
      <c r="D14" s="45">
        <v>1110</v>
      </c>
      <c r="E14" s="44">
        <f t="shared" si="0"/>
        <v>1110</v>
      </c>
      <c r="F14" s="46">
        <v>1130</v>
      </c>
      <c r="G14" s="45">
        <v>1130</v>
      </c>
      <c r="H14" s="44">
        <f t="shared" si="1"/>
        <v>1130</v>
      </c>
      <c r="I14" s="46">
        <v>1155.5</v>
      </c>
      <c r="J14" s="45">
        <v>1155.5</v>
      </c>
      <c r="K14" s="44">
        <f t="shared" si="2"/>
        <v>1155.5</v>
      </c>
      <c r="L14" s="52">
        <v>1110</v>
      </c>
      <c r="M14" s="51">
        <v>1.2292000000000001</v>
      </c>
      <c r="N14" s="51">
        <v>1.0813999999999999</v>
      </c>
      <c r="O14" s="50">
        <v>107.31</v>
      </c>
      <c r="P14" s="43">
        <v>903.03</v>
      </c>
      <c r="Q14" s="43">
        <v>918.92</v>
      </c>
      <c r="R14" s="49">
        <f t="shared" si="3"/>
        <v>1026.4471980765675</v>
      </c>
      <c r="S14" s="48">
        <v>1.2297</v>
      </c>
    </row>
    <row r="15" spans="1:19" x14ac:dyDescent="0.2">
      <c r="B15" s="47">
        <v>43963</v>
      </c>
      <c r="C15" s="46">
        <v>1120</v>
      </c>
      <c r="D15" s="45">
        <v>1120</v>
      </c>
      <c r="E15" s="44">
        <f t="shared" si="0"/>
        <v>1120</v>
      </c>
      <c r="F15" s="46">
        <v>1135</v>
      </c>
      <c r="G15" s="45">
        <v>1135</v>
      </c>
      <c r="H15" s="44">
        <f t="shared" si="1"/>
        <v>1135</v>
      </c>
      <c r="I15" s="46">
        <v>1156.5</v>
      </c>
      <c r="J15" s="45">
        <v>1156.5</v>
      </c>
      <c r="K15" s="44">
        <f t="shared" si="2"/>
        <v>1156.5</v>
      </c>
      <c r="L15" s="52">
        <v>1120</v>
      </c>
      <c r="M15" s="51">
        <v>1.2371000000000001</v>
      </c>
      <c r="N15" s="51">
        <v>1.0849</v>
      </c>
      <c r="O15" s="50">
        <v>107.34</v>
      </c>
      <c r="P15" s="43">
        <v>905.34</v>
      </c>
      <c r="Q15" s="43">
        <v>917.1</v>
      </c>
      <c r="R15" s="49">
        <f t="shared" si="3"/>
        <v>1032.3532122776294</v>
      </c>
      <c r="S15" s="48">
        <v>1.2376</v>
      </c>
    </row>
    <row r="16" spans="1:19" x14ac:dyDescent="0.2">
      <c r="B16" s="47">
        <v>43964</v>
      </c>
      <c r="C16" s="46">
        <v>1120</v>
      </c>
      <c r="D16" s="45">
        <v>1120</v>
      </c>
      <c r="E16" s="44">
        <f t="shared" si="0"/>
        <v>1120</v>
      </c>
      <c r="F16" s="46">
        <v>1135</v>
      </c>
      <c r="G16" s="45">
        <v>1135</v>
      </c>
      <c r="H16" s="44">
        <f t="shared" si="1"/>
        <v>1135</v>
      </c>
      <c r="I16" s="46">
        <v>1160</v>
      </c>
      <c r="J16" s="45">
        <v>1160</v>
      </c>
      <c r="K16" s="44">
        <f t="shared" si="2"/>
        <v>1160</v>
      </c>
      <c r="L16" s="52">
        <v>1120</v>
      </c>
      <c r="M16" s="51">
        <v>1.2322</v>
      </c>
      <c r="N16" s="51">
        <v>1.0876999999999999</v>
      </c>
      <c r="O16" s="50">
        <v>106.96</v>
      </c>
      <c r="P16" s="43">
        <v>908.94</v>
      </c>
      <c r="Q16" s="43">
        <v>920.74</v>
      </c>
      <c r="R16" s="49">
        <f t="shared" si="3"/>
        <v>1029.6956881493061</v>
      </c>
      <c r="S16" s="48">
        <v>1.2326999999999999</v>
      </c>
    </row>
    <row r="17" spans="2:19" x14ac:dyDescent="0.2">
      <c r="B17" s="47">
        <v>43965</v>
      </c>
      <c r="C17" s="46">
        <v>1125</v>
      </c>
      <c r="D17" s="45">
        <v>1125</v>
      </c>
      <c r="E17" s="44">
        <f t="shared" si="0"/>
        <v>1125</v>
      </c>
      <c r="F17" s="46">
        <v>1140</v>
      </c>
      <c r="G17" s="45">
        <v>1140</v>
      </c>
      <c r="H17" s="44">
        <f t="shared" si="1"/>
        <v>1140</v>
      </c>
      <c r="I17" s="46">
        <v>1165</v>
      </c>
      <c r="J17" s="45">
        <v>1165</v>
      </c>
      <c r="K17" s="44">
        <f t="shared" si="2"/>
        <v>1165</v>
      </c>
      <c r="L17" s="52">
        <v>1125</v>
      </c>
      <c r="M17" s="51">
        <v>1.2199</v>
      </c>
      <c r="N17" s="51">
        <v>1.079</v>
      </c>
      <c r="O17" s="50">
        <v>107.08</v>
      </c>
      <c r="P17" s="43">
        <v>922.21</v>
      </c>
      <c r="Q17" s="43">
        <v>934.2</v>
      </c>
      <c r="R17" s="49">
        <f t="shared" si="3"/>
        <v>1042.6320667284524</v>
      </c>
      <c r="S17" s="48">
        <v>1.2202999999999999</v>
      </c>
    </row>
    <row r="18" spans="2:19" x14ac:dyDescent="0.2">
      <c r="B18" s="47">
        <v>43966</v>
      </c>
      <c r="C18" s="46">
        <v>1125</v>
      </c>
      <c r="D18" s="45">
        <v>1125</v>
      </c>
      <c r="E18" s="44">
        <f t="shared" si="0"/>
        <v>1125</v>
      </c>
      <c r="F18" s="46">
        <v>1140</v>
      </c>
      <c r="G18" s="45">
        <v>1140</v>
      </c>
      <c r="H18" s="44">
        <f t="shared" si="1"/>
        <v>1140</v>
      </c>
      <c r="I18" s="46">
        <v>1165</v>
      </c>
      <c r="J18" s="45">
        <v>1165</v>
      </c>
      <c r="K18" s="44">
        <f t="shared" si="2"/>
        <v>1165</v>
      </c>
      <c r="L18" s="52">
        <v>1125</v>
      </c>
      <c r="M18" s="51">
        <v>1.216</v>
      </c>
      <c r="N18" s="51">
        <v>1.08</v>
      </c>
      <c r="O18" s="50">
        <v>107</v>
      </c>
      <c r="P18" s="43">
        <v>925.16</v>
      </c>
      <c r="Q18" s="43">
        <v>937.19</v>
      </c>
      <c r="R18" s="49">
        <f t="shared" si="3"/>
        <v>1041.6666666666665</v>
      </c>
      <c r="S18" s="48">
        <v>1.2163999999999999</v>
      </c>
    </row>
    <row r="19" spans="2:19" x14ac:dyDescent="0.2">
      <c r="B19" s="47">
        <v>43969</v>
      </c>
      <c r="C19" s="46">
        <v>1124.5</v>
      </c>
      <c r="D19" s="45">
        <v>1124.5</v>
      </c>
      <c r="E19" s="44">
        <f t="shared" si="0"/>
        <v>1124.5</v>
      </c>
      <c r="F19" s="46">
        <v>1140</v>
      </c>
      <c r="G19" s="45">
        <v>1140</v>
      </c>
      <c r="H19" s="44">
        <f t="shared" si="1"/>
        <v>1140</v>
      </c>
      <c r="I19" s="46">
        <v>1164</v>
      </c>
      <c r="J19" s="45">
        <v>1164</v>
      </c>
      <c r="K19" s="44">
        <f t="shared" si="2"/>
        <v>1164</v>
      </c>
      <c r="L19" s="52">
        <v>1124.5</v>
      </c>
      <c r="M19" s="51">
        <v>1.2153</v>
      </c>
      <c r="N19" s="51">
        <v>1.0821000000000001</v>
      </c>
      <c r="O19" s="50">
        <v>107.28</v>
      </c>
      <c r="P19" s="43">
        <v>925.29</v>
      </c>
      <c r="Q19" s="43">
        <v>937.73</v>
      </c>
      <c r="R19" s="49">
        <f t="shared" si="3"/>
        <v>1039.183069956566</v>
      </c>
      <c r="S19" s="48">
        <v>1.2157</v>
      </c>
    </row>
    <row r="20" spans="2:19" x14ac:dyDescent="0.2">
      <c r="B20" s="47">
        <v>43970</v>
      </c>
      <c r="C20" s="46">
        <v>1147</v>
      </c>
      <c r="D20" s="45">
        <v>1147</v>
      </c>
      <c r="E20" s="44">
        <f t="shared" si="0"/>
        <v>1147</v>
      </c>
      <c r="F20" s="46">
        <v>1160</v>
      </c>
      <c r="G20" s="45">
        <v>1160</v>
      </c>
      <c r="H20" s="44">
        <f t="shared" si="1"/>
        <v>1160</v>
      </c>
      <c r="I20" s="46">
        <v>1181</v>
      </c>
      <c r="J20" s="45">
        <v>1181</v>
      </c>
      <c r="K20" s="44">
        <f t="shared" si="2"/>
        <v>1181</v>
      </c>
      <c r="L20" s="52">
        <v>1147</v>
      </c>
      <c r="M20" s="51">
        <v>1.2237</v>
      </c>
      <c r="N20" s="51">
        <v>1.0949</v>
      </c>
      <c r="O20" s="50">
        <v>107.75</v>
      </c>
      <c r="P20" s="43">
        <v>937.32</v>
      </c>
      <c r="Q20" s="43">
        <v>947.56</v>
      </c>
      <c r="R20" s="49">
        <f t="shared" si="3"/>
        <v>1047.5842542697962</v>
      </c>
      <c r="S20" s="48">
        <v>1.2242</v>
      </c>
    </row>
    <row r="21" spans="2:19" x14ac:dyDescent="0.2">
      <c r="B21" s="47">
        <v>43971</v>
      </c>
      <c r="C21" s="46">
        <v>1140</v>
      </c>
      <c r="D21" s="45">
        <v>1140</v>
      </c>
      <c r="E21" s="44">
        <f t="shared" si="0"/>
        <v>1140</v>
      </c>
      <c r="F21" s="46">
        <v>1155</v>
      </c>
      <c r="G21" s="45">
        <v>1155</v>
      </c>
      <c r="H21" s="44">
        <f t="shared" si="1"/>
        <v>1155</v>
      </c>
      <c r="I21" s="46">
        <v>1175.5</v>
      </c>
      <c r="J21" s="45">
        <v>1175.5</v>
      </c>
      <c r="K21" s="44">
        <f t="shared" si="2"/>
        <v>1175.5</v>
      </c>
      <c r="L21" s="52">
        <v>1140</v>
      </c>
      <c r="M21" s="51">
        <v>1.2263999999999999</v>
      </c>
      <c r="N21" s="51">
        <v>1.0964</v>
      </c>
      <c r="O21" s="50">
        <v>107.61</v>
      </c>
      <c r="P21" s="43">
        <v>929.55</v>
      </c>
      <c r="Q21" s="43">
        <v>941.4</v>
      </c>
      <c r="R21" s="49">
        <f t="shared" si="3"/>
        <v>1039.7665085735132</v>
      </c>
      <c r="S21" s="48">
        <v>1.2269000000000001</v>
      </c>
    </row>
    <row r="22" spans="2:19" x14ac:dyDescent="0.2">
      <c r="B22" s="47">
        <v>43972</v>
      </c>
      <c r="C22" s="46">
        <v>1150</v>
      </c>
      <c r="D22" s="45">
        <v>1150</v>
      </c>
      <c r="E22" s="44">
        <f t="shared" si="0"/>
        <v>1150</v>
      </c>
      <c r="F22" s="46">
        <v>1145</v>
      </c>
      <c r="G22" s="45">
        <v>1145</v>
      </c>
      <c r="H22" s="44">
        <f t="shared" si="1"/>
        <v>1145</v>
      </c>
      <c r="I22" s="46">
        <v>1165.5</v>
      </c>
      <c r="J22" s="45">
        <v>1165.5</v>
      </c>
      <c r="K22" s="44">
        <f t="shared" si="2"/>
        <v>1165.5</v>
      </c>
      <c r="L22" s="52">
        <v>1150</v>
      </c>
      <c r="M22" s="51">
        <v>1.2224999999999999</v>
      </c>
      <c r="N22" s="51">
        <v>1.0993999999999999</v>
      </c>
      <c r="O22" s="50">
        <v>107.7</v>
      </c>
      <c r="P22" s="43">
        <v>940.7</v>
      </c>
      <c r="Q22" s="43">
        <v>936.3</v>
      </c>
      <c r="R22" s="49">
        <f t="shared" si="3"/>
        <v>1046.0251046025105</v>
      </c>
      <c r="S22" s="48">
        <v>1.2229000000000001</v>
      </c>
    </row>
    <row r="23" spans="2:19" x14ac:dyDescent="0.2">
      <c r="B23" s="47">
        <v>43973</v>
      </c>
      <c r="C23" s="46">
        <v>1132.5</v>
      </c>
      <c r="D23" s="45">
        <v>1132.5</v>
      </c>
      <c r="E23" s="44">
        <f t="shared" si="0"/>
        <v>1132.5</v>
      </c>
      <c r="F23" s="46">
        <v>1145</v>
      </c>
      <c r="G23" s="45">
        <v>1145</v>
      </c>
      <c r="H23" s="44">
        <f t="shared" si="1"/>
        <v>1145</v>
      </c>
      <c r="I23" s="46">
        <v>1165.5</v>
      </c>
      <c r="J23" s="45">
        <v>1165.5</v>
      </c>
      <c r="K23" s="44">
        <f t="shared" si="2"/>
        <v>1165.5</v>
      </c>
      <c r="L23" s="52">
        <v>1132.5</v>
      </c>
      <c r="M23" s="51">
        <v>1.2179</v>
      </c>
      <c r="N23" s="51">
        <v>1.0906</v>
      </c>
      <c r="O23" s="50">
        <v>107.51</v>
      </c>
      <c r="P23" s="43">
        <v>929.88</v>
      </c>
      <c r="Q23" s="43">
        <v>939.83</v>
      </c>
      <c r="R23" s="49">
        <f t="shared" si="3"/>
        <v>1038.4192187786539</v>
      </c>
      <c r="S23" s="48">
        <v>1.2182999999999999</v>
      </c>
    </row>
    <row r="24" spans="2:19" x14ac:dyDescent="0.2">
      <c r="B24" s="47">
        <v>43977</v>
      </c>
      <c r="C24" s="46">
        <v>1133</v>
      </c>
      <c r="D24" s="45">
        <v>1133</v>
      </c>
      <c r="E24" s="44">
        <f t="shared" si="0"/>
        <v>1133</v>
      </c>
      <c r="F24" s="46">
        <v>1145</v>
      </c>
      <c r="G24" s="45">
        <v>1145</v>
      </c>
      <c r="H24" s="44">
        <f t="shared" si="1"/>
        <v>1145</v>
      </c>
      <c r="I24" s="46">
        <v>1164.5</v>
      </c>
      <c r="J24" s="45">
        <v>1164.5</v>
      </c>
      <c r="K24" s="44">
        <f t="shared" si="2"/>
        <v>1164.5</v>
      </c>
      <c r="L24" s="52">
        <v>1133</v>
      </c>
      <c r="M24" s="51">
        <v>1.2338</v>
      </c>
      <c r="N24" s="51">
        <v>1.0979000000000001</v>
      </c>
      <c r="O24" s="50">
        <v>107.48</v>
      </c>
      <c r="P24" s="43">
        <v>918.3</v>
      </c>
      <c r="Q24" s="43">
        <v>927.73</v>
      </c>
      <c r="R24" s="49">
        <f t="shared" si="3"/>
        <v>1031.9701247836779</v>
      </c>
      <c r="S24" s="48">
        <v>1.2342</v>
      </c>
    </row>
    <row r="25" spans="2:19" x14ac:dyDescent="0.2">
      <c r="B25" s="47">
        <v>43978</v>
      </c>
      <c r="C25" s="46">
        <v>1115</v>
      </c>
      <c r="D25" s="45">
        <v>1115</v>
      </c>
      <c r="E25" s="44">
        <f t="shared" si="0"/>
        <v>1115</v>
      </c>
      <c r="F25" s="46">
        <v>1145</v>
      </c>
      <c r="G25" s="45">
        <v>1145</v>
      </c>
      <c r="H25" s="44">
        <f t="shared" si="1"/>
        <v>1145</v>
      </c>
      <c r="I25" s="46">
        <v>1164.5</v>
      </c>
      <c r="J25" s="45">
        <v>1164.5</v>
      </c>
      <c r="K25" s="44">
        <f t="shared" si="2"/>
        <v>1164.5</v>
      </c>
      <c r="L25" s="52">
        <v>1115</v>
      </c>
      <c r="M25" s="51">
        <v>1.2312000000000001</v>
      </c>
      <c r="N25" s="51">
        <v>1.1017999999999999</v>
      </c>
      <c r="O25" s="50">
        <v>107.82</v>
      </c>
      <c r="P25" s="43">
        <v>905.62</v>
      </c>
      <c r="Q25" s="43">
        <v>929.68</v>
      </c>
      <c r="R25" s="49">
        <f t="shared" si="3"/>
        <v>1011.980395716101</v>
      </c>
      <c r="S25" s="48">
        <v>1.2316</v>
      </c>
    </row>
    <row r="26" spans="2:19" x14ac:dyDescent="0.2">
      <c r="B26" s="47">
        <v>43979</v>
      </c>
      <c r="C26" s="46">
        <v>1120</v>
      </c>
      <c r="D26" s="45">
        <v>1120</v>
      </c>
      <c r="E26" s="44">
        <f t="shared" si="0"/>
        <v>1120</v>
      </c>
      <c r="F26" s="46">
        <v>1132</v>
      </c>
      <c r="G26" s="45">
        <v>1132</v>
      </c>
      <c r="H26" s="44">
        <f t="shared" si="1"/>
        <v>1132</v>
      </c>
      <c r="I26" s="46">
        <v>1151</v>
      </c>
      <c r="J26" s="45">
        <v>1151</v>
      </c>
      <c r="K26" s="44">
        <f t="shared" si="2"/>
        <v>1151</v>
      </c>
      <c r="L26" s="52">
        <v>1120</v>
      </c>
      <c r="M26" s="51">
        <v>1.2254</v>
      </c>
      <c r="N26" s="51">
        <v>1.1007</v>
      </c>
      <c r="O26" s="50">
        <v>107.76</v>
      </c>
      <c r="P26" s="43">
        <v>913.99</v>
      </c>
      <c r="Q26" s="43">
        <v>923.48</v>
      </c>
      <c r="R26" s="49">
        <f t="shared" si="3"/>
        <v>1017.5342963568638</v>
      </c>
      <c r="S26" s="48">
        <v>1.2258</v>
      </c>
    </row>
    <row r="27" spans="2:19" x14ac:dyDescent="0.2">
      <c r="B27" s="47">
        <v>43980</v>
      </c>
      <c r="C27" s="46">
        <v>1132.5</v>
      </c>
      <c r="D27" s="45">
        <v>1132.5</v>
      </c>
      <c r="E27" s="44">
        <f t="shared" si="0"/>
        <v>1132.5</v>
      </c>
      <c r="F27" s="46">
        <v>1145</v>
      </c>
      <c r="G27" s="45">
        <v>1145</v>
      </c>
      <c r="H27" s="44">
        <f t="shared" si="1"/>
        <v>1145</v>
      </c>
      <c r="I27" s="46">
        <v>1164</v>
      </c>
      <c r="J27" s="45">
        <v>1164</v>
      </c>
      <c r="K27" s="44">
        <f t="shared" si="2"/>
        <v>1164</v>
      </c>
      <c r="L27" s="52">
        <v>1132.5</v>
      </c>
      <c r="M27" s="51">
        <v>1.2364999999999999</v>
      </c>
      <c r="N27" s="51">
        <v>1.1134999999999999</v>
      </c>
      <c r="O27" s="50">
        <v>107.16</v>
      </c>
      <c r="P27" s="43">
        <v>915.89</v>
      </c>
      <c r="Q27" s="43">
        <v>925.63</v>
      </c>
      <c r="R27" s="49">
        <f t="shared" si="3"/>
        <v>1017.0633138751684</v>
      </c>
      <c r="S27" s="48">
        <v>1.2370000000000001</v>
      </c>
    </row>
    <row r="28" spans="2:19" s="10" customFormat="1" x14ac:dyDescent="0.2">
      <c r="B28" s="42" t="s">
        <v>11</v>
      </c>
      <c r="C28" s="41">
        <f>ROUND(AVERAGE(C9:C27),2)</f>
        <v>1124.82</v>
      </c>
      <c r="D28" s="40">
        <f>ROUND(AVERAGE(D9:D27),2)</f>
        <v>1124.82</v>
      </c>
      <c r="E28" s="39">
        <f>ROUND(AVERAGE(C28:D28),2)</f>
        <v>1124.82</v>
      </c>
      <c r="F28" s="41">
        <f>ROUND(AVERAGE(F9:F27),2)</f>
        <v>1140.3699999999999</v>
      </c>
      <c r="G28" s="40">
        <f>ROUND(AVERAGE(G9:G27),2)</f>
        <v>1140.3699999999999</v>
      </c>
      <c r="H28" s="39">
        <f>ROUND(AVERAGE(F28:G28),2)</f>
        <v>1140.3699999999999</v>
      </c>
      <c r="I28" s="41">
        <f>ROUND(AVERAGE(I9:I27),2)</f>
        <v>1162.3399999999999</v>
      </c>
      <c r="J28" s="40">
        <f>ROUND(AVERAGE(J9:J27),2)</f>
        <v>1162.3399999999999</v>
      </c>
      <c r="K28" s="39">
        <f>ROUND(AVERAGE(I28:J28),2)</f>
        <v>1162.3399999999999</v>
      </c>
      <c r="L28" s="38">
        <f>ROUND(AVERAGE(L9:L27),2)</f>
        <v>1124.82</v>
      </c>
      <c r="M28" s="37">
        <f>ROUND(AVERAGE(M9:M27),4)</f>
        <v>1.2306999999999999</v>
      </c>
      <c r="N28" s="36">
        <f>ROUND(AVERAGE(N9:N27),4)</f>
        <v>1.0908</v>
      </c>
      <c r="O28" s="175">
        <f>ROUND(AVERAGE(O9:O27),2)</f>
        <v>107.2</v>
      </c>
      <c r="P28" s="35">
        <f>AVERAGE(P9:P27)</f>
        <v>914.06736842105261</v>
      </c>
      <c r="Q28" s="35">
        <f>AVERAGE(Q9:Q27)</f>
        <v>926.34789473684214</v>
      </c>
      <c r="R28" s="35">
        <f>AVERAGE(R9:R27)</f>
        <v>1031.2138848684715</v>
      </c>
      <c r="S28" s="34">
        <f>AVERAGE(S9:S27)</f>
        <v>1.2311368421052631</v>
      </c>
    </row>
    <row r="29" spans="2:19" s="5" customFormat="1" x14ac:dyDescent="0.2">
      <c r="B29" s="33" t="s">
        <v>12</v>
      </c>
      <c r="C29" s="32">
        <f t="shared" ref="C29:S29" si="4">MAX(C9:C27)</f>
        <v>1150</v>
      </c>
      <c r="D29" s="31">
        <f t="shared" si="4"/>
        <v>1150</v>
      </c>
      <c r="E29" s="30">
        <f t="shared" si="4"/>
        <v>1150</v>
      </c>
      <c r="F29" s="32">
        <f t="shared" si="4"/>
        <v>1160</v>
      </c>
      <c r="G29" s="31">
        <f t="shared" si="4"/>
        <v>1160</v>
      </c>
      <c r="H29" s="30">
        <f t="shared" si="4"/>
        <v>1160</v>
      </c>
      <c r="I29" s="32">
        <f t="shared" si="4"/>
        <v>1181</v>
      </c>
      <c r="J29" s="31">
        <f t="shared" si="4"/>
        <v>1181</v>
      </c>
      <c r="K29" s="30">
        <f t="shared" si="4"/>
        <v>1181</v>
      </c>
      <c r="L29" s="29">
        <f t="shared" si="4"/>
        <v>1150</v>
      </c>
      <c r="M29" s="28">
        <f t="shared" si="4"/>
        <v>1.2534000000000001</v>
      </c>
      <c r="N29" s="27">
        <f t="shared" si="4"/>
        <v>1.1134999999999999</v>
      </c>
      <c r="O29" s="26">
        <f t="shared" si="4"/>
        <v>107.82</v>
      </c>
      <c r="P29" s="25">
        <f t="shared" si="4"/>
        <v>940.7</v>
      </c>
      <c r="Q29" s="25">
        <f t="shared" si="4"/>
        <v>947.56</v>
      </c>
      <c r="R29" s="25">
        <f t="shared" si="4"/>
        <v>1047.5842542697962</v>
      </c>
      <c r="S29" s="24">
        <f t="shared" si="4"/>
        <v>1.2538</v>
      </c>
    </row>
    <row r="30" spans="2:19" s="5" customFormat="1" ht="13.5" thickBot="1" x14ac:dyDescent="0.25">
      <c r="B30" s="23" t="s">
        <v>13</v>
      </c>
      <c r="C30" s="22">
        <f t="shared" ref="C30:S30" si="5">MIN(C9:C27)</f>
        <v>1110</v>
      </c>
      <c r="D30" s="21">
        <f t="shared" si="5"/>
        <v>1110</v>
      </c>
      <c r="E30" s="20">
        <f t="shared" si="5"/>
        <v>1110</v>
      </c>
      <c r="F30" s="22">
        <f t="shared" si="5"/>
        <v>1130</v>
      </c>
      <c r="G30" s="21">
        <f t="shared" si="5"/>
        <v>1130</v>
      </c>
      <c r="H30" s="20">
        <f t="shared" si="5"/>
        <v>1130</v>
      </c>
      <c r="I30" s="22">
        <f t="shared" si="5"/>
        <v>1151</v>
      </c>
      <c r="J30" s="21">
        <f t="shared" si="5"/>
        <v>1151</v>
      </c>
      <c r="K30" s="20">
        <f t="shared" si="5"/>
        <v>1151</v>
      </c>
      <c r="L30" s="19">
        <f t="shared" si="5"/>
        <v>1110</v>
      </c>
      <c r="M30" s="18">
        <f t="shared" si="5"/>
        <v>1.2153</v>
      </c>
      <c r="N30" s="17">
        <f t="shared" si="5"/>
        <v>1.079</v>
      </c>
      <c r="O30" s="16">
        <f t="shared" si="5"/>
        <v>106.12</v>
      </c>
      <c r="P30" s="15">
        <f t="shared" si="5"/>
        <v>891.64</v>
      </c>
      <c r="Q30" s="15">
        <f t="shared" si="5"/>
        <v>907.34</v>
      </c>
      <c r="R30" s="15">
        <f t="shared" si="5"/>
        <v>1011.980395716101</v>
      </c>
      <c r="S30" s="14">
        <f t="shared" si="5"/>
        <v>1.2157</v>
      </c>
    </row>
    <row r="32" spans="2:19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43952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43952</v>
      </c>
      <c r="C9" s="46">
        <v>1440</v>
      </c>
      <c r="D9" s="45">
        <v>1440</v>
      </c>
      <c r="E9" s="44">
        <f t="shared" ref="E9:E27" si="0">AVERAGE(C9:D9)</f>
        <v>1440</v>
      </c>
      <c r="F9" s="46">
        <v>1477.5</v>
      </c>
      <c r="G9" s="45">
        <v>1477.5</v>
      </c>
      <c r="H9" s="44">
        <f t="shared" ref="H9:H27" si="1">AVERAGE(F9:G9)</f>
        <v>1477.5</v>
      </c>
      <c r="I9" s="46">
        <v>1600.5</v>
      </c>
      <c r="J9" s="45">
        <v>1600.5</v>
      </c>
      <c r="K9" s="44">
        <f t="shared" ref="K9:K27" si="2">AVERAGE(I9:J9)</f>
        <v>1600.5</v>
      </c>
      <c r="L9" s="46">
        <v>1685.5</v>
      </c>
      <c r="M9" s="45">
        <v>1685.5</v>
      </c>
      <c r="N9" s="44">
        <f t="shared" ref="N9:N27" si="3">AVERAGE(L9:M9)</f>
        <v>1685.5</v>
      </c>
      <c r="O9" s="46">
        <v>1769.5</v>
      </c>
      <c r="P9" s="45">
        <v>1769.5</v>
      </c>
      <c r="Q9" s="44">
        <f t="shared" ref="Q9:Q27" si="4">AVERAGE(O9:P9)</f>
        <v>1769.5</v>
      </c>
      <c r="R9" s="52">
        <v>1440</v>
      </c>
      <c r="S9" s="51">
        <v>1.2534000000000001</v>
      </c>
      <c r="T9" s="53">
        <v>1.0973999999999999</v>
      </c>
      <c r="U9" s="50">
        <v>106.7</v>
      </c>
      <c r="V9" s="43">
        <v>1148.8800000000001</v>
      </c>
      <c r="W9" s="43">
        <v>1178.42</v>
      </c>
      <c r="X9" s="49">
        <f t="shared" ref="X9:X27" si="5">R9/T9</f>
        <v>1312.1924548933844</v>
      </c>
      <c r="Y9" s="48">
        <v>1.2538</v>
      </c>
    </row>
    <row r="10" spans="1:25" x14ac:dyDescent="0.2">
      <c r="B10" s="47">
        <v>43955</v>
      </c>
      <c r="C10" s="46">
        <v>1437</v>
      </c>
      <c r="D10" s="45">
        <v>1437</v>
      </c>
      <c r="E10" s="44">
        <f t="shared" si="0"/>
        <v>1437</v>
      </c>
      <c r="F10" s="46">
        <v>1477</v>
      </c>
      <c r="G10" s="45">
        <v>1477</v>
      </c>
      <c r="H10" s="44">
        <f t="shared" si="1"/>
        <v>1477</v>
      </c>
      <c r="I10" s="46">
        <v>1601</v>
      </c>
      <c r="J10" s="45">
        <v>1601</v>
      </c>
      <c r="K10" s="44">
        <f t="shared" si="2"/>
        <v>1601</v>
      </c>
      <c r="L10" s="46">
        <v>1686</v>
      </c>
      <c r="M10" s="45">
        <v>1686</v>
      </c>
      <c r="N10" s="44">
        <f t="shared" si="3"/>
        <v>1686</v>
      </c>
      <c r="O10" s="46">
        <v>1769</v>
      </c>
      <c r="P10" s="45">
        <v>1769</v>
      </c>
      <c r="Q10" s="44">
        <f t="shared" si="4"/>
        <v>1769</v>
      </c>
      <c r="R10" s="52">
        <v>1437</v>
      </c>
      <c r="S10" s="51">
        <v>1.244</v>
      </c>
      <c r="T10" s="51">
        <v>1.0939000000000001</v>
      </c>
      <c r="U10" s="50">
        <v>106.81</v>
      </c>
      <c r="V10" s="43">
        <v>1155.1400000000001</v>
      </c>
      <c r="W10" s="43">
        <v>1186.82</v>
      </c>
      <c r="X10" s="49">
        <f t="shared" si="5"/>
        <v>1313.6484139318036</v>
      </c>
      <c r="Y10" s="48">
        <v>1.2444999999999999</v>
      </c>
    </row>
    <row r="11" spans="1:25" x14ac:dyDescent="0.2">
      <c r="B11" s="47">
        <v>43956</v>
      </c>
      <c r="C11" s="46">
        <v>1438.5</v>
      </c>
      <c r="D11" s="45">
        <v>1438.5</v>
      </c>
      <c r="E11" s="44">
        <f t="shared" si="0"/>
        <v>1438.5</v>
      </c>
      <c r="F11" s="46">
        <v>1479.5</v>
      </c>
      <c r="G11" s="45">
        <v>1479.5</v>
      </c>
      <c r="H11" s="44">
        <f t="shared" si="1"/>
        <v>1479.5</v>
      </c>
      <c r="I11" s="46">
        <v>1604.5</v>
      </c>
      <c r="J11" s="45">
        <v>1604.5</v>
      </c>
      <c r="K11" s="44">
        <f t="shared" si="2"/>
        <v>1604.5</v>
      </c>
      <c r="L11" s="46">
        <v>1690.5</v>
      </c>
      <c r="M11" s="45">
        <v>1690.5</v>
      </c>
      <c r="N11" s="44">
        <f t="shared" si="3"/>
        <v>1690.5</v>
      </c>
      <c r="O11" s="46">
        <v>1774.5</v>
      </c>
      <c r="P11" s="45">
        <v>1774.5</v>
      </c>
      <c r="Q11" s="44">
        <f t="shared" si="4"/>
        <v>1774.5</v>
      </c>
      <c r="R11" s="52">
        <v>1438.5</v>
      </c>
      <c r="S11" s="51">
        <v>1.2448999999999999</v>
      </c>
      <c r="T11" s="51">
        <v>1.0831999999999999</v>
      </c>
      <c r="U11" s="50">
        <v>106.74</v>
      </c>
      <c r="V11" s="43">
        <v>1155.51</v>
      </c>
      <c r="W11" s="43">
        <v>1187.97</v>
      </c>
      <c r="X11" s="49">
        <f t="shared" si="5"/>
        <v>1328.009601181684</v>
      </c>
      <c r="Y11" s="48">
        <v>1.2454000000000001</v>
      </c>
    </row>
    <row r="12" spans="1:25" x14ac:dyDescent="0.2">
      <c r="B12" s="47">
        <v>43957</v>
      </c>
      <c r="C12" s="46">
        <v>1443</v>
      </c>
      <c r="D12" s="45">
        <v>1443</v>
      </c>
      <c r="E12" s="44">
        <f t="shared" si="0"/>
        <v>1443</v>
      </c>
      <c r="F12" s="46">
        <v>1481</v>
      </c>
      <c r="G12" s="45">
        <v>1481</v>
      </c>
      <c r="H12" s="44">
        <f t="shared" si="1"/>
        <v>1481</v>
      </c>
      <c r="I12" s="46">
        <v>1609.5</v>
      </c>
      <c r="J12" s="45">
        <v>1609.5</v>
      </c>
      <c r="K12" s="44">
        <f t="shared" si="2"/>
        <v>1609.5</v>
      </c>
      <c r="L12" s="46">
        <v>1696.5</v>
      </c>
      <c r="M12" s="45">
        <v>1696.5</v>
      </c>
      <c r="N12" s="44">
        <f t="shared" si="3"/>
        <v>1696.5</v>
      </c>
      <c r="O12" s="46">
        <v>1780.5</v>
      </c>
      <c r="P12" s="45">
        <v>1780.5</v>
      </c>
      <c r="Q12" s="44">
        <f t="shared" si="4"/>
        <v>1780.5</v>
      </c>
      <c r="R12" s="52">
        <v>1443</v>
      </c>
      <c r="S12" s="51">
        <v>1.2388999999999999</v>
      </c>
      <c r="T12" s="51">
        <v>1.0813999999999999</v>
      </c>
      <c r="U12" s="50">
        <v>106.12</v>
      </c>
      <c r="V12" s="43">
        <v>1164.74</v>
      </c>
      <c r="W12" s="43">
        <v>1194.93</v>
      </c>
      <c r="X12" s="49">
        <f t="shared" si="5"/>
        <v>1334.3813574995377</v>
      </c>
      <c r="Y12" s="48">
        <v>1.2394000000000001</v>
      </c>
    </row>
    <row r="13" spans="1:25" x14ac:dyDescent="0.2">
      <c r="B13" s="47">
        <v>43958</v>
      </c>
      <c r="C13" s="46">
        <v>1450</v>
      </c>
      <c r="D13" s="45">
        <v>1450</v>
      </c>
      <c r="E13" s="44">
        <f t="shared" si="0"/>
        <v>1450</v>
      </c>
      <c r="F13" s="46">
        <v>1486.5</v>
      </c>
      <c r="G13" s="45">
        <v>1486.5</v>
      </c>
      <c r="H13" s="44">
        <f t="shared" si="1"/>
        <v>1486.5</v>
      </c>
      <c r="I13" s="46">
        <v>1613.5</v>
      </c>
      <c r="J13" s="45">
        <v>1613.5</v>
      </c>
      <c r="K13" s="44">
        <f t="shared" si="2"/>
        <v>1613.5</v>
      </c>
      <c r="L13" s="46">
        <v>1700</v>
      </c>
      <c r="M13" s="45">
        <v>1700</v>
      </c>
      <c r="N13" s="44">
        <f t="shared" si="3"/>
        <v>1700</v>
      </c>
      <c r="O13" s="46">
        <v>1784</v>
      </c>
      <c r="P13" s="45">
        <v>1784</v>
      </c>
      <c r="Q13" s="44">
        <f t="shared" si="4"/>
        <v>1784</v>
      </c>
      <c r="R13" s="52">
        <v>1450</v>
      </c>
      <c r="S13" s="51">
        <v>1.2346999999999999</v>
      </c>
      <c r="T13" s="51">
        <v>1.079</v>
      </c>
      <c r="U13" s="50">
        <v>106.6</v>
      </c>
      <c r="V13" s="43">
        <v>1174.3699999999999</v>
      </c>
      <c r="W13" s="43">
        <v>1203.45</v>
      </c>
      <c r="X13" s="49">
        <f t="shared" si="5"/>
        <v>1343.8368860055607</v>
      </c>
      <c r="Y13" s="48">
        <v>1.2352000000000001</v>
      </c>
    </row>
    <row r="14" spans="1:25" x14ac:dyDescent="0.2">
      <c r="B14" s="47">
        <v>43962</v>
      </c>
      <c r="C14" s="46">
        <v>1454.5</v>
      </c>
      <c r="D14" s="45">
        <v>1454.5</v>
      </c>
      <c r="E14" s="44">
        <f t="shared" si="0"/>
        <v>1454.5</v>
      </c>
      <c r="F14" s="46">
        <v>1490.5</v>
      </c>
      <c r="G14" s="45">
        <v>1490.5</v>
      </c>
      <c r="H14" s="44">
        <f t="shared" si="1"/>
        <v>1490.5</v>
      </c>
      <c r="I14" s="46">
        <v>1616</v>
      </c>
      <c r="J14" s="45">
        <v>1616</v>
      </c>
      <c r="K14" s="44">
        <f t="shared" si="2"/>
        <v>1616</v>
      </c>
      <c r="L14" s="46">
        <v>1702</v>
      </c>
      <c r="M14" s="45">
        <v>1702</v>
      </c>
      <c r="N14" s="44">
        <f t="shared" si="3"/>
        <v>1702</v>
      </c>
      <c r="O14" s="46">
        <v>1786</v>
      </c>
      <c r="P14" s="45">
        <v>1786</v>
      </c>
      <c r="Q14" s="44">
        <f t="shared" si="4"/>
        <v>1786</v>
      </c>
      <c r="R14" s="52">
        <v>1454.5</v>
      </c>
      <c r="S14" s="51">
        <v>1.2292000000000001</v>
      </c>
      <c r="T14" s="51">
        <v>1.0813999999999999</v>
      </c>
      <c r="U14" s="50">
        <v>107.31</v>
      </c>
      <c r="V14" s="43">
        <v>1183.29</v>
      </c>
      <c r="W14" s="43">
        <v>1212.08</v>
      </c>
      <c r="X14" s="49">
        <f t="shared" si="5"/>
        <v>1345.0157203624931</v>
      </c>
      <c r="Y14" s="48">
        <v>1.2297</v>
      </c>
    </row>
    <row r="15" spans="1:25" x14ac:dyDescent="0.2">
      <c r="B15" s="47">
        <v>43963</v>
      </c>
      <c r="C15" s="46">
        <v>1443</v>
      </c>
      <c r="D15" s="45">
        <v>1443</v>
      </c>
      <c r="E15" s="44">
        <f t="shared" si="0"/>
        <v>1443</v>
      </c>
      <c r="F15" s="46">
        <v>1482</v>
      </c>
      <c r="G15" s="45">
        <v>1482</v>
      </c>
      <c r="H15" s="44">
        <f t="shared" si="1"/>
        <v>1482</v>
      </c>
      <c r="I15" s="46">
        <v>1608</v>
      </c>
      <c r="J15" s="45">
        <v>1608</v>
      </c>
      <c r="K15" s="44">
        <f t="shared" si="2"/>
        <v>1608</v>
      </c>
      <c r="L15" s="46">
        <v>1694</v>
      </c>
      <c r="M15" s="45">
        <v>1694</v>
      </c>
      <c r="N15" s="44">
        <f t="shared" si="3"/>
        <v>1694</v>
      </c>
      <c r="O15" s="46">
        <v>1778</v>
      </c>
      <c r="P15" s="45">
        <v>1778</v>
      </c>
      <c r="Q15" s="44">
        <f t="shared" si="4"/>
        <v>1778</v>
      </c>
      <c r="R15" s="52">
        <v>1443</v>
      </c>
      <c r="S15" s="51">
        <v>1.2371000000000001</v>
      </c>
      <c r="T15" s="51">
        <v>1.0849</v>
      </c>
      <c r="U15" s="50">
        <v>107.34</v>
      </c>
      <c r="V15" s="43">
        <v>1166.44</v>
      </c>
      <c r="W15" s="43">
        <v>1197.48</v>
      </c>
      <c r="X15" s="49">
        <f t="shared" si="5"/>
        <v>1330.0765047469813</v>
      </c>
      <c r="Y15" s="48">
        <v>1.2376</v>
      </c>
    </row>
    <row r="16" spans="1:25" x14ac:dyDescent="0.2">
      <c r="B16" s="47">
        <v>43964</v>
      </c>
      <c r="C16" s="46">
        <v>1439</v>
      </c>
      <c r="D16" s="45">
        <v>1439</v>
      </c>
      <c r="E16" s="44">
        <f t="shared" si="0"/>
        <v>1439</v>
      </c>
      <c r="F16" s="46">
        <v>1476.5</v>
      </c>
      <c r="G16" s="45">
        <v>1476.5</v>
      </c>
      <c r="H16" s="44">
        <f t="shared" si="1"/>
        <v>1476.5</v>
      </c>
      <c r="I16" s="46">
        <v>1604.5</v>
      </c>
      <c r="J16" s="45">
        <v>1604.5</v>
      </c>
      <c r="K16" s="44">
        <f t="shared" si="2"/>
        <v>1604.5</v>
      </c>
      <c r="L16" s="46">
        <v>1691.5</v>
      </c>
      <c r="M16" s="45">
        <v>1691.5</v>
      </c>
      <c r="N16" s="44">
        <f t="shared" si="3"/>
        <v>1691.5</v>
      </c>
      <c r="O16" s="46">
        <v>1775.5</v>
      </c>
      <c r="P16" s="45">
        <v>1775.5</v>
      </c>
      <c r="Q16" s="44">
        <f t="shared" si="4"/>
        <v>1775.5</v>
      </c>
      <c r="R16" s="52">
        <v>1439</v>
      </c>
      <c r="S16" s="51">
        <v>1.2322</v>
      </c>
      <c r="T16" s="51">
        <v>1.0876999999999999</v>
      </c>
      <c r="U16" s="50">
        <v>106.96</v>
      </c>
      <c r="V16" s="43">
        <v>1167.83</v>
      </c>
      <c r="W16" s="43">
        <v>1197.78</v>
      </c>
      <c r="X16" s="49">
        <f t="shared" si="5"/>
        <v>1322.9750850418316</v>
      </c>
      <c r="Y16" s="48">
        <v>1.2326999999999999</v>
      </c>
    </row>
    <row r="17" spans="2:25" x14ac:dyDescent="0.2">
      <c r="B17" s="47">
        <v>43965</v>
      </c>
      <c r="C17" s="46">
        <v>1433.5</v>
      </c>
      <c r="D17" s="45">
        <v>1433.5</v>
      </c>
      <c r="E17" s="44">
        <f t="shared" si="0"/>
        <v>1433.5</v>
      </c>
      <c r="F17" s="46">
        <v>1469</v>
      </c>
      <c r="G17" s="45">
        <v>1469</v>
      </c>
      <c r="H17" s="44">
        <f t="shared" si="1"/>
        <v>1469</v>
      </c>
      <c r="I17" s="46">
        <v>1597.5</v>
      </c>
      <c r="J17" s="45">
        <v>1597.5</v>
      </c>
      <c r="K17" s="44">
        <f t="shared" si="2"/>
        <v>1597.5</v>
      </c>
      <c r="L17" s="46">
        <v>1685</v>
      </c>
      <c r="M17" s="45">
        <v>1685</v>
      </c>
      <c r="N17" s="44">
        <f t="shared" si="3"/>
        <v>1685</v>
      </c>
      <c r="O17" s="46">
        <v>1770</v>
      </c>
      <c r="P17" s="45">
        <v>1770</v>
      </c>
      <c r="Q17" s="44">
        <f t="shared" si="4"/>
        <v>1770</v>
      </c>
      <c r="R17" s="52">
        <v>1433.5</v>
      </c>
      <c r="S17" s="51">
        <v>1.2199</v>
      </c>
      <c r="T17" s="51">
        <v>1.079</v>
      </c>
      <c r="U17" s="50">
        <v>107.08</v>
      </c>
      <c r="V17" s="43">
        <v>1175.0999999999999</v>
      </c>
      <c r="W17" s="43">
        <v>1203.8</v>
      </c>
      <c r="X17" s="49">
        <f t="shared" si="5"/>
        <v>1328.5449490268768</v>
      </c>
      <c r="Y17" s="48">
        <v>1.2202999999999999</v>
      </c>
    </row>
    <row r="18" spans="2:25" x14ac:dyDescent="0.2">
      <c r="B18" s="47">
        <v>43966</v>
      </c>
      <c r="C18" s="46">
        <v>1432.5</v>
      </c>
      <c r="D18" s="45">
        <v>1432.5</v>
      </c>
      <c r="E18" s="44">
        <f t="shared" si="0"/>
        <v>1432.5</v>
      </c>
      <c r="F18" s="46">
        <v>1467</v>
      </c>
      <c r="G18" s="45">
        <v>1467</v>
      </c>
      <c r="H18" s="44">
        <f t="shared" si="1"/>
        <v>1467</v>
      </c>
      <c r="I18" s="46">
        <v>1596</v>
      </c>
      <c r="J18" s="45">
        <v>1596</v>
      </c>
      <c r="K18" s="44">
        <f t="shared" si="2"/>
        <v>1596</v>
      </c>
      <c r="L18" s="46">
        <v>1685</v>
      </c>
      <c r="M18" s="45">
        <v>1685</v>
      </c>
      <c r="N18" s="44">
        <f t="shared" si="3"/>
        <v>1685</v>
      </c>
      <c r="O18" s="46">
        <v>1772</v>
      </c>
      <c r="P18" s="45">
        <v>1772</v>
      </c>
      <c r="Q18" s="44">
        <f t="shared" si="4"/>
        <v>1772</v>
      </c>
      <c r="R18" s="52">
        <v>1432.5</v>
      </c>
      <c r="S18" s="51">
        <v>1.216</v>
      </c>
      <c r="T18" s="51">
        <v>1.08</v>
      </c>
      <c r="U18" s="50">
        <v>107</v>
      </c>
      <c r="V18" s="43">
        <v>1178.04</v>
      </c>
      <c r="W18" s="43">
        <v>1206.02</v>
      </c>
      <c r="X18" s="49">
        <f t="shared" si="5"/>
        <v>1326.3888888888889</v>
      </c>
      <c r="Y18" s="48">
        <v>1.2163999999999999</v>
      </c>
    </row>
    <row r="19" spans="2:25" x14ac:dyDescent="0.2">
      <c r="B19" s="47">
        <v>43969</v>
      </c>
      <c r="C19" s="46">
        <v>1441.5</v>
      </c>
      <c r="D19" s="45">
        <v>1441.5</v>
      </c>
      <c r="E19" s="44">
        <f t="shared" si="0"/>
        <v>1441.5</v>
      </c>
      <c r="F19" s="46">
        <v>1476</v>
      </c>
      <c r="G19" s="45">
        <v>1476</v>
      </c>
      <c r="H19" s="44">
        <f t="shared" si="1"/>
        <v>1476</v>
      </c>
      <c r="I19" s="46">
        <v>1603.5</v>
      </c>
      <c r="J19" s="45">
        <v>1603.5</v>
      </c>
      <c r="K19" s="44">
        <f t="shared" si="2"/>
        <v>1603.5</v>
      </c>
      <c r="L19" s="46">
        <v>1693.5</v>
      </c>
      <c r="M19" s="45">
        <v>1693.5</v>
      </c>
      <c r="N19" s="44">
        <f t="shared" si="3"/>
        <v>1693.5</v>
      </c>
      <c r="O19" s="46">
        <v>1782</v>
      </c>
      <c r="P19" s="45">
        <v>1782</v>
      </c>
      <c r="Q19" s="44">
        <f t="shared" si="4"/>
        <v>1782</v>
      </c>
      <c r="R19" s="52">
        <v>1441.5</v>
      </c>
      <c r="S19" s="51">
        <v>1.2153</v>
      </c>
      <c r="T19" s="51">
        <v>1.0821000000000001</v>
      </c>
      <c r="U19" s="50">
        <v>107.28</v>
      </c>
      <c r="V19" s="43">
        <v>1186.1300000000001</v>
      </c>
      <c r="W19" s="43">
        <v>1214.1199999999999</v>
      </c>
      <c r="X19" s="49">
        <f t="shared" si="5"/>
        <v>1332.1319656224009</v>
      </c>
      <c r="Y19" s="48">
        <v>1.2157</v>
      </c>
    </row>
    <row r="20" spans="2:25" x14ac:dyDescent="0.2">
      <c r="B20" s="47">
        <v>43970</v>
      </c>
      <c r="C20" s="46">
        <v>1464</v>
      </c>
      <c r="D20" s="45">
        <v>1464</v>
      </c>
      <c r="E20" s="44">
        <f t="shared" si="0"/>
        <v>1464</v>
      </c>
      <c r="F20" s="46">
        <v>1498</v>
      </c>
      <c r="G20" s="45">
        <v>1498</v>
      </c>
      <c r="H20" s="44">
        <f t="shared" si="1"/>
        <v>1498</v>
      </c>
      <c r="I20" s="46">
        <v>1623.5</v>
      </c>
      <c r="J20" s="45">
        <v>1623.5</v>
      </c>
      <c r="K20" s="44">
        <f t="shared" si="2"/>
        <v>1623.5</v>
      </c>
      <c r="L20" s="46">
        <v>1711.5</v>
      </c>
      <c r="M20" s="45">
        <v>1711.5</v>
      </c>
      <c r="N20" s="44">
        <f t="shared" si="3"/>
        <v>1711.5</v>
      </c>
      <c r="O20" s="46">
        <v>1800.5</v>
      </c>
      <c r="P20" s="45">
        <v>1800.5</v>
      </c>
      <c r="Q20" s="44">
        <f t="shared" si="4"/>
        <v>1800.5</v>
      </c>
      <c r="R20" s="52">
        <v>1464</v>
      </c>
      <c r="S20" s="51">
        <v>1.2237</v>
      </c>
      <c r="T20" s="51">
        <v>1.0949</v>
      </c>
      <c r="U20" s="50">
        <v>107.75</v>
      </c>
      <c r="V20" s="43">
        <v>1196.3699999999999</v>
      </c>
      <c r="W20" s="43">
        <v>1223.6600000000001</v>
      </c>
      <c r="X20" s="49">
        <f t="shared" si="5"/>
        <v>1337.1084117270984</v>
      </c>
      <c r="Y20" s="48">
        <v>1.2242</v>
      </c>
    </row>
    <row r="21" spans="2:25" x14ac:dyDescent="0.2">
      <c r="B21" s="47">
        <v>43971</v>
      </c>
      <c r="C21" s="46">
        <v>1454</v>
      </c>
      <c r="D21" s="45">
        <v>1454</v>
      </c>
      <c r="E21" s="44">
        <f t="shared" si="0"/>
        <v>1454</v>
      </c>
      <c r="F21" s="46">
        <v>1486.5</v>
      </c>
      <c r="G21" s="45">
        <v>1486.5</v>
      </c>
      <c r="H21" s="44">
        <f t="shared" si="1"/>
        <v>1486.5</v>
      </c>
      <c r="I21" s="46">
        <v>1610.5</v>
      </c>
      <c r="J21" s="45">
        <v>1610.5</v>
      </c>
      <c r="K21" s="44">
        <f t="shared" si="2"/>
        <v>1610.5</v>
      </c>
      <c r="L21" s="46">
        <v>1697.5</v>
      </c>
      <c r="M21" s="45">
        <v>1697.5</v>
      </c>
      <c r="N21" s="44">
        <f t="shared" si="3"/>
        <v>1697.5</v>
      </c>
      <c r="O21" s="46">
        <v>1786.5</v>
      </c>
      <c r="P21" s="45">
        <v>1786.5</v>
      </c>
      <c r="Q21" s="44">
        <f t="shared" si="4"/>
        <v>1786.5</v>
      </c>
      <c r="R21" s="52">
        <v>1454</v>
      </c>
      <c r="S21" s="51">
        <v>1.2263999999999999</v>
      </c>
      <c r="T21" s="51">
        <v>1.0964</v>
      </c>
      <c r="U21" s="50">
        <v>107.61</v>
      </c>
      <c r="V21" s="43">
        <v>1185.58</v>
      </c>
      <c r="W21" s="43">
        <v>1211.5899999999999</v>
      </c>
      <c r="X21" s="49">
        <f t="shared" si="5"/>
        <v>1326.1583363735863</v>
      </c>
      <c r="Y21" s="48">
        <v>1.2269000000000001</v>
      </c>
    </row>
    <row r="22" spans="2:25" x14ac:dyDescent="0.2">
      <c r="B22" s="47">
        <v>43972</v>
      </c>
      <c r="C22" s="46">
        <v>1487</v>
      </c>
      <c r="D22" s="45">
        <v>1487</v>
      </c>
      <c r="E22" s="44">
        <f t="shared" si="0"/>
        <v>1487</v>
      </c>
      <c r="F22" s="46">
        <v>1514.5</v>
      </c>
      <c r="G22" s="45">
        <v>1514.5</v>
      </c>
      <c r="H22" s="44">
        <f t="shared" si="1"/>
        <v>1514.5</v>
      </c>
      <c r="I22" s="46">
        <v>1634.5</v>
      </c>
      <c r="J22" s="45">
        <v>1634.5</v>
      </c>
      <c r="K22" s="44">
        <f t="shared" si="2"/>
        <v>1634.5</v>
      </c>
      <c r="L22" s="46">
        <v>1718.5</v>
      </c>
      <c r="M22" s="45">
        <v>1718.5</v>
      </c>
      <c r="N22" s="44">
        <f t="shared" si="3"/>
        <v>1718.5</v>
      </c>
      <c r="O22" s="46">
        <v>1806.5</v>
      </c>
      <c r="P22" s="45">
        <v>1806.5</v>
      </c>
      <c r="Q22" s="44">
        <f t="shared" si="4"/>
        <v>1806.5</v>
      </c>
      <c r="R22" s="52">
        <v>1487</v>
      </c>
      <c r="S22" s="51">
        <v>1.2224999999999999</v>
      </c>
      <c r="T22" s="51">
        <v>1.0993999999999999</v>
      </c>
      <c r="U22" s="50">
        <v>107.7</v>
      </c>
      <c r="V22" s="43">
        <v>1216.3599999999999</v>
      </c>
      <c r="W22" s="43">
        <v>1238.45</v>
      </c>
      <c r="X22" s="49">
        <f t="shared" si="5"/>
        <v>1352.55593960342</v>
      </c>
      <c r="Y22" s="48">
        <v>1.2229000000000001</v>
      </c>
    </row>
    <row r="23" spans="2:25" x14ac:dyDescent="0.2">
      <c r="B23" s="47">
        <v>43973</v>
      </c>
      <c r="C23" s="46">
        <v>1473</v>
      </c>
      <c r="D23" s="45">
        <v>1473</v>
      </c>
      <c r="E23" s="44">
        <f t="shared" si="0"/>
        <v>1473</v>
      </c>
      <c r="F23" s="46">
        <v>1498.5</v>
      </c>
      <c r="G23" s="45">
        <v>1498.5</v>
      </c>
      <c r="H23" s="44">
        <f t="shared" si="1"/>
        <v>1498.5</v>
      </c>
      <c r="I23" s="46">
        <v>1616</v>
      </c>
      <c r="J23" s="45">
        <v>1616</v>
      </c>
      <c r="K23" s="44">
        <f t="shared" si="2"/>
        <v>1616</v>
      </c>
      <c r="L23" s="46">
        <v>1697.5</v>
      </c>
      <c r="M23" s="45">
        <v>1697.5</v>
      </c>
      <c r="N23" s="44">
        <f t="shared" si="3"/>
        <v>1697.5</v>
      </c>
      <c r="O23" s="46">
        <v>1785.5</v>
      </c>
      <c r="P23" s="45">
        <v>1785.5</v>
      </c>
      <c r="Q23" s="44">
        <f t="shared" si="4"/>
        <v>1785.5</v>
      </c>
      <c r="R23" s="52">
        <v>1473</v>
      </c>
      <c r="S23" s="51">
        <v>1.2179</v>
      </c>
      <c r="T23" s="51">
        <v>1.0906</v>
      </c>
      <c r="U23" s="50">
        <v>107.51</v>
      </c>
      <c r="V23" s="43">
        <v>1209.46</v>
      </c>
      <c r="W23" s="43">
        <v>1229.99</v>
      </c>
      <c r="X23" s="49">
        <f t="shared" si="5"/>
        <v>1350.6326792591235</v>
      </c>
      <c r="Y23" s="48">
        <v>1.2182999999999999</v>
      </c>
    </row>
    <row r="24" spans="2:25" x14ac:dyDescent="0.2">
      <c r="B24" s="47">
        <v>43977</v>
      </c>
      <c r="C24" s="46">
        <v>1486</v>
      </c>
      <c r="D24" s="45">
        <v>1486</v>
      </c>
      <c r="E24" s="44">
        <f t="shared" si="0"/>
        <v>1486</v>
      </c>
      <c r="F24" s="46">
        <v>1513</v>
      </c>
      <c r="G24" s="45">
        <v>1513</v>
      </c>
      <c r="H24" s="44">
        <f t="shared" si="1"/>
        <v>1513</v>
      </c>
      <c r="I24" s="46">
        <v>1629.5</v>
      </c>
      <c r="J24" s="45">
        <v>1629.5</v>
      </c>
      <c r="K24" s="44">
        <f t="shared" si="2"/>
        <v>1629.5</v>
      </c>
      <c r="L24" s="46">
        <v>1712</v>
      </c>
      <c r="M24" s="45">
        <v>1712</v>
      </c>
      <c r="N24" s="44">
        <f t="shared" si="3"/>
        <v>1712</v>
      </c>
      <c r="O24" s="46">
        <v>1800</v>
      </c>
      <c r="P24" s="45">
        <v>1800</v>
      </c>
      <c r="Q24" s="44">
        <f t="shared" si="4"/>
        <v>1800</v>
      </c>
      <c r="R24" s="52">
        <v>1486</v>
      </c>
      <c r="S24" s="51">
        <v>1.2338</v>
      </c>
      <c r="T24" s="51">
        <v>1.0979000000000001</v>
      </c>
      <c r="U24" s="50">
        <v>107.48</v>
      </c>
      <c r="V24" s="43">
        <v>1204.4100000000001</v>
      </c>
      <c r="W24" s="43">
        <v>1225.9000000000001</v>
      </c>
      <c r="X24" s="49">
        <f t="shared" si="5"/>
        <v>1353.4930321522907</v>
      </c>
      <c r="Y24" s="48">
        <v>1.2342</v>
      </c>
    </row>
    <row r="25" spans="2:25" x14ac:dyDescent="0.2">
      <c r="B25" s="47">
        <v>43978</v>
      </c>
      <c r="C25" s="46">
        <v>1504</v>
      </c>
      <c r="D25" s="45">
        <v>1504</v>
      </c>
      <c r="E25" s="44">
        <f t="shared" si="0"/>
        <v>1504</v>
      </c>
      <c r="F25" s="46">
        <v>1527.5</v>
      </c>
      <c r="G25" s="45">
        <v>1527.5</v>
      </c>
      <c r="H25" s="44">
        <f t="shared" si="1"/>
        <v>1527.5</v>
      </c>
      <c r="I25" s="46">
        <v>1638.5</v>
      </c>
      <c r="J25" s="45">
        <v>1638.5</v>
      </c>
      <c r="K25" s="44">
        <f t="shared" si="2"/>
        <v>1638.5</v>
      </c>
      <c r="L25" s="46">
        <v>1720.5</v>
      </c>
      <c r="M25" s="45">
        <v>1720.5</v>
      </c>
      <c r="N25" s="44">
        <f t="shared" si="3"/>
        <v>1720.5</v>
      </c>
      <c r="O25" s="46">
        <v>1807.5</v>
      </c>
      <c r="P25" s="45">
        <v>1807.5</v>
      </c>
      <c r="Q25" s="44">
        <f t="shared" si="4"/>
        <v>1807.5</v>
      </c>
      <c r="R25" s="52">
        <v>1504</v>
      </c>
      <c r="S25" s="51">
        <v>1.2312000000000001</v>
      </c>
      <c r="T25" s="51">
        <v>1.1017999999999999</v>
      </c>
      <c r="U25" s="50">
        <v>107.82</v>
      </c>
      <c r="V25" s="43">
        <v>1221.57</v>
      </c>
      <c r="W25" s="43">
        <v>1240.26</v>
      </c>
      <c r="X25" s="49">
        <f t="shared" si="5"/>
        <v>1365.039027046651</v>
      </c>
      <c r="Y25" s="48">
        <v>1.2316</v>
      </c>
    </row>
    <row r="26" spans="2:25" x14ac:dyDescent="0.2">
      <c r="B26" s="47">
        <v>43979</v>
      </c>
      <c r="C26" s="46">
        <v>1500.5</v>
      </c>
      <c r="D26" s="45">
        <v>1500.5</v>
      </c>
      <c r="E26" s="44">
        <f t="shared" si="0"/>
        <v>1500.5</v>
      </c>
      <c r="F26" s="46">
        <v>1524</v>
      </c>
      <c r="G26" s="45">
        <v>1524</v>
      </c>
      <c r="H26" s="44">
        <f t="shared" si="1"/>
        <v>1524</v>
      </c>
      <c r="I26" s="46">
        <v>1635</v>
      </c>
      <c r="J26" s="45">
        <v>1635</v>
      </c>
      <c r="K26" s="44">
        <f t="shared" si="2"/>
        <v>1635</v>
      </c>
      <c r="L26" s="46">
        <v>1716</v>
      </c>
      <c r="M26" s="45">
        <v>1716</v>
      </c>
      <c r="N26" s="44">
        <f t="shared" si="3"/>
        <v>1716</v>
      </c>
      <c r="O26" s="46">
        <v>1800</v>
      </c>
      <c r="P26" s="45">
        <v>1800</v>
      </c>
      <c r="Q26" s="44">
        <f t="shared" si="4"/>
        <v>1800</v>
      </c>
      <c r="R26" s="52">
        <v>1500.5</v>
      </c>
      <c r="S26" s="51">
        <v>1.2254</v>
      </c>
      <c r="T26" s="51">
        <v>1.1007</v>
      </c>
      <c r="U26" s="50">
        <v>107.76</v>
      </c>
      <c r="V26" s="43">
        <v>1224.5</v>
      </c>
      <c r="W26" s="43">
        <v>1243.27</v>
      </c>
      <c r="X26" s="49">
        <f t="shared" si="5"/>
        <v>1363.2234032888161</v>
      </c>
      <c r="Y26" s="48">
        <v>1.2258</v>
      </c>
    </row>
    <row r="27" spans="2:25" x14ac:dyDescent="0.2">
      <c r="B27" s="47">
        <v>43980</v>
      </c>
      <c r="C27" s="46">
        <v>1515</v>
      </c>
      <c r="D27" s="45">
        <v>1515</v>
      </c>
      <c r="E27" s="44">
        <f t="shared" si="0"/>
        <v>1515</v>
      </c>
      <c r="F27" s="46">
        <v>1536.5</v>
      </c>
      <c r="G27" s="45">
        <v>1536.5</v>
      </c>
      <c r="H27" s="44">
        <f t="shared" si="1"/>
        <v>1536.5</v>
      </c>
      <c r="I27" s="46">
        <v>1647.5</v>
      </c>
      <c r="J27" s="45">
        <v>1647.5</v>
      </c>
      <c r="K27" s="44">
        <f t="shared" si="2"/>
        <v>1647.5</v>
      </c>
      <c r="L27" s="46">
        <v>1728.5</v>
      </c>
      <c r="M27" s="45">
        <v>1728.5</v>
      </c>
      <c r="N27" s="44">
        <f t="shared" si="3"/>
        <v>1728.5</v>
      </c>
      <c r="O27" s="46">
        <v>1811</v>
      </c>
      <c r="P27" s="45">
        <v>1811</v>
      </c>
      <c r="Q27" s="44">
        <f t="shared" si="4"/>
        <v>1811</v>
      </c>
      <c r="R27" s="52">
        <v>1515</v>
      </c>
      <c r="S27" s="51">
        <v>1.2364999999999999</v>
      </c>
      <c r="T27" s="51">
        <v>1.1134999999999999</v>
      </c>
      <c r="U27" s="50">
        <v>107.16</v>
      </c>
      <c r="V27" s="43">
        <v>1225.23</v>
      </c>
      <c r="W27" s="43">
        <v>1242.1199999999999</v>
      </c>
      <c r="X27" s="49">
        <f t="shared" si="5"/>
        <v>1360.5747642568479</v>
      </c>
      <c r="Y27" s="48">
        <v>1.2370000000000001</v>
      </c>
    </row>
    <row r="28" spans="2:25" s="10" customFormat="1" x14ac:dyDescent="0.2">
      <c r="B28" s="42" t="s">
        <v>11</v>
      </c>
      <c r="C28" s="41">
        <f>ROUND(AVERAGE(C9:C27),2)</f>
        <v>1459.79</v>
      </c>
      <c r="D28" s="40">
        <f>ROUND(AVERAGE(D9:D27),2)</f>
        <v>1459.79</v>
      </c>
      <c r="E28" s="39">
        <f>ROUND(AVERAGE(C28:D28),2)</f>
        <v>1459.79</v>
      </c>
      <c r="F28" s="41">
        <f>ROUND(AVERAGE(F9:F27),2)</f>
        <v>1492.68</v>
      </c>
      <c r="G28" s="40">
        <f>ROUND(AVERAGE(G9:G27),2)</f>
        <v>1492.68</v>
      </c>
      <c r="H28" s="39">
        <f>ROUND(AVERAGE(F28:G28),2)</f>
        <v>1492.68</v>
      </c>
      <c r="I28" s="41">
        <f>ROUND(AVERAGE(I9:I27),2)</f>
        <v>1615.24</v>
      </c>
      <c r="J28" s="40">
        <f>ROUND(AVERAGE(J9:J27),2)</f>
        <v>1615.24</v>
      </c>
      <c r="K28" s="39">
        <f>ROUND(AVERAGE(I28:J28),2)</f>
        <v>1615.24</v>
      </c>
      <c r="L28" s="41">
        <f>ROUND(AVERAGE(L9:L27),2)</f>
        <v>1700.61</v>
      </c>
      <c r="M28" s="40">
        <f>ROUND(AVERAGE(M9:M27),2)</f>
        <v>1700.61</v>
      </c>
      <c r="N28" s="39">
        <f>ROUND(AVERAGE(L28:M28),2)</f>
        <v>1700.61</v>
      </c>
      <c r="O28" s="41">
        <f>ROUND(AVERAGE(O9:O27),2)</f>
        <v>1786.24</v>
      </c>
      <c r="P28" s="40">
        <f>ROUND(AVERAGE(P9:P27),2)</f>
        <v>1786.24</v>
      </c>
      <c r="Q28" s="39">
        <f>ROUND(AVERAGE(O28:P28),2)</f>
        <v>1786.24</v>
      </c>
      <c r="R28" s="38">
        <f>ROUND(AVERAGE(R9:R27),2)</f>
        <v>1459.79</v>
      </c>
      <c r="S28" s="37">
        <f>ROUND(AVERAGE(S9:S27),4)</f>
        <v>1.2306999999999999</v>
      </c>
      <c r="T28" s="36">
        <f>ROUND(AVERAGE(T9:T27),4)</f>
        <v>1.0908</v>
      </c>
      <c r="U28" s="175">
        <f>ROUND(AVERAGE(U9:U27),2)</f>
        <v>107.2</v>
      </c>
      <c r="V28" s="35">
        <f>AVERAGE(V9:V27)</f>
        <v>1186.2605263157893</v>
      </c>
      <c r="W28" s="35">
        <f>AVERAGE(W9:W27)</f>
        <v>1212.532105263158</v>
      </c>
      <c r="X28" s="35">
        <f>AVERAGE(X9:X27)</f>
        <v>1338.209864258383</v>
      </c>
      <c r="Y28" s="34">
        <f>AVERAGE(Y9:Y27)</f>
        <v>1.2311368421052631</v>
      </c>
    </row>
    <row r="29" spans="2:25" s="5" customFormat="1" x14ac:dyDescent="0.2">
      <c r="B29" s="33" t="s">
        <v>12</v>
      </c>
      <c r="C29" s="32">
        <f t="shared" ref="C29:Y29" si="6">MAX(C9:C27)</f>
        <v>1515</v>
      </c>
      <c r="D29" s="31">
        <f t="shared" si="6"/>
        <v>1515</v>
      </c>
      <c r="E29" s="30">
        <f t="shared" si="6"/>
        <v>1515</v>
      </c>
      <c r="F29" s="32">
        <f t="shared" si="6"/>
        <v>1536.5</v>
      </c>
      <c r="G29" s="31">
        <f t="shared" si="6"/>
        <v>1536.5</v>
      </c>
      <c r="H29" s="30">
        <f t="shared" si="6"/>
        <v>1536.5</v>
      </c>
      <c r="I29" s="32">
        <f t="shared" si="6"/>
        <v>1647.5</v>
      </c>
      <c r="J29" s="31">
        <f t="shared" si="6"/>
        <v>1647.5</v>
      </c>
      <c r="K29" s="30">
        <f t="shared" si="6"/>
        <v>1647.5</v>
      </c>
      <c r="L29" s="32">
        <f t="shared" si="6"/>
        <v>1728.5</v>
      </c>
      <c r="M29" s="31">
        <f t="shared" si="6"/>
        <v>1728.5</v>
      </c>
      <c r="N29" s="30">
        <f t="shared" si="6"/>
        <v>1728.5</v>
      </c>
      <c r="O29" s="32">
        <f t="shared" si="6"/>
        <v>1811</v>
      </c>
      <c r="P29" s="31">
        <f t="shared" si="6"/>
        <v>1811</v>
      </c>
      <c r="Q29" s="30">
        <f t="shared" si="6"/>
        <v>1811</v>
      </c>
      <c r="R29" s="29">
        <f t="shared" si="6"/>
        <v>1515</v>
      </c>
      <c r="S29" s="28">
        <f t="shared" si="6"/>
        <v>1.2534000000000001</v>
      </c>
      <c r="T29" s="27">
        <f t="shared" si="6"/>
        <v>1.1134999999999999</v>
      </c>
      <c r="U29" s="26">
        <f t="shared" si="6"/>
        <v>107.82</v>
      </c>
      <c r="V29" s="25">
        <f t="shared" si="6"/>
        <v>1225.23</v>
      </c>
      <c r="W29" s="25">
        <f t="shared" si="6"/>
        <v>1243.27</v>
      </c>
      <c r="X29" s="25">
        <f t="shared" si="6"/>
        <v>1365.039027046651</v>
      </c>
      <c r="Y29" s="24">
        <f t="shared" si="6"/>
        <v>1.2538</v>
      </c>
    </row>
    <row r="30" spans="2:25" s="5" customFormat="1" ht="13.5" thickBot="1" x14ac:dyDescent="0.25">
      <c r="B30" s="23" t="s">
        <v>13</v>
      </c>
      <c r="C30" s="22">
        <f t="shared" ref="C30:Y30" si="7">MIN(C9:C27)</f>
        <v>1432.5</v>
      </c>
      <c r="D30" s="21">
        <f t="shared" si="7"/>
        <v>1432.5</v>
      </c>
      <c r="E30" s="20">
        <f t="shared" si="7"/>
        <v>1432.5</v>
      </c>
      <c r="F30" s="22">
        <f t="shared" si="7"/>
        <v>1467</v>
      </c>
      <c r="G30" s="21">
        <f t="shared" si="7"/>
        <v>1467</v>
      </c>
      <c r="H30" s="20">
        <f t="shared" si="7"/>
        <v>1467</v>
      </c>
      <c r="I30" s="22">
        <f t="shared" si="7"/>
        <v>1596</v>
      </c>
      <c r="J30" s="21">
        <f t="shared" si="7"/>
        <v>1596</v>
      </c>
      <c r="K30" s="20">
        <f t="shared" si="7"/>
        <v>1596</v>
      </c>
      <c r="L30" s="22">
        <f t="shared" si="7"/>
        <v>1685</v>
      </c>
      <c r="M30" s="21">
        <f t="shared" si="7"/>
        <v>1685</v>
      </c>
      <c r="N30" s="20">
        <f t="shared" si="7"/>
        <v>1685</v>
      </c>
      <c r="O30" s="22">
        <f t="shared" si="7"/>
        <v>1769</v>
      </c>
      <c r="P30" s="21">
        <f t="shared" si="7"/>
        <v>1769</v>
      </c>
      <c r="Q30" s="20">
        <f t="shared" si="7"/>
        <v>1769</v>
      </c>
      <c r="R30" s="19">
        <f t="shared" si="7"/>
        <v>1432.5</v>
      </c>
      <c r="S30" s="18">
        <f t="shared" si="7"/>
        <v>1.2153</v>
      </c>
      <c r="T30" s="17">
        <f t="shared" si="7"/>
        <v>1.079</v>
      </c>
      <c r="U30" s="16">
        <f t="shared" si="7"/>
        <v>106.12</v>
      </c>
      <c r="V30" s="15">
        <f t="shared" si="7"/>
        <v>1148.8800000000001</v>
      </c>
      <c r="W30" s="15">
        <f t="shared" si="7"/>
        <v>1178.42</v>
      </c>
      <c r="X30" s="15">
        <f t="shared" si="7"/>
        <v>1312.1924548933844</v>
      </c>
      <c r="Y30" s="14">
        <f t="shared" si="7"/>
        <v>1.2157</v>
      </c>
    </row>
    <row r="32" spans="2:25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43952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43952</v>
      </c>
      <c r="C9" s="46">
        <v>1899</v>
      </c>
      <c r="D9" s="45">
        <v>1899</v>
      </c>
      <c r="E9" s="44">
        <f t="shared" ref="E9:E27" si="0">AVERAGE(C9:D9)</f>
        <v>1899</v>
      </c>
      <c r="F9" s="46">
        <v>1909.5</v>
      </c>
      <c r="G9" s="45">
        <v>1909.5</v>
      </c>
      <c r="H9" s="44">
        <f t="shared" ref="H9:H27" si="1">AVERAGE(F9:G9)</f>
        <v>1909.5</v>
      </c>
      <c r="I9" s="46">
        <v>1960.5</v>
      </c>
      <c r="J9" s="45">
        <v>1960.5</v>
      </c>
      <c r="K9" s="44">
        <f t="shared" ref="K9:K27" si="2">AVERAGE(I9:J9)</f>
        <v>1960.5</v>
      </c>
      <c r="L9" s="46">
        <v>1994</v>
      </c>
      <c r="M9" s="45">
        <v>1994</v>
      </c>
      <c r="N9" s="44">
        <f t="shared" ref="N9:N27" si="3">AVERAGE(L9:M9)</f>
        <v>1994</v>
      </c>
      <c r="O9" s="46">
        <v>2002</v>
      </c>
      <c r="P9" s="45">
        <v>2002</v>
      </c>
      <c r="Q9" s="44">
        <f t="shared" ref="Q9:Q27" si="4">AVERAGE(O9:P9)</f>
        <v>2002</v>
      </c>
      <c r="R9" s="52">
        <v>1899</v>
      </c>
      <c r="S9" s="51">
        <v>1.2534000000000001</v>
      </c>
      <c r="T9" s="53">
        <v>1.0973999999999999</v>
      </c>
      <c r="U9" s="50">
        <v>106.7</v>
      </c>
      <c r="V9" s="43">
        <v>1515.08</v>
      </c>
      <c r="W9" s="43">
        <v>1522.97</v>
      </c>
      <c r="X9" s="49">
        <f t="shared" ref="X9:X27" si="5">R9/T9</f>
        <v>1730.4537998906508</v>
      </c>
      <c r="Y9" s="48">
        <v>1.2538</v>
      </c>
    </row>
    <row r="10" spans="1:25" x14ac:dyDescent="0.2">
      <c r="B10" s="47">
        <v>43955</v>
      </c>
      <c r="C10" s="46">
        <v>1882</v>
      </c>
      <c r="D10" s="45">
        <v>1882</v>
      </c>
      <c r="E10" s="44">
        <f t="shared" si="0"/>
        <v>1882</v>
      </c>
      <c r="F10" s="46">
        <v>1894.5</v>
      </c>
      <c r="G10" s="45">
        <v>1894.5</v>
      </c>
      <c r="H10" s="44">
        <f t="shared" si="1"/>
        <v>1894.5</v>
      </c>
      <c r="I10" s="46">
        <v>1947.5</v>
      </c>
      <c r="J10" s="45">
        <v>1947.5</v>
      </c>
      <c r="K10" s="44">
        <f t="shared" si="2"/>
        <v>1947.5</v>
      </c>
      <c r="L10" s="46">
        <v>1977.5</v>
      </c>
      <c r="M10" s="45">
        <v>1977.5</v>
      </c>
      <c r="N10" s="44">
        <f t="shared" si="3"/>
        <v>1977.5</v>
      </c>
      <c r="O10" s="46">
        <v>1985.5</v>
      </c>
      <c r="P10" s="45">
        <v>1985.5</v>
      </c>
      <c r="Q10" s="44">
        <f t="shared" si="4"/>
        <v>1985.5</v>
      </c>
      <c r="R10" s="52">
        <v>1882</v>
      </c>
      <c r="S10" s="51">
        <v>1.244</v>
      </c>
      <c r="T10" s="51">
        <v>1.0939000000000001</v>
      </c>
      <c r="U10" s="50">
        <v>106.81</v>
      </c>
      <c r="V10" s="43">
        <v>1512.86</v>
      </c>
      <c r="W10" s="43">
        <v>1522.3</v>
      </c>
      <c r="X10" s="49">
        <f t="shared" si="5"/>
        <v>1720.4497668891122</v>
      </c>
      <c r="Y10" s="48">
        <v>1.2444999999999999</v>
      </c>
    </row>
    <row r="11" spans="1:25" x14ac:dyDescent="0.2">
      <c r="B11" s="47">
        <v>43956</v>
      </c>
      <c r="C11" s="46">
        <v>1897.5</v>
      </c>
      <c r="D11" s="45">
        <v>1897.5</v>
      </c>
      <c r="E11" s="44">
        <f t="shared" si="0"/>
        <v>1897.5</v>
      </c>
      <c r="F11" s="46">
        <v>1909.5</v>
      </c>
      <c r="G11" s="45">
        <v>1909.5</v>
      </c>
      <c r="H11" s="44">
        <f t="shared" si="1"/>
        <v>1909.5</v>
      </c>
      <c r="I11" s="46">
        <v>1963</v>
      </c>
      <c r="J11" s="45">
        <v>1963</v>
      </c>
      <c r="K11" s="44">
        <f t="shared" si="2"/>
        <v>1963</v>
      </c>
      <c r="L11" s="46">
        <v>1994.5</v>
      </c>
      <c r="M11" s="45">
        <v>1994.5</v>
      </c>
      <c r="N11" s="44">
        <f t="shared" si="3"/>
        <v>1994.5</v>
      </c>
      <c r="O11" s="46">
        <v>2002.5</v>
      </c>
      <c r="P11" s="45">
        <v>2002.5</v>
      </c>
      <c r="Q11" s="44">
        <f t="shared" si="4"/>
        <v>2002.5</v>
      </c>
      <c r="R11" s="52">
        <v>1897.5</v>
      </c>
      <c r="S11" s="51">
        <v>1.2448999999999999</v>
      </c>
      <c r="T11" s="51">
        <v>1.0831999999999999</v>
      </c>
      <c r="U11" s="50">
        <v>106.74</v>
      </c>
      <c r="V11" s="43">
        <v>1524.22</v>
      </c>
      <c r="W11" s="43">
        <v>1533.24</v>
      </c>
      <c r="X11" s="49">
        <f t="shared" si="5"/>
        <v>1751.7540620384048</v>
      </c>
      <c r="Y11" s="48">
        <v>1.2454000000000001</v>
      </c>
    </row>
    <row r="12" spans="1:25" x14ac:dyDescent="0.2">
      <c r="B12" s="47">
        <v>43957</v>
      </c>
      <c r="C12" s="46">
        <v>1945.5</v>
      </c>
      <c r="D12" s="45">
        <v>1945.5</v>
      </c>
      <c r="E12" s="44">
        <f t="shared" si="0"/>
        <v>1945.5</v>
      </c>
      <c r="F12" s="46">
        <v>1949.5</v>
      </c>
      <c r="G12" s="45">
        <v>1949.5</v>
      </c>
      <c r="H12" s="44">
        <f t="shared" si="1"/>
        <v>1949.5</v>
      </c>
      <c r="I12" s="46">
        <v>2005</v>
      </c>
      <c r="J12" s="45">
        <v>2005</v>
      </c>
      <c r="K12" s="44">
        <f t="shared" si="2"/>
        <v>2005</v>
      </c>
      <c r="L12" s="46">
        <v>2036.5</v>
      </c>
      <c r="M12" s="45">
        <v>2036.5</v>
      </c>
      <c r="N12" s="44">
        <f t="shared" si="3"/>
        <v>2036.5</v>
      </c>
      <c r="O12" s="46">
        <v>2044.5</v>
      </c>
      <c r="P12" s="45">
        <v>2044.5</v>
      </c>
      <c r="Q12" s="44">
        <f t="shared" si="4"/>
        <v>2044.5</v>
      </c>
      <c r="R12" s="52">
        <v>1945.5</v>
      </c>
      <c r="S12" s="51">
        <v>1.2388999999999999</v>
      </c>
      <c r="T12" s="51">
        <v>1.0813999999999999</v>
      </c>
      <c r="U12" s="50">
        <v>106.12</v>
      </c>
      <c r="V12" s="43">
        <v>1570.34</v>
      </c>
      <c r="W12" s="43">
        <v>1572.94</v>
      </c>
      <c r="X12" s="49">
        <f t="shared" si="5"/>
        <v>1799.0567782504163</v>
      </c>
      <c r="Y12" s="48">
        <v>1.2394000000000001</v>
      </c>
    </row>
    <row r="13" spans="1:25" x14ac:dyDescent="0.2">
      <c r="B13" s="47">
        <v>43958</v>
      </c>
      <c r="C13" s="46">
        <v>2000</v>
      </c>
      <c r="D13" s="45">
        <v>2000</v>
      </c>
      <c r="E13" s="44">
        <f t="shared" si="0"/>
        <v>2000</v>
      </c>
      <c r="F13" s="46">
        <v>2002.5</v>
      </c>
      <c r="G13" s="45">
        <v>2002.5</v>
      </c>
      <c r="H13" s="44">
        <f t="shared" si="1"/>
        <v>2002.5</v>
      </c>
      <c r="I13" s="46">
        <v>2054.5</v>
      </c>
      <c r="J13" s="45">
        <v>2054.5</v>
      </c>
      <c r="K13" s="44">
        <f t="shared" si="2"/>
        <v>2054.5</v>
      </c>
      <c r="L13" s="46">
        <v>2085.5</v>
      </c>
      <c r="M13" s="45">
        <v>2085.5</v>
      </c>
      <c r="N13" s="44">
        <f t="shared" si="3"/>
        <v>2085.5</v>
      </c>
      <c r="O13" s="46">
        <v>2093.5</v>
      </c>
      <c r="P13" s="45">
        <v>2093.5</v>
      </c>
      <c r="Q13" s="44">
        <f t="shared" si="4"/>
        <v>2093.5</v>
      </c>
      <c r="R13" s="52">
        <v>2000</v>
      </c>
      <c r="S13" s="51">
        <v>1.2346999999999999</v>
      </c>
      <c r="T13" s="51">
        <v>1.079</v>
      </c>
      <c r="U13" s="50">
        <v>106.6</v>
      </c>
      <c r="V13" s="43">
        <v>1619.83</v>
      </c>
      <c r="W13" s="43">
        <v>1621.19</v>
      </c>
      <c r="X13" s="49">
        <f t="shared" si="5"/>
        <v>1853.5681186283596</v>
      </c>
      <c r="Y13" s="48">
        <v>1.2352000000000001</v>
      </c>
    </row>
    <row r="14" spans="1:25" x14ac:dyDescent="0.2">
      <c r="B14" s="47">
        <v>43962</v>
      </c>
      <c r="C14" s="46">
        <v>1999</v>
      </c>
      <c r="D14" s="45">
        <v>1999</v>
      </c>
      <c r="E14" s="44">
        <f t="shared" si="0"/>
        <v>1999</v>
      </c>
      <c r="F14" s="46">
        <v>2002</v>
      </c>
      <c r="G14" s="45">
        <v>2002</v>
      </c>
      <c r="H14" s="44">
        <f t="shared" si="1"/>
        <v>2002</v>
      </c>
      <c r="I14" s="46">
        <v>2051.5</v>
      </c>
      <c r="J14" s="45">
        <v>2051.5</v>
      </c>
      <c r="K14" s="44">
        <f t="shared" si="2"/>
        <v>2051.5</v>
      </c>
      <c r="L14" s="46">
        <v>2083</v>
      </c>
      <c r="M14" s="45">
        <v>2083</v>
      </c>
      <c r="N14" s="44">
        <f t="shared" si="3"/>
        <v>2083</v>
      </c>
      <c r="O14" s="46">
        <v>2091</v>
      </c>
      <c r="P14" s="45">
        <v>2091</v>
      </c>
      <c r="Q14" s="44">
        <f t="shared" si="4"/>
        <v>2091</v>
      </c>
      <c r="R14" s="52">
        <v>1999</v>
      </c>
      <c r="S14" s="51">
        <v>1.2292000000000001</v>
      </c>
      <c r="T14" s="51">
        <v>1.0813999999999999</v>
      </c>
      <c r="U14" s="50">
        <v>107.31</v>
      </c>
      <c r="V14" s="43">
        <v>1626.26</v>
      </c>
      <c r="W14" s="43">
        <v>1628.04</v>
      </c>
      <c r="X14" s="49">
        <f t="shared" si="5"/>
        <v>1848.5296837432959</v>
      </c>
      <c r="Y14" s="48">
        <v>1.2297</v>
      </c>
    </row>
    <row r="15" spans="1:25" x14ac:dyDescent="0.2">
      <c r="B15" s="47">
        <v>43963</v>
      </c>
      <c r="C15" s="46">
        <v>2018</v>
      </c>
      <c r="D15" s="45">
        <v>2018</v>
      </c>
      <c r="E15" s="44">
        <f t="shared" si="0"/>
        <v>2018</v>
      </c>
      <c r="F15" s="46">
        <v>2019</v>
      </c>
      <c r="G15" s="45">
        <v>2019</v>
      </c>
      <c r="H15" s="44">
        <f t="shared" si="1"/>
        <v>2019</v>
      </c>
      <c r="I15" s="46">
        <v>2065.5</v>
      </c>
      <c r="J15" s="45">
        <v>2065.5</v>
      </c>
      <c r="K15" s="44">
        <f t="shared" si="2"/>
        <v>2065.5</v>
      </c>
      <c r="L15" s="46">
        <v>2097</v>
      </c>
      <c r="M15" s="45">
        <v>2097</v>
      </c>
      <c r="N15" s="44">
        <f t="shared" si="3"/>
        <v>2097</v>
      </c>
      <c r="O15" s="46">
        <v>2105</v>
      </c>
      <c r="P15" s="45">
        <v>2105</v>
      </c>
      <c r="Q15" s="44">
        <f t="shared" si="4"/>
        <v>2105</v>
      </c>
      <c r="R15" s="52">
        <v>2018</v>
      </c>
      <c r="S15" s="51">
        <v>1.2371000000000001</v>
      </c>
      <c r="T15" s="51">
        <v>1.0849</v>
      </c>
      <c r="U15" s="50">
        <v>107.34</v>
      </c>
      <c r="V15" s="43">
        <v>1631.23</v>
      </c>
      <c r="W15" s="43">
        <v>1631.38</v>
      </c>
      <c r="X15" s="49">
        <f t="shared" si="5"/>
        <v>1860.0792699787999</v>
      </c>
      <c r="Y15" s="48">
        <v>1.2376</v>
      </c>
    </row>
    <row r="16" spans="1:25" x14ac:dyDescent="0.2">
      <c r="B16" s="47">
        <v>43964</v>
      </c>
      <c r="C16" s="46">
        <v>1978</v>
      </c>
      <c r="D16" s="45">
        <v>1978</v>
      </c>
      <c r="E16" s="44">
        <f t="shared" si="0"/>
        <v>1978</v>
      </c>
      <c r="F16" s="46">
        <v>1980.5</v>
      </c>
      <c r="G16" s="45">
        <v>1980.5</v>
      </c>
      <c r="H16" s="44">
        <f t="shared" si="1"/>
        <v>1980.5</v>
      </c>
      <c r="I16" s="46">
        <v>2027.5</v>
      </c>
      <c r="J16" s="45">
        <v>2027.5</v>
      </c>
      <c r="K16" s="44">
        <f t="shared" si="2"/>
        <v>2027.5</v>
      </c>
      <c r="L16" s="46">
        <v>2056</v>
      </c>
      <c r="M16" s="45">
        <v>2056</v>
      </c>
      <c r="N16" s="44">
        <f t="shared" si="3"/>
        <v>2056</v>
      </c>
      <c r="O16" s="46">
        <v>2064</v>
      </c>
      <c r="P16" s="45">
        <v>2064</v>
      </c>
      <c r="Q16" s="44">
        <f t="shared" si="4"/>
        <v>2064</v>
      </c>
      <c r="R16" s="52">
        <v>1978</v>
      </c>
      <c r="S16" s="51">
        <v>1.2322</v>
      </c>
      <c r="T16" s="51">
        <v>1.0876999999999999</v>
      </c>
      <c r="U16" s="50">
        <v>106.96</v>
      </c>
      <c r="V16" s="43">
        <v>1605.26</v>
      </c>
      <c r="W16" s="43">
        <v>1606.64</v>
      </c>
      <c r="X16" s="49">
        <f t="shared" si="5"/>
        <v>1818.5161349636851</v>
      </c>
      <c r="Y16" s="48">
        <v>1.2326999999999999</v>
      </c>
    </row>
    <row r="17" spans="2:25" x14ac:dyDescent="0.2">
      <c r="B17" s="47">
        <v>43965</v>
      </c>
      <c r="C17" s="46">
        <v>1939</v>
      </c>
      <c r="D17" s="45">
        <v>1939</v>
      </c>
      <c r="E17" s="44">
        <f t="shared" si="0"/>
        <v>1939</v>
      </c>
      <c r="F17" s="46">
        <v>1940.5</v>
      </c>
      <c r="G17" s="45">
        <v>1940.5</v>
      </c>
      <c r="H17" s="44">
        <f t="shared" si="1"/>
        <v>1940.5</v>
      </c>
      <c r="I17" s="46">
        <v>1987.5</v>
      </c>
      <c r="J17" s="45">
        <v>1987.5</v>
      </c>
      <c r="K17" s="44">
        <f t="shared" si="2"/>
        <v>1987.5</v>
      </c>
      <c r="L17" s="46">
        <v>2016</v>
      </c>
      <c r="M17" s="45">
        <v>2016</v>
      </c>
      <c r="N17" s="44">
        <f t="shared" si="3"/>
        <v>2016</v>
      </c>
      <c r="O17" s="46">
        <v>2024</v>
      </c>
      <c r="P17" s="45">
        <v>2024</v>
      </c>
      <c r="Q17" s="44">
        <f t="shared" si="4"/>
        <v>2024</v>
      </c>
      <c r="R17" s="52">
        <v>1939</v>
      </c>
      <c r="S17" s="51">
        <v>1.2199</v>
      </c>
      <c r="T17" s="51">
        <v>1.079</v>
      </c>
      <c r="U17" s="50">
        <v>107.08</v>
      </c>
      <c r="V17" s="43">
        <v>1589.47</v>
      </c>
      <c r="W17" s="43">
        <v>1590.18</v>
      </c>
      <c r="X17" s="49">
        <f t="shared" si="5"/>
        <v>1797.0342910101947</v>
      </c>
      <c r="Y17" s="48">
        <v>1.2202999999999999</v>
      </c>
    </row>
    <row r="18" spans="2:25" x14ac:dyDescent="0.2">
      <c r="B18" s="47">
        <v>43966</v>
      </c>
      <c r="C18" s="46">
        <v>1949</v>
      </c>
      <c r="D18" s="45">
        <v>1949</v>
      </c>
      <c r="E18" s="44">
        <f t="shared" si="0"/>
        <v>1949</v>
      </c>
      <c r="F18" s="46">
        <v>1945.5</v>
      </c>
      <c r="G18" s="45">
        <v>1945.5</v>
      </c>
      <c r="H18" s="44">
        <f t="shared" si="1"/>
        <v>1945.5</v>
      </c>
      <c r="I18" s="46">
        <v>1996.5</v>
      </c>
      <c r="J18" s="45">
        <v>1996.5</v>
      </c>
      <c r="K18" s="44">
        <f t="shared" si="2"/>
        <v>1996.5</v>
      </c>
      <c r="L18" s="46">
        <v>2028.5</v>
      </c>
      <c r="M18" s="45">
        <v>2028.5</v>
      </c>
      <c r="N18" s="44">
        <f t="shared" si="3"/>
        <v>2028.5</v>
      </c>
      <c r="O18" s="46">
        <v>2036.5</v>
      </c>
      <c r="P18" s="45">
        <v>2036.5</v>
      </c>
      <c r="Q18" s="44">
        <f t="shared" si="4"/>
        <v>2036.5</v>
      </c>
      <c r="R18" s="52">
        <v>1949</v>
      </c>
      <c r="S18" s="51">
        <v>1.216</v>
      </c>
      <c r="T18" s="51">
        <v>1.08</v>
      </c>
      <c r="U18" s="50">
        <v>107</v>
      </c>
      <c r="V18" s="43">
        <v>1602.8</v>
      </c>
      <c r="W18" s="43">
        <v>1599.39</v>
      </c>
      <c r="X18" s="49">
        <f t="shared" si="5"/>
        <v>1804.6296296296296</v>
      </c>
      <c r="Y18" s="48">
        <v>1.2163999999999999</v>
      </c>
    </row>
    <row r="19" spans="2:25" x14ac:dyDescent="0.2">
      <c r="B19" s="47">
        <v>43969</v>
      </c>
      <c r="C19" s="46">
        <v>1997</v>
      </c>
      <c r="D19" s="45">
        <v>1997</v>
      </c>
      <c r="E19" s="44">
        <f t="shared" si="0"/>
        <v>1997</v>
      </c>
      <c r="F19" s="46">
        <v>1995.5</v>
      </c>
      <c r="G19" s="45">
        <v>1995.5</v>
      </c>
      <c r="H19" s="44">
        <f t="shared" si="1"/>
        <v>1995.5</v>
      </c>
      <c r="I19" s="46">
        <v>2041.5</v>
      </c>
      <c r="J19" s="45">
        <v>2041.5</v>
      </c>
      <c r="K19" s="44">
        <f t="shared" si="2"/>
        <v>2041.5</v>
      </c>
      <c r="L19" s="46">
        <v>2073.5</v>
      </c>
      <c r="M19" s="45">
        <v>2073.5</v>
      </c>
      <c r="N19" s="44">
        <f t="shared" si="3"/>
        <v>2073.5</v>
      </c>
      <c r="O19" s="46">
        <v>2081.5</v>
      </c>
      <c r="P19" s="45">
        <v>2081.5</v>
      </c>
      <c r="Q19" s="44">
        <f t="shared" si="4"/>
        <v>2081.5</v>
      </c>
      <c r="R19" s="52">
        <v>1997</v>
      </c>
      <c r="S19" s="51">
        <v>1.2153</v>
      </c>
      <c r="T19" s="51">
        <v>1.0821000000000001</v>
      </c>
      <c r="U19" s="50">
        <v>107.28</v>
      </c>
      <c r="V19" s="43">
        <v>1643.22</v>
      </c>
      <c r="W19" s="43">
        <v>1641.44</v>
      </c>
      <c r="X19" s="49">
        <f t="shared" si="5"/>
        <v>1845.4856297939191</v>
      </c>
      <c r="Y19" s="48">
        <v>1.2157</v>
      </c>
    </row>
    <row r="20" spans="2:25" x14ac:dyDescent="0.2">
      <c r="B20" s="47">
        <v>43970</v>
      </c>
      <c r="C20" s="46">
        <v>2017</v>
      </c>
      <c r="D20" s="45">
        <v>2017</v>
      </c>
      <c r="E20" s="44">
        <f t="shared" si="0"/>
        <v>2017</v>
      </c>
      <c r="F20" s="46">
        <v>2016.5</v>
      </c>
      <c r="G20" s="45">
        <v>2016.5</v>
      </c>
      <c r="H20" s="44">
        <f t="shared" si="1"/>
        <v>2016.5</v>
      </c>
      <c r="I20" s="46">
        <v>2066.5</v>
      </c>
      <c r="J20" s="45">
        <v>2066.5</v>
      </c>
      <c r="K20" s="44">
        <f t="shared" si="2"/>
        <v>2066.5</v>
      </c>
      <c r="L20" s="46">
        <v>2094</v>
      </c>
      <c r="M20" s="45">
        <v>2094</v>
      </c>
      <c r="N20" s="44">
        <f t="shared" si="3"/>
        <v>2094</v>
      </c>
      <c r="O20" s="46">
        <v>2099.5</v>
      </c>
      <c r="P20" s="45">
        <v>2099.5</v>
      </c>
      <c r="Q20" s="44">
        <f t="shared" si="4"/>
        <v>2099.5</v>
      </c>
      <c r="R20" s="52">
        <v>2017</v>
      </c>
      <c r="S20" s="51">
        <v>1.2237</v>
      </c>
      <c r="T20" s="51">
        <v>1.0949</v>
      </c>
      <c r="U20" s="50">
        <v>107.75</v>
      </c>
      <c r="V20" s="43">
        <v>1648.28</v>
      </c>
      <c r="W20" s="43">
        <v>1647.2</v>
      </c>
      <c r="X20" s="49">
        <f t="shared" si="5"/>
        <v>1842.1773677961457</v>
      </c>
      <c r="Y20" s="48">
        <v>1.2242</v>
      </c>
    </row>
    <row r="21" spans="2:25" x14ac:dyDescent="0.2">
      <c r="B21" s="47">
        <v>43971</v>
      </c>
      <c r="C21" s="46">
        <v>2021</v>
      </c>
      <c r="D21" s="45">
        <v>2021</v>
      </c>
      <c r="E21" s="44">
        <f t="shared" si="0"/>
        <v>2021</v>
      </c>
      <c r="F21" s="46">
        <v>2016</v>
      </c>
      <c r="G21" s="45">
        <v>2016</v>
      </c>
      <c r="H21" s="44">
        <f t="shared" si="1"/>
        <v>2016</v>
      </c>
      <c r="I21" s="46">
        <v>2070</v>
      </c>
      <c r="J21" s="45">
        <v>2070</v>
      </c>
      <c r="K21" s="44">
        <f t="shared" si="2"/>
        <v>2070</v>
      </c>
      <c r="L21" s="46">
        <v>2103</v>
      </c>
      <c r="M21" s="45">
        <v>2103</v>
      </c>
      <c r="N21" s="44">
        <f t="shared" si="3"/>
        <v>2103</v>
      </c>
      <c r="O21" s="46">
        <v>2108.5</v>
      </c>
      <c r="P21" s="45">
        <v>2108.5</v>
      </c>
      <c r="Q21" s="44">
        <f t="shared" si="4"/>
        <v>2108.5</v>
      </c>
      <c r="R21" s="52">
        <v>2021</v>
      </c>
      <c r="S21" s="51">
        <v>1.2263999999999999</v>
      </c>
      <c r="T21" s="51">
        <v>1.0964</v>
      </c>
      <c r="U21" s="50">
        <v>107.61</v>
      </c>
      <c r="V21" s="43">
        <v>1647.91</v>
      </c>
      <c r="W21" s="43">
        <v>1643.17</v>
      </c>
      <c r="X21" s="49">
        <f t="shared" si="5"/>
        <v>1843.305363006202</v>
      </c>
      <c r="Y21" s="48">
        <v>1.2269000000000001</v>
      </c>
    </row>
    <row r="22" spans="2:25" x14ac:dyDescent="0.2">
      <c r="B22" s="47">
        <v>43972</v>
      </c>
      <c r="C22" s="46">
        <v>1996.5</v>
      </c>
      <c r="D22" s="45">
        <v>1996.5</v>
      </c>
      <c r="E22" s="44">
        <f t="shared" si="0"/>
        <v>1996.5</v>
      </c>
      <c r="F22" s="46">
        <v>1993.5</v>
      </c>
      <c r="G22" s="45">
        <v>1993.5</v>
      </c>
      <c r="H22" s="44">
        <f t="shared" si="1"/>
        <v>1993.5</v>
      </c>
      <c r="I22" s="46">
        <v>2044</v>
      </c>
      <c r="J22" s="45">
        <v>2044</v>
      </c>
      <c r="K22" s="44">
        <f t="shared" si="2"/>
        <v>2044</v>
      </c>
      <c r="L22" s="46">
        <v>2077</v>
      </c>
      <c r="M22" s="45">
        <v>2077</v>
      </c>
      <c r="N22" s="44">
        <f t="shared" si="3"/>
        <v>2077</v>
      </c>
      <c r="O22" s="46">
        <v>2082.5</v>
      </c>
      <c r="P22" s="45">
        <v>2082.5</v>
      </c>
      <c r="Q22" s="44">
        <f t="shared" si="4"/>
        <v>2082.5</v>
      </c>
      <c r="R22" s="52">
        <v>1996.5</v>
      </c>
      <c r="S22" s="51">
        <v>1.2224999999999999</v>
      </c>
      <c r="T22" s="51">
        <v>1.0993999999999999</v>
      </c>
      <c r="U22" s="50">
        <v>107.7</v>
      </c>
      <c r="V22" s="43">
        <v>1633.13</v>
      </c>
      <c r="W22" s="43">
        <v>1630.14</v>
      </c>
      <c r="X22" s="49">
        <f t="shared" si="5"/>
        <v>1815.9905402947063</v>
      </c>
      <c r="Y22" s="48">
        <v>1.2229000000000001</v>
      </c>
    </row>
    <row r="23" spans="2:25" x14ac:dyDescent="0.2">
      <c r="B23" s="47">
        <v>43973</v>
      </c>
      <c r="C23" s="46">
        <v>1963</v>
      </c>
      <c r="D23" s="45">
        <v>1963</v>
      </c>
      <c r="E23" s="44">
        <f t="shared" si="0"/>
        <v>1963</v>
      </c>
      <c r="F23" s="46">
        <v>1957</v>
      </c>
      <c r="G23" s="45">
        <v>1957</v>
      </c>
      <c r="H23" s="44">
        <f t="shared" si="1"/>
        <v>1957</v>
      </c>
      <c r="I23" s="46">
        <v>2008</v>
      </c>
      <c r="J23" s="45">
        <v>2008</v>
      </c>
      <c r="K23" s="44">
        <f t="shared" si="2"/>
        <v>2008</v>
      </c>
      <c r="L23" s="46">
        <v>2041</v>
      </c>
      <c r="M23" s="45">
        <v>2041</v>
      </c>
      <c r="N23" s="44">
        <f t="shared" si="3"/>
        <v>2041</v>
      </c>
      <c r="O23" s="46">
        <v>2046.5</v>
      </c>
      <c r="P23" s="45">
        <v>2046.5</v>
      </c>
      <c r="Q23" s="44">
        <f t="shared" si="4"/>
        <v>2046.5</v>
      </c>
      <c r="R23" s="52">
        <v>1963</v>
      </c>
      <c r="S23" s="51">
        <v>1.2179</v>
      </c>
      <c r="T23" s="51">
        <v>1.0906</v>
      </c>
      <c r="U23" s="50">
        <v>107.51</v>
      </c>
      <c r="V23" s="43">
        <v>1611.79</v>
      </c>
      <c r="W23" s="43">
        <v>1606.34</v>
      </c>
      <c r="X23" s="49">
        <f t="shared" si="5"/>
        <v>1799.9266458830002</v>
      </c>
      <c r="Y23" s="48">
        <v>1.2182999999999999</v>
      </c>
    </row>
    <row r="24" spans="2:25" x14ac:dyDescent="0.2">
      <c r="B24" s="47">
        <v>43977</v>
      </c>
      <c r="C24" s="46">
        <v>1975</v>
      </c>
      <c r="D24" s="45">
        <v>1975</v>
      </c>
      <c r="E24" s="44">
        <f t="shared" si="0"/>
        <v>1975</v>
      </c>
      <c r="F24" s="46">
        <v>1976</v>
      </c>
      <c r="G24" s="45">
        <v>1976</v>
      </c>
      <c r="H24" s="44">
        <f t="shared" si="1"/>
        <v>1976</v>
      </c>
      <c r="I24" s="46">
        <v>2028.5</v>
      </c>
      <c r="J24" s="45">
        <v>2028.5</v>
      </c>
      <c r="K24" s="44">
        <f t="shared" si="2"/>
        <v>2028.5</v>
      </c>
      <c r="L24" s="46">
        <v>2061.5</v>
      </c>
      <c r="M24" s="45">
        <v>2061.5</v>
      </c>
      <c r="N24" s="44">
        <f t="shared" si="3"/>
        <v>2061.5</v>
      </c>
      <c r="O24" s="46">
        <v>2067</v>
      </c>
      <c r="P24" s="45">
        <v>2067</v>
      </c>
      <c r="Q24" s="44">
        <f t="shared" si="4"/>
        <v>2067</v>
      </c>
      <c r="R24" s="52">
        <v>1975</v>
      </c>
      <c r="S24" s="51">
        <v>1.2338</v>
      </c>
      <c r="T24" s="51">
        <v>1.0979000000000001</v>
      </c>
      <c r="U24" s="50">
        <v>107.48</v>
      </c>
      <c r="V24" s="43">
        <v>1600.75</v>
      </c>
      <c r="W24" s="43">
        <v>1601.04</v>
      </c>
      <c r="X24" s="49">
        <f t="shared" si="5"/>
        <v>1798.8887876855813</v>
      </c>
      <c r="Y24" s="48">
        <v>1.2342</v>
      </c>
    </row>
    <row r="25" spans="2:25" x14ac:dyDescent="0.2">
      <c r="B25" s="47">
        <v>43978</v>
      </c>
      <c r="C25" s="46">
        <v>1938</v>
      </c>
      <c r="D25" s="45">
        <v>1938</v>
      </c>
      <c r="E25" s="44">
        <f t="shared" si="0"/>
        <v>1938</v>
      </c>
      <c r="F25" s="46">
        <v>1937.5</v>
      </c>
      <c r="G25" s="45">
        <v>1937.5</v>
      </c>
      <c r="H25" s="44">
        <f t="shared" si="1"/>
        <v>1937.5</v>
      </c>
      <c r="I25" s="46">
        <v>1991</v>
      </c>
      <c r="J25" s="45">
        <v>1991</v>
      </c>
      <c r="K25" s="44">
        <f t="shared" si="2"/>
        <v>1991</v>
      </c>
      <c r="L25" s="46">
        <v>2024</v>
      </c>
      <c r="M25" s="45">
        <v>2024</v>
      </c>
      <c r="N25" s="44">
        <f t="shared" si="3"/>
        <v>2024</v>
      </c>
      <c r="O25" s="46">
        <v>2029.5</v>
      </c>
      <c r="P25" s="45">
        <v>2029.5</v>
      </c>
      <c r="Q25" s="44">
        <f t="shared" si="4"/>
        <v>2029.5</v>
      </c>
      <c r="R25" s="52">
        <v>1938</v>
      </c>
      <c r="S25" s="51">
        <v>1.2312000000000001</v>
      </c>
      <c r="T25" s="51">
        <v>1.1017999999999999</v>
      </c>
      <c r="U25" s="50">
        <v>107.82</v>
      </c>
      <c r="V25" s="43">
        <v>1574.07</v>
      </c>
      <c r="W25" s="43">
        <v>1573.16</v>
      </c>
      <c r="X25" s="49">
        <f t="shared" si="5"/>
        <v>1758.9399165002724</v>
      </c>
      <c r="Y25" s="48">
        <v>1.2316</v>
      </c>
    </row>
    <row r="26" spans="2:25" x14ac:dyDescent="0.2">
      <c r="B26" s="47">
        <v>43979</v>
      </c>
      <c r="C26" s="46">
        <v>1918.5</v>
      </c>
      <c r="D26" s="45">
        <v>1918.5</v>
      </c>
      <c r="E26" s="44">
        <f t="shared" si="0"/>
        <v>1918.5</v>
      </c>
      <c r="F26" s="46">
        <v>1916</v>
      </c>
      <c r="G26" s="45">
        <v>1916</v>
      </c>
      <c r="H26" s="44">
        <f t="shared" si="1"/>
        <v>1916</v>
      </c>
      <c r="I26" s="46">
        <v>1970.5</v>
      </c>
      <c r="J26" s="45">
        <v>1970.5</v>
      </c>
      <c r="K26" s="44">
        <f t="shared" si="2"/>
        <v>1970.5</v>
      </c>
      <c r="L26" s="46">
        <v>2005.5</v>
      </c>
      <c r="M26" s="45">
        <v>2005.5</v>
      </c>
      <c r="N26" s="44">
        <f t="shared" si="3"/>
        <v>2005.5</v>
      </c>
      <c r="O26" s="46">
        <v>2011</v>
      </c>
      <c r="P26" s="45">
        <v>2011</v>
      </c>
      <c r="Q26" s="44">
        <f t="shared" si="4"/>
        <v>2011</v>
      </c>
      <c r="R26" s="52">
        <v>1918.5</v>
      </c>
      <c r="S26" s="51">
        <v>1.2254</v>
      </c>
      <c r="T26" s="51">
        <v>1.1007</v>
      </c>
      <c r="U26" s="50">
        <v>107.76</v>
      </c>
      <c r="V26" s="43">
        <v>1565.61</v>
      </c>
      <c r="W26" s="43">
        <v>1563.06</v>
      </c>
      <c r="X26" s="49">
        <f t="shared" si="5"/>
        <v>1742.9817388934314</v>
      </c>
      <c r="Y26" s="48">
        <v>1.2258</v>
      </c>
    </row>
    <row r="27" spans="2:25" x14ac:dyDescent="0.2">
      <c r="B27" s="47">
        <v>43980</v>
      </c>
      <c r="C27" s="46">
        <v>1971.5</v>
      </c>
      <c r="D27" s="45">
        <v>1971.5</v>
      </c>
      <c r="E27" s="44">
        <f t="shared" si="0"/>
        <v>1971.5</v>
      </c>
      <c r="F27" s="46">
        <v>1967</v>
      </c>
      <c r="G27" s="45">
        <v>1967</v>
      </c>
      <c r="H27" s="44">
        <f t="shared" si="1"/>
        <v>1967</v>
      </c>
      <c r="I27" s="46">
        <v>2018</v>
      </c>
      <c r="J27" s="45">
        <v>2018</v>
      </c>
      <c r="K27" s="44">
        <f t="shared" si="2"/>
        <v>2018</v>
      </c>
      <c r="L27" s="46">
        <v>2053</v>
      </c>
      <c r="M27" s="45">
        <v>2053</v>
      </c>
      <c r="N27" s="44">
        <f t="shared" si="3"/>
        <v>2053</v>
      </c>
      <c r="O27" s="46">
        <v>2058.5</v>
      </c>
      <c r="P27" s="45">
        <v>2058.5</v>
      </c>
      <c r="Q27" s="44">
        <f t="shared" si="4"/>
        <v>2058.5</v>
      </c>
      <c r="R27" s="52">
        <v>1971.5</v>
      </c>
      <c r="S27" s="51">
        <v>1.2364999999999999</v>
      </c>
      <c r="T27" s="51">
        <v>1.1134999999999999</v>
      </c>
      <c r="U27" s="50">
        <v>107.16</v>
      </c>
      <c r="V27" s="43">
        <v>1594.42</v>
      </c>
      <c r="W27" s="43">
        <v>1590.14</v>
      </c>
      <c r="X27" s="49">
        <f t="shared" si="5"/>
        <v>1770.5433318365515</v>
      </c>
      <c r="Y27" s="48">
        <v>1.2370000000000001</v>
      </c>
    </row>
    <row r="28" spans="2:25" s="10" customFormat="1" x14ac:dyDescent="0.2">
      <c r="B28" s="42" t="s">
        <v>11</v>
      </c>
      <c r="C28" s="41">
        <f>ROUND(AVERAGE(C9:C27),2)</f>
        <v>1963.39</v>
      </c>
      <c r="D28" s="40">
        <f>ROUND(AVERAGE(D9:D27),2)</f>
        <v>1963.39</v>
      </c>
      <c r="E28" s="39">
        <f>ROUND(AVERAGE(C28:D28),2)</f>
        <v>1963.39</v>
      </c>
      <c r="F28" s="41">
        <f>ROUND(AVERAGE(F9:F27),2)</f>
        <v>1964.63</v>
      </c>
      <c r="G28" s="40">
        <f>ROUND(AVERAGE(G9:G27),2)</f>
        <v>1964.63</v>
      </c>
      <c r="H28" s="39">
        <f>ROUND(AVERAGE(F28:G28),2)</f>
        <v>1964.63</v>
      </c>
      <c r="I28" s="41">
        <f>ROUND(AVERAGE(I9:I27),2)</f>
        <v>2015.63</v>
      </c>
      <c r="J28" s="40">
        <f>ROUND(AVERAGE(J9:J27),2)</f>
        <v>2015.63</v>
      </c>
      <c r="K28" s="39">
        <f>ROUND(AVERAGE(I28:J28),2)</f>
        <v>2015.63</v>
      </c>
      <c r="L28" s="41">
        <f>ROUND(AVERAGE(L9:L27),2)</f>
        <v>2047.42</v>
      </c>
      <c r="M28" s="40">
        <f>ROUND(AVERAGE(M9:M27),2)</f>
        <v>2047.42</v>
      </c>
      <c r="N28" s="39">
        <f>ROUND(AVERAGE(L28:M28),2)</f>
        <v>2047.42</v>
      </c>
      <c r="O28" s="41">
        <f>ROUND(AVERAGE(O9:O27),2)</f>
        <v>2054.37</v>
      </c>
      <c r="P28" s="40">
        <f>ROUND(AVERAGE(P9:P27),2)</f>
        <v>2054.37</v>
      </c>
      <c r="Q28" s="39">
        <f>ROUND(AVERAGE(O28:P28),2)</f>
        <v>2054.37</v>
      </c>
      <c r="R28" s="38">
        <f>ROUND(AVERAGE(R9:R27),2)</f>
        <v>1963.39</v>
      </c>
      <c r="S28" s="37">
        <f>ROUND(AVERAGE(S9:S27),4)</f>
        <v>1.2306999999999999</v>
      </c>
      <c r="T28" s="36">
        <f>ROUND(AVERAGE(T9:T27),4)</f>
        <v>1.0908</v>
      </c>
      <c r="U28" s="175">
        <f>ROUND(AVERAGE(U9:U27),2)</f>
        <v>107.2</v>
      </c>
      <c r="V28" s="35">
        <f>AVERAGE(V9:V27)</f>
        <v>1595.606842105263</v>
      </c>
      <c r="W28" s="35">
        <f>AVERAGE(W9:W27)</f>
        <v>1595.9978947368422</v>
      </c>
      <c r="X28" s="35">
        <f>AVERAGE(X9:X27)</f>
        <v>1800.1216240374929</v>
      </c>
      <c r="Y28" s="34">
        <f>AVERAGE(Y9:Y27)</f>
        <v>1.2311368421052631</v>
      </c>
    </row>
    <row r="29" spans="2:25" s="5" customFormat="1" x14ac:dyDescent="0.2">
      <c r="B29" s="33" t="s">
        <v>12</v>
      </c>
      <c r="C29" s="32">
        <f t="shared" ref="C29:Y29" si="6">MAX(C9:C27)</f>
        <v>2021</v>
      </c>
      <c r="D29" s="31">
        <f t="shared" si="6"/>
        <v>2021</v>
      </c>
      <c r="E29" s="30">
        <f t="shared" si="6"/>
        <v>2021</v>
      </c>
      <c r="F29" s="32">
        <f t="shared" si="6"/>
        <v>2019</v>
      </c>
      <c r="G29" s="31">
        <f t="shared" si="6"/>
        <v>2019</v>
      </c>
      <c r="H29" s="30">
        <f t="shared" si="6"/>
        <v>2019</v>
      </c>
      <c r="I29" s="32">
        <f t="shared" si="6"/>
        <v>2070</v>
      </c>
      <c r="J29" s="31">
        <f t="shared" si="6"/>
        <v>2070</v>
      </c>
      <c r="K29" s="30">
        <f t="shared" si="6"/>
        <v>2070</v>
      </c>
      <c r="L29" s="32">
        <f t="shared" si="6"/>
        <v>2103</v>
      </c>
      <c r="M29" s="31">
        <f t="shared" si="6"/>
        <v>2103</v>
      </c>
      <c r="N29" s="30">
        <f t="shared" si="6"/>
        <v>2103</v>
      </c>
      <c r="O29" s="32">
        <f t="shared" si="6"/>
        <v>2108.5</v>
      </c>
      <c r="P29" s="31">
        <f t="shared" si="6"/>
        <v>2108.5</v>
      </c>
      <c r="Q29" s="30">
        <f t="shared" si="6"/>
        <v>2108.5</v>
      </c>
      <c r="R29" s="29">
        <f t="shared" si="6"/>
        <v>2021</v>
      </c>
      <c r="S29" s="28">
        <f t="shared" si="6"/>
        <v>1.2534000000000001</v>
      </c>
      <c r="T29" s="27">
        <f t="shared" si="6"/>
        <v>1.1134999999999999</v>
      </c>
      <c r="U29" s="26">
        <f t="shared" si="6"/>
        <v>107.82</v>
      </c>
      <c r="V29" s="25">
        <f t="shared" si="6"/>
        <v>1648.28</v>
      </c>
      <c r="W29" s="25">
        <f t="shared" si="6"/>
        <v>1647.2</v>
      </c>
      <c r="X29" s="25">
        <f t="shared" si="6"/>
        <v>1860.0792699787999</v>
      </c>
      <c r="Y29" s="24">
        <f t="shared" si="6"/>
        <v>1.2538</v>
      </c>
    </row>
    <row r="30" spans="2:25" s="5" customFormat="1" ht="13.5" thickBot="1" x14ac:dyDescent="0.25">
      <c r="B30" s="23" t="s">
        <v>13</v>
      </c>
      <c r="C30" s="22">
        <f t="shared" ref="C30:Y30" si="7">MIN(C9:C27)</f>
        <v>1882</v>
      </c>
      <c r="D30" s="21">
        <f t="shared" si="7"/>
        <v>1882</v>
      </c>
      <c r="E30" s="20">
        <f t="shared" si="7"/>
        <v>1882</v>
      </c>
      <c r="F30" s="22">
        <f t="shared" si="7"/>
        <v>1894.5</v>
      </c>
      <c r="G30" s="21">
        <f t="shared" si="7"/>
        <v>1894.5</v>
      </c>
      <c r="H30" s="20">
        <f t="shared" si="7"/>
        <v>1894.5</v>
      </c>
      <c r="I30" s="22">
        <f t="shared" si="7"/>
        <v>1947.5</v>
      </c>
      <c r="J30" s="21">
        <f t="shared" si="7"/>
        <v>1947.5</v>
      </c>
      <c r="K30" s="20">
        <f t="shared" si="7"/>
        <v>1947.5</v>
      </c>
      <c r="L30" s="22">
        <f t="shared" si="7"/>
        <v>1977.5</v>
      </c>
      <c r="M30" s="21">
        <f t="shared" si="7"/>
        <v>1977.5</v>
      </c>
      <c r="N30" s="20">
        <f t="shared" si="7"/>
        <v>1977.5</v>
      </c>
      <c r="O30" s="22">
        <f t="shared" si="7"/>
        <v>1985.5</v>
      </c>
      <c r="P30" s="21">
        <f t="shared" si="7"/>
        <v>1985.5</v>
      </c>
      <c r="Q30" s="20">
        <f t="shared" si="7"/>
        <v>1985.5</v>
      </c>
      <c r="R30" s="19">
        <f t="shared" si="7"/>
        <v>1882</v>
      </c>
      <c r="S30" s="18">
        <f t="shared" si="7"/>
        <v>1.2153</v>
      </c>
      <c r="T30" s="17">
        <f t="shared" si="7"/>
        <v>1.079</v>
      </c>
      <c r="U30" s="16">
        <f t="shared" si="7"/>
        <v>106.12</v>
      </c>
      <c r="V30" s="15">
        <f t="shared" si="7"/>
        <v>1512.86</v>
      </c>
      <c r="W30" s="15">
        <f t="shared" si="7"/>
        <v>1522.3</v>
      </c>
      <c r="X30" s="15">
        <f t="shared" si="7"/>
        <v>1720.4497668891122</v>
      </c>
      <c r="Y30" s="14">
        <f t="shared" si="7"/>
        <v>1.2157</v>
      </c>
    </row>
    <row r="32" spans="2:25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43952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43952</v>
      </c>
      <c r="C9" s="46">
        <v>1583</v>
      </c>
      <c r="D9" s="45">
        <v>1583</v>
      </c>
      <c r="E9" s="44">
        <f t="shared" ref="E9:E27" si="0">AVERAGE(C9:D9)</f>
        <v>1583</v>
      </c>
      <c r="F9" s="46">
        <v>1609</v>
      </c>
      <c r="G9" s="45">
        <v>1609</v>
      </c>
      <c r="H9" s="44">
        <f t="shared" ref="H9:H27" si="1">AVERAGE(F9:G9)</f>
        <v>1609</v>
      </c>
      <c r="I9" s="46">
        <v>1658.5</v>
      </c>
      <c r="J9" s="45">
        <v>1658.5</v>
      </c>
      <c r="K9" s="44">
        <f t="shared" ref="K9:K27" si="2">AVERAGE(I9:J9)</f>
        <v>1658.5</v>
      </c>
      <c r="L9" s="46">
        <v>1686.5</v>
      </c>
      <c r="M9" s="45">
        <v>1686.5</v>
      </c>
      <c r="N9" s="44">
        <f t="shared" ref="N9:N27" si="3">AVERAGE(L9:M9)</f>
        <v>1686.5</v>
      </c>
      <c r="O9" s="46">
        <v>1714.5</v>
      </c>
      <c r="P9" s="45">
        <v>1714.5</v>
      </c>
      <c r="Q9" s="44">
        <f t="shared" ref="Q9:Q27" si="4">AVERAGE(O9:P9)</f>
        <v>1714.5</v>
      </c>
      <c r="R9" s="52">
        <v>1583</v>
      </c>
      <c r="S9" s="51">
        <v>1.2534000000000001</v>
      </c>
      <c r="T9" s="53">
        <v>1.0973999999999999</v>
      </c>
      <c r="U9" s="50">
        <v>106.7</v>
      </c>
      <c r="V9" s="43">
        <v>1262.96</v>
      </c>
      <c r="W9" s="43">
        <v>1283.3</v>
      </c>
      <c r="X9" s="49">
        <f t="shared" ref="X9:X27" si="5">R9/T9</f>
        <v>1442.5004556223803</v>
      </c>
      <c r="Y9" s="48">
        <v>1.2538</v>
      </c>
    </row>
    <row r="10" spans="1:25" x14ac:dyDescent="0.2">
      <c r="B10" s="47">
        <v>43955</v>
      </c>
      <c r="C10" s="46">
        <v>1592.5</v>
      </c>
      <c r="D10" s="45">
        <v>1592.5</v>
      </c>
      <c r="E10" s="44">
        <f t="shared" si="0"/>
        <v>1592.5</v>
      </c>
      <c r="F10" s="46">
        <v>1615.5</v>
      </c>
      <c r="G10" s="45">
        <v>1615.5</v>
      </c>
      <c r="H10" s="44">
        <f t="shared" si="1"/>
        <v>1615.5</v>
      </c>
      <c r="I10" s="46">
        <v>1666.5</v>
      </c>
      <c r="J10" s="45">
        <v>1666.5</v>
      </c>
      <c r="K10" s="44">
        <f t="shared" si="2"/>
        <v>1666.5</v>
      </c>
      <c r="L10" s="46">
        <v>1694</v>
      </c>
      <c r="M10" s="45">
        <v>1694</v>
      </c>
      <c r="N10" s="44">
        <f t="shared" si="3"/>
        <v>1694</v>
      </c>
      <c r="O10" s="46">
        <v>1722</v>
      </c>
      <c r="P10" s="45">
        <v>1722</v>
      </c>
      <c r="Q10" s="44">
        <f t="shared" si="4"/>
        <v>1722</v>
      </c>
      <c r="R10" s="52">
        <v>1592.5</v>
      </c>
      <c r="S10" s="51">
        <v>1.244</v>
      </c>
      <c r="T10" s="51">
        <v>1.0939000000000001</v>
      </c>
      <c r="U10" s="50">
        <v>106.81</v>
      </c>
      <c r="V10" s="43">
        <v>1280.1400000000001</v>
      </c>
      <c r="W10" s="43">
        <v>1298.1099999999999</v>
      </c>
      <c r="X10" s="49">
        <f t="shared" si="5"/>
        <v>1455.8003473809306</v>
      </c>
      <c r="Y10" s="48">
        <v>1.2444999999999999</v>
      </c>
    </row>
    <row r="11" spans="1:25" x14ac:dyDescent="0.2">
      <c r="B11" s="47">
        <v>43956</v>
      </c>
      <c r="C11" s="46">
        <v>1611</v>
      </c>
      <c r="D11" s="45">
        <v>1611</v>
      </c>
      <c r="E11" s="44">
        <f t="shared" si="0"/>
        <v>1611</v>
      </c>
      <c r="F11" s="46">
        <v>1633</v>
      </c>
      <c r="G11" s="45">
        <v>1633</v>
      </c>
      <c r="H11" s="44">
        <f t="shared" si="1"/>
        <v>1633</v>
      </c>
      <c r="I11" s="46">
        <v>1686.5</v>
      </c>
      <c r="J11" s="45">
        <v>1686.5</v>
      </c>
      <c r="K11" s="44">
        <f t="shared" si="2"/>
        <v>1686.5</v>
      </c>
      <c r="L11" s="46">
        <v>1711.5</v>
      </c>
      <c r="M11" s="45">
        <v>1711.5</v>
      </c>
      <c r="N11" s="44">
        <f t="shared" si="3"/>
        <v>1711.5</v>
      </c>
      <c r="O11" s="46">
        <v>1739.5</v>
      </c>
      <c r="P11" s="45">
        <v>1739.5</v>
      </c>
      <c r="Q11" s="44">
        <f t="shared" si="4"/>
        <v>1739.5</v>
      </c>
      <c r="R11" s="52">
        <v>1611</v>
      </c>
      <c r="S11" s="51">
        <v>1.2448999999999999</v>
      </c>
      <c r="T11" s="51">
        <v>1.0831999999999999</v>
      </c>
      <c r="U11" s="50">
        <v>106.74</v>
      </c>
      <c r="V11" s="43">
        <v>1294.08</v>
      </c>
      <c r="W11" s="43">
        <v>1311.23</v>
      </c>
      <c r="X11" s="49">
        <f t="shared" si="5"/>
        <v>1487.2599704579027</v>
      </c>
      <c r="Y11" s="48">
        <v>1.2454000000000001</v>
      </c>
    </row>
    <row r="12" spans="1:25" x14ac:dyDescent="0.2">
      <c r="B12" s="47">
        <v>43957</v>
      </c>
      <c r="C12" s="46">
        <v>1618.5</v>
      </c>
      <c r="D12" s="45">
        <v>1618.5</v>
      </c>
      <c r="E12" s="44">
        <f t="shared" si="0"/>
        <v>1618.5</v>
      </c>
      <c r="F12" s="46">
        <v>1638</v>
      </c>
      <c r="G12" s="45">
        <v>1638</v>
      </c>
      <c r="H12" s="44">
        <f t="shared" si="1"/>
        <v>1638</v>
      </c>
      <c r="I12" s="46">
        <v>1692</v>
      </c>
      <c r="J12" s="45">
        <v>1692</v>
      </c>
      <c r="K12" s="44">
        <f t="shared" si="2"/>
        <v>1692</v>
      </c>
      <c r="L12" s="46">
        <v>1722</v>
      </c>
      <c r="M12" s="45">
        <v>1722</v>
      </c>
      <c r="N12" s="44">
        <f t="shared" si="3"/>
        <v>1722</v>
      </c>
      <c r="O12" s="46">
        <v>1747</v>
      </c>
      <c r="P12" s="45">
        <v>1747</v>
      </c>
      <c r="Q12" s="44">
        <f t="shared" si="4"/>
        <v>1747</v>
      </c>
      <c r="R12" s="52">
        <v>1618.5</v>
      </c>
      <c r="S12" s="51">
        <v>1.2388999999999999</v>
      </c>
      <c r="T12" s="51">
        <v>1.0813999999999999</v>
      </c>
      <c r="U12" s="50">
        <v>106.12</v>
      </c>
      <c r="V12" s="43">
        <v>1306.4000000000001</v>
      </c>
      <c r="W12" s="43">
        <v>1321.61</v>
      </c>
      <c r="X12" s="49">
        <f t="shared" si="5"/>
        <v>1496.6709820602923</v>
      </c>
      <c r="Y12" s="48">
        <v>1.2394000000000001</v>
      </c>
    </row>
    <row r="13" spans="1:25" x14ac:dyDescent="0.2">
      <c r="B13" s="47">
        <v>43958</v>
      </c>
      <c r="C13" s="46">
        <v>1619.5</v>
      </c>
      <c r="D13" s="45">
        <v>1619.5</v>
      </c>
      <c r="E13" s="44">
        <f t="shared" si="0"/>
        <v>1619.5</v>
      </c>
      <c r="F13" s="46">
        <v>1642</v>
      </c>
      <c r="G13" s="45">
        <v>1642</v>
      </c>
      <c r="H13" s="44">
        <f t="shared" si="1"/>
        <v>1642</v>
      </c>
      <c r="I13" s="46">
        <v>1695.5</v>
      </c>
      <c r="J13" s="45">
        <v>1695.5</v>
      </c>
      <c r="K13" s="44">
        <f t="shared" si="2"/>
        <v>1695.5</v>
      </c>
      <c r="L13" s="46">
        <v>1725.5</v>
      </c>
      <c r="M13" s="45">
        <v>1725.5</v>
      </c>
      <c r="N13" s="44">
        <f t="shared" si="3"/>
        <v>1725.5</v>
      </c>
      <c r="O13" s="46">
        <v>1750.5</v>
      </c>
      <c r="P13" s="45">
        <v>1750.5</v>
      </c>
      <c r="Q13" s="44">
        <f t="shared" si="4"/>
        <v>1750.5</v>
      </c>
      <c r="R13" s="52">
        <v>1619.5</v>
      </c>
      <c r="S13" s="51">
        <v>1.2346999999999999</v>
      </c>
      <c r="T13" s="51">
        <v>1.079</v>
      </c>
      <c r="U13" s="50">
        <v>106.6</v>
      </c>
      <c r="V13" s="43">
        <v>1311.65</v>
      </c>
      <c r="W13" s="43">
        <v>1329.34</v>
      </c>
      <c r="X13" s="49">
        <f t="shared" si="5"/>
        <v>1500.9267840593143</v>
      </c>
      <c r="Y13" s="48">
        <v>1.2352000000000001</v>
      </c>
    </row>
    <row r="14" spans="1:25" x14ac:dyDescent="0.2">
      <c r="B14" s="47">
        <v>43962</v>
      </c>
      <c r="C14" s="46">
        <v>1629.5</v>
      </c>
      <c r="D14" s="45">
        <v>1629.5</v>
      </c>
      <c r="E14" s="44">
        <f t="shared" si="0"/>
        <v>1629.5</v>
      </c>
      <c r="F14" s="46">
        <v>1650</v>
      </c>
      <c r="G14" s="45">
        <v>1650</v>
      </c>
      <c r="H14" s="44">
        <f t="shared" si="1"/>
        <v>1650</v>
      </c>
      <c r="I14" s="46">
        <v>1703.5</v>
      </c>
      <c r="J14" s="45">
        <v>1703.5</v>
      </c>
      <c r="K14" s="44">
        <f t="shared" si="2"/>
        <v>1703.5</v>
      </c>
      <c r="L14" s="46">
        <v>1733.5</v>
      </c>
      <c r="M14" s="45">
        <v>1733.5</v>
      </c>
      <c r="N14" s="44">
        <f t="shared" si="3"/>
        <v>1733.5</v>
      </c>
      <c r="O14" s="46">
        <v>1758.5</v>
      </c>
      <c r="P14" s="45">
        <v>1758.5</v>
      </c>
      <c r="Q14" s="44">
        <f t="shared" si="4"/>
        <v>1758.5</v>
      </c>
      <c r="R14" s="52">
        <v>1629.5</v>
      </c>
      <c r="S14" s="51">
        <v>1.2292000000000001</v>
      </c>
      <c r="T14" s="51">
        <v>1.0813999999999999</v>
      </c>
      <c r="U14" s="50">
        <v>107.31</v>
      </c>
      <c r="V14" s="43">
        <v>1325.66</v>
      </c>
      <c r="W14" s="43">
        <v>1341.79</v>
      </c>
      <c r="X14" s="49">
        <f t="shared" si="5"/>
        <v>1506.8429813205105</v>
      </c>
      <c r="Y14" s="48">
        <v>1.2297</v>
      </c>
    </row>
    <row r="15" spans="1:25" x14ac:dyDescent="0.2">
      <c r="B15" s="47">
        <v>43963</v>
      </c>
      <c r="C15" s="46">
        <v>1638.5</v>
      </c>
      <c r="D15" s="45">
        <v>1638.5</v>
      </c>
      <c r="E15" s="44">
        <f t="shared" si="0"/>
        <v>1638.5</v>
      </c>
      <c r="F15" s="46">
        <v>1659</v>
      </c>
      <c r="G15" s="45">
        <v>1659</v>
      </c>
      <c r="H15" s="44">
        <f t="shared" si="1"/>
        <v>1659</v>
      </c>
      <c r="I15" s="46">
        <v>1709.5</v>
      </c>
      <c r="J15" s="45">
        <v>1709.5</v>
      </c>
      <c r="K15" s="44">
        <f t="shared" si="2"/>
        <v>1709.5</v>
      </c>
      <c r="L15" s="46">
        <v>1739.5</v>
      </c>
      <c r="M15" s="45">
        <v>1739.5</v>
      </c>
      <c r="N15" s="44">
        <f t="shared" si="3"/>
        <v>1739.5</v>
      </c>
      <c r="O15" s="46">
        <v>1764.5</v>
      </c>
      <c r="P15" s="45">
        <v>1764.5</v>
      </c>
      <c r="Q15" s="44">
        <f t="shared" si="4"/>
        <v>1764.5</v>
      </c>
      <c r="R15" s="52">
        <v>1638.5</v>
      </c>
      <c r="S15" s="51">
        <v>1.2371000000000001</v>
      </c>
      <c r="T15" s="51">
        <v>1.0849</v>
      </c>
      <c r="U15" s="50">
        <v>107.34</v>
      </c>
      <c r="V15" s="43">
        <v>1324.47</v>
      </c>
      <c r="W15" s="43">
        <v>1340.5</v>
      </c>
      <c r="X15" s="49">
        <f t="shared" si="5"/>
        <v>1510.2774449257997</v>
      </c>
      <c r="Y15" s="48">
        <v>1.2376</v>
      </c>
    </row>
    <row r="16" spans="1:25" x14ac:dyDescent="0.2">
      <c r="B16" s="47">
        <v>43964</v>
      </c>
      <c r="C16" s="46">
        <v>1601.5</v>
      </c>
      <c r="D16" s="45">
        <v>1601.5</v>
      </c>
      <c r="E16" s="44">
        <f t="shared" si="0"/>
        <v>1601.5</v>
      </c>
      <c r="F16" s="46">
        <v>1624.5</v>
      </c>
      <c r="G16" s="45">
        <v>1624.5</v>
      </c>
      <c r="H16" s="44">
        <f t="shared" si="1"/>
        <v>1624.5</v>
      </c>
      <c r="I16" s="46">
        <v>1675.5</v>
      </c>
      <c r="J16" s="45">
        <v>1675.5</v>
      </c>
      <c r="K16" s="44">
        <f t="shared" si="2"/>
        <v>1675.5</v>
      </c>
      <c r="L16" s="46">
        <v>1705.5</v>
      </c>
      <c r="M16" s="45">
        <v>1705.5</v>
      </c>
      <c r="N16" s="44">
        <f t="shared" si="3"/>
        <v>1705.5</v>
      </c>
      <c r="O16" s="46">
        <v>1730.5</v>
      </c>
      <c r="P16" s="45">
        <v>1730.5</v>
      </c>
      <c r="Q16" s="44">
        <f t="shared" si="4"/>
        <v>1730.5</v>
      </c>
      <c r="R16" s="52">
        <v>1601.5</v>
      </c>
      <c r="S16" s="51">
        <v>1.2322</v>
      </c>
      <c r="T16" s="51">
        <v>1.0876999999999999</v>
      </c>
      <c r="U16" s="50">
        <v>106.96</v>
      </c>
      <c r="V16" s="43">
        <v>1299.71</v>
      </c>
      <c r="W16" s="43">
        <v>1317.84</v>
      </c>
      <c r="X16" s="49">
        <f t="shared" si="5"/>
        <v>1472.3728969384943</v>
      </c>
      <c r="Y16" s="48">
        <v>1.2326999999999999</v>
      </c>
    </row>
    <row r="17" spans="2:25" x14ac:dyDescent="0.2">
      <c r="B17" s="47">
        <v>43965</v>
      </c>
      <c r="C17" s="46">
        <v>1576.5</v>
      </c>
      <c r="D17" s="45">
        <v>1576.5</v>
      </c>
      <c r="E17" s="44">
        <f t="shared" si="0"/>
        <v>1576.5</v>
      </c>
      <c r="F17" s="46">
        <v>1598</v>
      </c>
      <c r="G17" s="45">
        <v>1598</v>
      </c>
      <c r="H17" s="44">
        <f t="shared" si="1"/>
        <v>1598</v>
      </c>
      <c r="I17" s="46">
        <v>1648.5</v>
      </c>
      <c r="J17" s="45">
        <v>1648.5</v>
      </c>
      <c r="K17" s="44">
        <f t="shared" si="2"/>
        <v>1648.5</v>
      </c>
      <c r="L17" s="46">
        <v>1678.5</v>
      </c>
      <c r="M17" s="45">
        <v>1678.5</v>
      </c>
      <c r="N17" s="44">
        <f t="shared" si="3"/>
        <v>1678.5</v>
      </c>
      <c r="O17" s="46">
        <v>1703.5</v>
      </c>
      <c r="P17" s="45">
        <v>1703.5</v>
      </c>
      <c r="Q17" s="44">
        <f t="shared" si="4"/>
        <v>1703.5</v>
      </c>
      <c r="R17" s="52">
        <v>1576.5</v>
      </c>
      <c r="S17" s="51">
        <v>1.2199</v>
      </c>
      <c r="T17" s="51">
        <v>1.079</v>
      </c>
      <c r="U17" s="50">
        <v>107.08</v>
      </c>
      <c r="V17" s="43">
        <v>1292.32</v>
      </c>
      <c r="W17" s="43">
        <v>1309.51</v>
      </c>
      <c r="X17" s="49">
        <f t="shared" si="5"/>
        <v>1461.0750695088045</v>
      </c>
      <c r="Y17" s="48">
        <v>1.2202999999999999</v>
      </c>
    </row>
    <row r="18" spans="2:25" x14ac:dyDescent="0.2">
      <c r="B18" s="47">
        <v>43966</v>
      </c>
      <c r="C18" s="46">
        <v>1578.5</v>
      </c>
      <c r="D18" s="45">
        <v>1578.5</v>
      </c>
      <c r="E18" s="44">
        <f t="shared" si="0"/>
        <v>1578.5</v>
      </c>
      <c r="F18" s="46">
        <v>1600.5</v>
      </c>
      <c r="G18" s="45">
        <v>1600.5</v>
      </c>
      <c r="H18" s="44">
        <f t="shared" si="1"/>
        <v>1600.5</v>
      </c>
      <c r="I18" s="46">
        <v>1652</v>
      </c>
      <c r="J18" s="45">
        <v>1652</v>
      </c>
      <c r="K18" s="44">
        <f t="shared" si="2"/>
        <v>1652</v>
      </c>
      <c r="L18" s="46">
        <v>1682</v>
      </c>
      <c r="M18" s="45">
        <v>1682</v>
      </c>
      <c r="N18" s="44">
        <f t="shared" si="3"/>
        <v>1682</v>
      </c>
      <c r="O18" s="46">
        <v>1707</v>
      </c>
      <c r="P18" s="45">
        <v>1707</v>
      </c>
      <c r="Q18" s="44">
        <f t="shared" si="4"/>
        <v>1707</v>
      </c>
      <c r="R18" s="52">
        <v>1578.5</v>
      </c>
      <c r="S18" s="51">
        <v>1.216</v>
      </c>
      <c r="T18" s="51">
        <v>1.08</v>
      </c>
      <c r="U18" s="50">
        <v>107</v>
      </c>
      <c r="V18" s="43">
        <v>1298.1099999999999</v>
      </c>
      <c r="W18" s="43">
        <v>1315.77</v>
      </c>
      <c r="X18" s="49">
        <f t="shared" si="5"/>
        <v>1461.5740740740739</v>
      </c>
      <c r="Y18" s="48">
        <v>1.2163999999999999</v>
      </c>
    </row>
    <row r="19" spans="2:25" x14ac:dyDescent="0.2">
      <c r="B19" s="47">
        <v>43969</v>
      </c>
      <c r="C19" s="46">
        <v>1611</v>
      </c>
      <c r="D19" s="45">
        <v>1611</v>
      </c>
      <c r="E19" s="44">
        <f t="shared" si="0"/>
        <v>1611</v>
      </c>
      <c r="F19" s="46">
        <v>1625</v>
      </c>
      <c r="G19" s="45">
        <v>1625</v>
      </c>
      <c r="H19" s="44">
        <f t="shared" si="1"/>
        <v>1625</v>
      </c>
      <c r="I19" s="46">
        <v>1673</v>
      </c>
      <c r="J19" s="45">
        <v>1673</v>
      </c>
      <c r="K19" s="44">
        <f t="shared" si="2"/>
        <v>1673</v>
      </c>
      <c r="L19" s="46">
        <v>1703</v>
      </c>
      <c r="M19" s="45">
        <v>1703</v>
      </c>
      <c r="N19" s="44">
        <f t="shared" si="3"/>
        <v>1703</v>
      </c>
      <c r="O19" s="46">
        <v>1728</v>
      </c>
      <c r="P19" s="45">
        <v>1728</v>
      </c>
      <c r="Q19" s="44">
        <f t="shared" si="4"/>
        <v>1728</v>
      </c>
      <c r="R19" s="52">
        <v>1611</v>
      </c>
      <c r="S19" s="51">
        <v>1.2153</v>
      </c>
      <c r="T19" s="51">
        <v>1.0821000000000001</v>
      </c>
      <c r="U19" s="50">
        <v>107.28</v>
      </c>
      <c r="V19" s="43">
        <v>1325.6</v>
      </c>
      <c r="W19" s="43">
        <v>1336.68</v>
      </c>
      <c r="X19" s="49">
        <f t="shared" si="5"/>
        <v>1488.7718325478236</v>
      </c>
      <c r="Y19" s="48">
        <v>1.2157</v>
      </c>
    </row>
    <row r="20" spans="2:25" x14ac:dyDescent="0.2">
      <c r="B20" s="47">
        <v>43970</v>
      </c>
      <c r="C20" s="46">
        <v>1638</v>
      </c>
      <c r="D20" s="45">
        <v>1638</v>
      </c>
      <c r="E20" s="44">
        <f t="shared" si="0"/>
        <v>1638</v>
      </c>
      <c r="F20" s="46">
        <v>1655.5</v>
      </c>
      <c r="G20" s="45">
        <v>1655.5</v>
      </c>
      <c r="H20" s="44">
        <f t="shared" si="1"/>
        <v>1655.5</v>
      </c>
      <c r="I20" s="46">
        <v>1704</v>
      </c>
      <c r="J20" s="45">
        <v>1704</v>
      </c>
      <c r="K20" s="44">
        <f t="shared" si="2"/>
        <v>1704</v>
      </c>
      <c r="L20" s="46">
        <v>1734</v>
      </c>
      <c r="M20" s="45">
        <v>1734</v>
      </c>
      <c r="N20" s="44">
        <f t="shared" si="3"/>
        <v>1734</v>
      </c>
      <c r="O20" s="46">
        <v>1759</v>
      </c>
      <c r="P20" s="45">
        <v>1759</v>
      </c>
      <c r="Q20" s="44">
        <f t="shared" si="4"/>
        <v>1759</v>
      </c>
      <c r="R20" s="52">
        <v>1638</v>
      </c>
      <c r="S20" s="51">
        <v>1.2237</v>
      </c>
      <c r="T20" s="51">
        <v>1.0949</v>
      </c>
      <c r="U20" s="50">
        <v>107.75</v>
      </c>
      <c r="V20" s="43">
        <v>1338.56</v>
      </c>
      <c r="W20" s="43">
        <v>1352.31</v>
      </c>
      <c r="X20" s="49">
        <f t="shared" si="5"/>
        <v>1496.0270344323683</v>
      </c>
      <c r="Y20" s="48">
        <v>1.2242</v>
      </c>
    </row>
    <row r="21" spans="2:25" x14ac:dyDescent="0.2">
      <c r="B21" s="47">
        <v>43971</v>
      </c>
      <c r="C21" s="46">
        <v>1663</v>
      </c>
      <c r="D21" s="45">
        <v>1663</v>
      </c>
      <c r="E21" s="44">
        <f t="shared" si="0"/>
        <v>1663</v>
      </c>
      <c r="F21" s="46">
        <v>1679.5</v>
      </c>
      <c r="G21" s="45">
        <v>1679.5</v>
      </c>
      <c r="H21" s="44">
        <f t="shared" si="1"/>
        <v>1679.5</v>
      </c>
      <c r="I21" s="46">
        <v>1728</v>
      </c>
      <c r="J21" s="45">
        <v>1728</v>
      </c>
      <c r="K21" s="44">
        <f t="shared" si="2"/>
        <v>1728</v>
      </c>
      <c r="L21" s="46">
        <v>1758</v>
      </c>
      <c r="M21" s="45">
        <v>1758</v>
      </c>
      <c r="N21" s="44">
        <f t="shared" si="3"/>
        <v>1758</v>
      </c>
      <c r="O21" s="46">
        <v>1783</v>
      </c>
      <c r="P21" s="45">
        <v>1783</v>
      </c>
      <c r="Q21" s="44">
        <f t="shared" si="4"/>
        <v>1783</v>
      </c>
      <c r="R21" s="52">
        <v>1663</v>
      </c>
      <c r="S21" s="51">
        <v>1.2263999999999999</v>
      </c>
      <c r="T21" s="51">
        <v>1.0964</v>
      </c>
      <c r="U21" s="50">
        <v>107.61</v>
      </c>
      <c r="V21" s="43">
        <v>1356</v>
      </c>
      <c r="W21" s="43">
        <v>1368.9</v>
      </c>
      <c r="X21" s="49">
        <f t="shared" si="5"/>
        <v>1516.7821962787302</v>
      </c>
      <c r="Y21" s="48">
        <v>1.2269000000000001</v>
      </c>
    </row>
    <row r="22" spans="2:25" x14ac:dyDescent="0.2">
      <c r="B22" s="47">
        <v>43972</v>
      </c>
      <c r="C22" s="46">
        <v>1654.5</v>
      </c>
      <c r="D22" s="45">
        <v>1654.5</v>
      </c>
      <c r="E22" s="44">
        <f t="shared" si="0"/>
        <v>1654.5</v>
      </c>
      <c r="F22" s="46">
        <v>1670.5</v>
      </c>
      <c r="G22" s="45">
        <v>1670.5</v>
      </c>
      <c r="H22" s="44">
        <f t="shared" si="1"/>
        <v>1670.5</v>
      </c>
      <c r="I22" s="46">
        <v>1720.5</v>
      </c>
      <c r="J22" s="45">
        <v>1720.5</v>
      </c>
      <c r="K22" s="44">
        <f t="shared" si="2"/>
        <v>1720.5</v>
      </c>
      <c r="L22" s="46">
        <v>1750</v>
      </c>
      <c r="M22" s="45">
        <v>1750</v>
      </c>
      <c r="N22" s="44">
        <f t="shared" si="3"/>
        <v>1750</v>
      </c>
      <c r="O22" s="46">
        <v>1774</v>
      </c>
      <c r="P22" s="45">
        <v>1774</v>
      </c>
      <c r="Q22" s="44">
        <f t="shared" si="4"/>
        <v>1774</v>
      </c>
      <c r="R22" s="52">
        <v>1654.5</v>
      </c>
      <c r="S22" s="51">
        <v>1.2224999999999999</v>
      </c>
      <c r="T22" s="51">
        <v>1.0993999999999999</v>
      </c>
      <c r="U22" s="50">
        <v>107.7</v>
      </c>
      <c r="V22" s="43">
        <v>1353.37</v>
      </c>
      <c r="W22" s="43">
        <v>1366.02</v>
      </c>
      <c r="X22" s="49">
        <f t="shared" si="5"/>
        <v>1504.9117700563945</v>
      </c>
      <c r="Y22" s="48">
        <v>1.2229000000000001</v>
      </c>
    </row>
    <row r="23" spans="2:25" x14ac:dyDescent="0.2">
      <c r="B23" s="47">
        <v>43973</v>
      </c>
      <c r="C23" s="46">
        <v>1603.5</v>
      </c>
      <c r="D23" s="45">
        <v>1603.5</v>
      </c>
      <c r="E23" s="44">
        <f t="shared" si="0"/>
        <v>1603.5</v>
      </c>
      <c r="F23" s="46">
        <v>1619.5</v>
      </c>
      <c r="G23" s="45">
        <v>1619.5</v>
      </c>
      <c r="H23" s="44">
        <f t="shared" si="1"/>
        <v>1619.5</v>
      </c>
      <c r="I23" s="46">
        <v>1669.5</v>
      </c>
      <c r="J23" s="45">
        <v>1669.5</v>
      </c>
      <c r="K23" s="44">
        <f t="shared" si="2"/>
        <v>1669.5</v>
      </c>
      <c r="L23" s="46">
        <v>1699</v>
      </c>
      <c r="M23" s="45">
        <v>1699</v>
      </c>
      <c r="N23" s="44">
        <f t="shared" si="3"/>
        <v>1699</v>
      </c>
      <c r="O23" s="46">
        <v>1723</v>
      </c>
      <c r="P23" s="45">
        <v>1723</v>
      </c>
      <c r="Q23" s="44">
        <f t="shared" si="4"/>
        <v>1723</v>
      </c>
      <c r="R23" s="52">
        <v>1603.5</v>
      </c>
      <c r="S23" s="51">
        <v>1.2179</v>
      </c>
      <c r="T23" s="51">
        <v>1.0906</v>
      </c>
      <c r="U23" s="50">
        <v>107.51</v>
      </c>
      <c r="V23" s="43">
        <v>1316.61</v>
      </c>
      <c r="W23" s="43">
        <v>1329.31</v>
      </c>
      <c r="X23" s="49">
        <f t="shared" si="5"/>
        <v>1470.2915826150743</v>
      </c>
      <c r="Y23" s="48">
        <v>1.2182999999999999</v>
      </c>
    </row>
    <row r="24" spans="2:25" x14ac:dyDescent="0.2">
      <c r="B24" s="47">
        <v>43977</v>
      </c>
      <c r="C24" s="46">
        <v>1660</v>
      </c>
      <c r="D24" s="45">
        <v>1660</v>
      </c>
      <c r="E24" s="44">
        <f t="shared" si="0"/>
        <v>1660</v>
      </c>
      <c r="F24" s="46">
        <v>1675.5</v>
      </c>
      <c r="G24" s="45">
        <v>1675.5</v>
      </c>
      <c r="H24" s="44">
        <f t="shared" si="1"/>
        <v>1675.5</v>
      </c>
      <c r="I24" s="46">
        <v>1724.5</v>
      </c>
      <c r="J24" s="45">
        <v>1724.5</v>
      </c>
      <c r="K24" s="44">
        <f t="shared" si="2"/>
        <v>1724.5</v>
      </c>
      <c r="L24" s="46">
        <v>1760</v>
      </c>
      <c r="M24" s="45">
        <v>1760</v>
      </c>
      <c r="N24" s="44">
        <f t="shared" si="3"/>
        <v>1760</v>
      </c>
      <c r="O24" s="46">
        <v>1780</v>
      </c>
      <c r="P24" s="45">
        <v>1780</v>
      </c>
      <c r="Q24" s="44">
        <f t="shared" si="4"/>
        <v>1780</v>
      </c>
      <c r="R24" s="52">
        <v>1660</v>
      </c>
      <c r="S24" s="51">
        <v>1.2338</v>
      </c>
      <c r="T24" s="51">
        <v>1.0979000000000001</v>
      </c>
      <c r="U24" s="50">
        <v>107.48</v>
      </c>
      <c r="V24" s="43">
        <v>1345.44</v>
      </c>
      <c r="W24" s="43">
        <v>1357.56</v>
      </c>
      <c r="X24" s="49">
        <f t="shared" si="5"/>
        <v>1511.9774114218051</v>
      </c>
      <c r="Y24" s="48">
        <v>1.2342</v>
      </c>
    </row>
    <row r="25" spans="2:25" x14ac:dyDescent="0.2">
      <c r="B25" s="47">
        <v>43978</v>
      </c>
      <c r="C25" s="46">
        <v>1641.5</v>
      </c>
      <c r="D25" s="45">
        <v>1641.5</v>
      </c>
      <c r="E25" s="44">
        <f t="shared" si="0"/>
        <v>1641.5</v>
      </c>
      <c r="F25" s="46">
        <v>1658.5</v>
      </c>
      <c r="G25" s="45">
        <v>1658.5</v>
      </c>
      <c r="H25" s="44">
        <f t="shared" si="1"/>
        <v>1658.5</v>
      </c>
      <c r="I25" s="46">
        <v>1708.5</v>
      </c>
      <c r="J25" s="45">
        <v>1708.5</v>
      </c>
      <c r="K25" s="44">
        <f t="shared" si="2"/>
        <v>1708.5</v>
      </c>
      <c r="L25" s="46">
        <v>1743</v>
      </c>
      <c r="M25" s="45">
        <v>1743</v>
      </c>
      <c r="N25" s="44">
        <f t="shared" si="3"/>
        <v>1743</v>
      </c>
      <c r="O25" s="46">
        <v>1763</v>
      </c>
      <c r="P25" s="45">
        <v>1763</v>
      </c>
      <c r="Q25" s="44">
        <f t="shared" si="4"/>
        <v>1763</v>
      </c>
      <c r="R25" s="52">
        <v>1641.5</v>
      </c>
      <c r="S25" s="51">
        <v>1.2312000000000001</v>
      </c>
      <c r="T25" s="51">
        <v>1.1017999999999999</v>
      </c>
      <c r="U25" s="50">
        <v>107.82</v>
      </c>
      <c r="V25" s="43">
        <v>1333.25</v>
      </c>
      <c r="W25" s="43">
        <v>1346.62</v>
      </c>
      <c r="X25" s="49">
        <f t="shared" si="5"/>
        <v>1489.8348157560358</v>
      </c>
      <c r="Y25" s="48">
        <v>1.2316</v>
      </c>
    </row>
    <row r="26" spans="2:25" x14ac:dyDescent="0.2">
      <c r="B26" s="47">
        <v>43979</v>
      </c>
      <c r="C26" s="46">
        <v>1609</v>
      </c>
      <c r="D26" s="45">
        <v>1609</v>
      </c>
      <c r="E26" s="44">
        <f t="shared" si="0"/>
        <v>1609</v>
      </c>
      <c r="F26" s="46">
        <v>1628.5</v>
      </c>
      <c r="G26" s="45">
        <v>1628.5</v>
      </c>
      <c r="H26" s="44">
        <f t="shared" si="1"/>
        <v>1628.5</v>
      </c>
      <c r="I26" s="46">
        <v>1678.5</v>
      </c>
      <c r="J26" s="45">
        <v>1678.5</v>
      </c>
      <c r="K26" s="44">
        <f t="shared" si="2"/>
        <v>1678.5</v>
      </c>
      <c r="L26" s="46">
        <v>1713</v>
      </c>
      <c r="M26" s="45">
        <v>1713</v>
      </c>
      <c r="N26" s="44">
        <f t="shared" si="3"/>
        <v>1713</v>
      </c>
      <c r="O26" s="46">
        <v>1733</v>
      </c>
      <c r="P26" s="45">
        <v>1733</v>
      </c>
      <c r="Q26" s="44">
        <f t="shared" si="4"/>
        <v>1733</v>
      </c>
      <c r="R26" s="52">
        <v>1609</v>
      </c>
      <c r="S26" s="51">
        <v>1.2254</v>
      </c>
      <c r="T26" s="51">
        <v>1.1007</v>
      </c>
      <c r="U26" s="50">
        <v>107.76</v>
      </c>
      <c r="V26" s="43">
        <v>1313.04</v>
      </c>
      <c r="W26" s="43">
        <v>1328.52</v>
      </c>
      <c r="X26" s="49">
        <f t="shared" si="5"/>
        <v>1461.7970382483875</v>
      </c>
      <c r="Y26" s="48">
        <v>1.2258</v>
      </c>
    </row>
    <row r="27" spans="2:25" x14ac:dyDescent="0.2">
      <c r="B27" s="47">
        <v>43980</v>
      </c>
      <c r="C27" s="46">
        <v>1615.5</v>
      </c>
      <c r="D27" s="45">
        <v>1615.5</v>
      </c>
      <c r="E27" s="44">
        <f t="shared" si="0"/>
        <v>1615.5</v>
      </c>
      <c r="F27" s="46">
        <v>1635</v>
      </c>
      <c r="G27" s="45">
        <v>1635</v>
      </c>
      <c r="H27" s="44">
        <f t="shared" si="1"/>
        <v>1635</v>
      </c>
      <c r="I27" s="46">
        <v>1683</v>
      </c>
      <c r="J27" s="45">
        <v>1683</v>
      </c>
      <c r="K27" s="44">
        <f t="shared" si="2"/>
        <v>1683</v>
      </c>
      <c r="L27" s="46">
        <v>1717.5</v>
      </c>
      <c r="M27" s="45">
        <v>1717.5</v>
      </c>
      <c r="N27" s="44">
        <f t="shared" si="3"/>
        <v>1717.5</v>
      </c>
      <c r="O27" s="46">
        <v>1737.5</v>
      </c>
      <c r="P27" s="45">
        <v>1737.5</v>
      </c>
      <c r="Q27" s="44">
        <f t="shared" si="4"/>
        <v>1737.5</v>
      </c>
      <c r="R27" s="52">
        <v>1615.5</v>
      </c>
      <c r="S27" s="51">
        <v>1.2364999999999999</v>
      </c>
      <c r="T27" s="51">
        <v>1.1134999999999999</v>
      </c>
      <c r="U27" s="50">
        <v>107.16</v>
      </c>
      <c r="V27" s="43">
        <v>1306.51</v>
      </c>
      <c r="W27" s="43">
        <v>1321.75</v>
      </c>
      <c r="X27" s="49">
        <f t="shared" si="5"/>
        <v>1450.8307139649753</v>
      </c>
      <c r="Y27" s="48">
        <v>1.2370000000000001</v>
      </c>
    </row>
    <row r="28" spans="2:25" s="10" customFormat="1" x14ac:dyDescent="0.2">
      <c r="B28" s="42" t="s">
        <v>11</v>
      </c>
      <c r="C28" s="41">
        <f>ROUND(AVERAGE(C9:C27),2)</f>
        <v>1618.16</v>
      </c>
      <c r="D28" s="40">
        <f>ROUND(AVERAGE(D9:D27),2)</f>
        <v>1618.16</v>
      </c>
      <c r="E28" s="39">
        <f>ROUND(AVERAGE(C28:D28),2)</f>
        <v>1618.16</v>
      </c>
      <c r="F28" s="41">
        <f>ROUND(AVERAGE(F9:F27),2)</f>
        <v>1637.74</v>
      </c>
      <c r="G28" s="40">
        <f>ROUND(AVERAGE(G9:G27),2)</f>
        <v>1637.74</v>
      </c>
      <c r="H28" s="39">
        <f>ROUND(AVERAGE(F28:G28),2)</f>
        <v>1637.74</v>
      </c>
      <c r="I28" s="41">
        <f>ROUND(AVERAGE(I9:I27),2)</f>
        <v>1688.29</v>
      </c>
      <c r="J28" s="40">
        <f>ROUND(AVERAGE(J9:J27),2)</f>
        <v>1688.29</v>
      </c>
      <c r="K28" s="39">
        <f>ROUND(AVERAGE(I28:J28),2)</f>
        <v>1688.29</v>
      </c>
      <c r="L28" s="41">
        <f>ROUND(AVERAGE(L9:L27),2)</f>
        <v>1718.74</v>
      </c>
      <c r="M28" s="40">
        <f>ROUND(AVERAGE(M9:M27),2)</f>
        <v>1718.74</v>
      </c>
      <c r="N28" s="39">
        <f>ROUND(AVERAGE(L28:M28),2)</f>
        <v>1718.74</v>
      </c>
      <c r="O28" s="41">
        <f>ROUND(AVERAGE(O9:O27),2)</f>
        <v>1743.05</v>
      </c>
      <c r="P28" s="40">
        <f>ROUND(AVERAGE(P9:P27),2)</f>
        <v>1743.05</v>
      </c>
      <c r="Q28" s="39">
        <f>ROUND(AVERAGE(O28:P28),2)</f>
        <v>1743.05</v>
      </c>
      <c r="R28" s="38">
        <f>ROUND(AVERAGE(R9:R27),2)</f>
        <v>1618.16</v>
      </c>
      <c r="S28" s="37">
        <f>ROUND(AVERAGE(S9:S27),4)</f>
        <v>1.2306999999999999</v>
      </c>
      <c r="T28" s="36">
        <f>ROUND(AVERAGE(T9:T27),4)</f>
        <v>1.0908</v>
      </c>
      <c r="U28" s="175">
        <f>ROUND(AVERAGE(U9:U27),2)</f>
        <v>107.2</v>
      </c>
      <c r="V28" s="35">
        <f>AVERAGE(V9:V27)</f>
        <v>1314.9410526315787</v>
      </c>
      <c r="W28" s="35">
        <f>AVERAGE(W9:W27)</f>
        <v>1330.3510526315793</v>
      </c>
      <c r="X28" s="35">
        <f>AVERAGE(X9:X27)</f>
        <v>1483.5013369300052</v>
      </c>
      <c r="Y28" s="34">
        <f>AVERAGE(Y9:Y27)</f>
        <v>1.2311368421052631</v>
      </c>
    </row>
    <row r="29" spans="2:25" s="5" customFormat="1" x14ac:dyDescent="0.2">
      <c r="B29" s="33" t="s">
        <v>12</v>
      </c>
      <c r="C29" s="32">
        <f t="shared" ref="C29:Y29" si="6">MAX(C9:C27)</f>
        <v>1663</v>
      </c>
      <c r="D29" s="31">
        <f t="shared" si="6"/>
        <v>1663</v>
      </c>
      <c r="E29" s="30">
        <f t="shared" si="6"/>
        <v>1663</v>
      </c>
      <c r="F29" s="32">
        <f t="shared" si="6"/>
        <v>1679.5</v>
      </c>
      <c r="G29" s="31">
        <f t="shared" si="6"/>
        <v>1679.5</v>
      </c>
      <c r="H29" s="30">
        <f t="shared" si="6"/>
        <v>1679.5</v>
      </c>
      <c r="I29" s="32">
        <f t="shared" si="6"/>
        <v>1728</v>
      </c>
      <c r="J29" s="31">
        <f t="shared" si="6"/>
        <v>1728</v>
      </c>
      <c r="K29" s="30">
        <f t="shared" si="6"/>
        <v>1728</v>
      </c>
      <c r="L29" s="32">
        <f t="shared" si="6"/>
        <v>1760</v>
      </c>
      <c r="M29" s="31">
        <f t="shared" si="6"/>
        <v>1760</v>
      </c>
      <c r="N29" s="30">
        <f t="shared" si="6"/>
        <v>1760</v>
      </c>
      <c r="O29" s="32">
        <f t="shared" si="6"/>
        <v>1783</v>
      </c>
      <c r="P29" s="31">
        <f t="shared" si="6"/>
        <v>1783</v>
      </c>
      <c r="Q29" s="30">
        <f t="shared" si="6"/>
        <v>1783</v>
      </c>
      <c r="R29" s="29">
        <f t="shared" si="6"/>
        <v>1663</v>
      </c>
      <c r="S29" s="28">
        <f t="shared" si="6"/>
        <v>1.2534000000000001</v>
      </c>
      <c r="T29" s="27">
        <f t="shared" si="6"/>
        <v>1.1134999999999999</v>
      </c>
      <c r="U29" s="26">
        <f t="shared" si="6"/>
        <v>107.82</v>
      </c>
      <c r="V29" s="25">
        <f t="shared" si="6"/>
        <v>1356</v>
      </c>
      <c r="W29" s="25">
        <f t="shared" si="6"/>
        <v>1368.9</v>
      </c>
      <c r="X29" s="25">
        <f t="shared" si="6"/>
        <v>1516.7821962787302</v>
      </c>
      <c r="Y29" s="24">
        <f t="shared" si="6"/>
        <v>1.2538</v>
      </c>
    </row>
    <row r="30" spans="2:25" s="5" customFormat="1" ht="13.5" thickBot="1" x14ac:dyDescent="0.25">
      <c r="B30" s="23" t="s">
        <v>13</v>
      </c>
      <c r="C30" s="22">
        <f t="shared" ref="C30:Y30" si="7">MIN(C9:C27)</f>
        <v>1576.5</v>
      </c>
      <c r="D30" s="21">
        <f t="shared" si="7"/>
        <v>1576.5</v>
      </c>
      <c r="E30" s="20">
        <f t="shared" si="7"/>
        <v>1576.5</v>
      </c>
      <c r="F30" s="22">
        <f t="shared" si="7"/>
        <v>1598</v>
      </c>
      <c r="G30" s="21">
        <f t="shared" si="7"/>
        <v>1598</v>
      </c>
      <c r="H30" s="20">
        <f t="shared" si="7"/>
        <v>1598</v>
      </c>
      <c r="I30" s="22">
        <f t="shared" si="7"/>
        <v>1648.5</v>
      </c>
      <c r="J30" s="21">
        <f t="shared" si="7"/>
        <v>1648.5</v>
      </c>
      <c r="K30" s="20">
        <f t="shared" si="7"/>
        <v>1648.5</v>
      </c>
      <c r="L30" s="22">
        <f t="shared" si="7"/>
        <v>1678.5</v>
      </c>
      <c r="M30" s="21">
        <f t="shared" si="7"/>
        <v>1678.5</v>
      </c>
      <c r="N30" s="20">
        <f t="shared" si="7"/>
        <v>1678.5</v>
      </c>
      <c r="O30" s="22">
        <f t="shared" si="7"/>
        <v>1703.5</v>
      </c>
      <c r="P30" s="21">
        <f t="shared" si="7"/>
        <v>1703.5</v>
      </c>
      <c r="Q30" s="20">
        <f t="shared" si="7"/>
        <v>1703.5</v>
      </c>
      <c r="R30" s="19">
        <f t="shared" si="7"/>
        <v>1576.5</v>
      </c>
      <c r="S30" s="18">
        <f t="shared" si="7"/>
        <v>1.2153</v>
      </c>
      <c r="T30" s="17">
        <f t="shared" si="7"/>
        <v>1.079</v>
      </c>
      <c r="U30" s="16">
        <f t="shared" si="7"/>
        <v>106.12</v>
      </c>
      <c r="V30" s="15">
        <f t="shared" si="7"/>
        <v>1262.96</v>
      </c>
      <c r="W30" s="15">
        <f t="shared" si="7"/>
        <v>1283.3</v>
      </c>
      <c r="X30" s="15">
        <f t="shared" si="7"/>
        <v>1442.5004556223803</v>
      </c>
      <c r="Y30" s="14">
        <f t="shared" si="7"/>
        <v>1.2157</v>
      </c>
    </row>
    <row r="32" spans="2:25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43952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43952</v>
      </c>
      <c r="C9" s="46">
        <v>15169</v>
      </c>
      <c r="D9" s="45">
        <v>15169</v>
      </c>
      <c r="E9" s="44">
        <f t="shared" ref="E9:E27" si="0">AVERAGE(C9:D9)</f>
        <v>15169</v>
      </c>
      <c r="F9" s="46">
        <v>14897</v>
      </c>
      <c r="G9" s="45">
        <v>14897</v>
      </c>
      <c r="H9" s="44">
        <f t="shared" ref="H9:H27" si="1">AVERAGE(F9:G9)</f>
        <v>14897</v>
      </c>
      <c r="I9" s="46">
        <v>14763</v>
      </c>
      <c r="J9" s="45">
        <v>14763</v>
      </c>
      <c r="K9" s="44">
        <f t="shared" ref="K9:K27" si="2">AVERAGE(I9:J9)</f>
        <v>14763</v>
      </c>
      <c r="L9" s="52">
        <v>15169</v>
      </c>
      <c r="M9" s="51">
        <v>1.2534000000000001</v>
      </c>
      <c r="N9" s="53">
        <v>1.0973999999999999</v>
      </c>
      <c r="O9" s="50">
        <v>106.7</v>
      </c>
      <c r="P9" s="43">
        <v>12102.28</v>
      </c>
      <c r="Q9" s="43">
        <v>11881.48</v>
      </c>
      <c r="R9" s="49">
        <f t="shared" ref="R9:R27" si="3">L9/N9</f>
        <v>13822.671769637325</v>
      </c>
      <c r="S9" s="48">
        <v>1.2538</v>
      </c>
    </row>
    <row r="10" spans="1:19" x14ac:dyDescent="0.2">
      <c r="B10" s="47">
        <v>43955</v>
      </c>
      <c r="C10" s="46">
        <v>15265</v>
      </c>
      <c r="D10" s="45">
        <v>15265</v>
      </c>
      <c r="E10" s="44">
        <f t="shared" si="0"/>
        <v>15265</v>
      </c>
      <c r="F10" s="46">
        <v>15138</v>
      </c>
      <c r="G10" s="45">
        <v>15138</v>
      </c>
      <c r="H10" s="44">
        <f t="shared" si="1"/>
        <v>15138</v>
      </c>
      <c r="I10" s="46">
        <v>14999</v>
      </c>
      <c r="J10" s="45">
        <v>14999</v>
      </c>
      <c r="K10" s="44">
        <f t="shared" si="2"/>
        <v>14999</v>
      </c>
      <c r="L10" s="52">
        <v>15265</v>
      </c>
      <c r="M10" s="51">
        <v>1.244</v>
      </c>
      <c r="N10" s="51">
        <v>1.0939000000000001</v>
      </c>
      <c r="O10" s="50">
        <v>106.81</v>
      </c>
      <c r="P10" s="43">
        <v>12270.9</v>
      </c>
      <c r="Q10" s="43">
        <v>12163.92</v>
      </c>
      <c r="R10" s="49">
        <f t="shared" si="3"/>
        <v>13954.657646951275</v>
      </c>
      <c r="S10" s="48">
        <v>1.2444999999999999</v>
      </c>
    </row>
    <row r="11" spans="1:19" x14ac:dyDescent="0.2">
      <c r="B11" s="47">
        <v>43956</v>
      </c>
      <c r="C11" s="46">
        <v>15380</v>
      </c>
      <c r="D11" s="45">
        <v>15380</v>
      </c>
      <c r="E11" s="44">
        <f t="shared" si="0"/>
        <v>15380</v>
      </c>
      <c r="F11" s="46">
        <v>15223</v>
      </c>
      <c r="G11" s="45">
        <v>15223</v>
      </c>
      <c r="H11" s="44">
        <f t="shared" si="1"/>
        <v>15223</v>
      </c>
      <c r="I11" s="46">
        <v>15086</v>
      </c>
      <c r="J11" s="45">
        <v>15086</v>
      </c>
      <c r="K11" s="44">
        <f t="shared" si="2"/>
        <v>15086</v>
      </c>
      <c r="L11" s="52">
        <v>15380</v>
      </c>
      <c r="M11" s="51">
        <v>1.2448999999999999</v>
      </c>
      <c r="N11" s="51">
        <v>1.0831999999999999</v>
      </c>
      <c r="O11" s="50">
        <v>106.74</v>
      </c>
      <c r="P11" s="43">
        <v>12354.41</v>
      </c>
      <c r="Q11" s="43">
        <v>12223.38</v>
      </c>
      <c r="R11" s="49">
        <f t="shared" si="3"/>
        <v>14198.670605612999</v>
      </c>
      <c r="S11" s="48">
        <v>1.2454000000000001</v>
      </c>
    </row>
    <row r="12" spans="1:19" x14ac:dyDescent="0.2">
      <c r="B12" s="47">
        <v>43957</v>
      </c>
      <c r="C12" s="46">
        <v>15060</v>
      </c>
      <c r="D12" s="45">
        <v>15060</v>
      </c>
      <c r="E12" s="44">
        <f t="shared" si="0"/>
        <v>15060</v>
      </c>
      <c r="F12" s="46">
        <v>15036</v>
      </c>
      <c r="G12" s="45">
        <v>15036</v>
      </c>
      <c r="H12" s="44">
        <f t="shared" si="1"/>
        <v>15036</v>
      </c>
      <c r="I12" s="46">
        <v>14893</v>
      </c>
      <c r="J12" s="45">
        <v>14893</v>
      </c>
      <c r="K12" s="44">
        <f t="shared" si="2"/>
        <v>14893</v>
      </c>
      <c r="L12" s="52">
        <v>15060</v>
      </c>
      <c r="M12" s="51">
        <v>1.2388999999999999</v>
      </c>
      <c r="N12" s="51">
        <v>1.0813999999999999</v>
      </c>
      <c r="O12" s="50">
        <v>106.12</v>
      </c>
      <c r="P12" s="43">
        <v>12155.94</v>
      </c>
      <c r="Q12" s="43">
        <v>12131.68</v>
      </c>
      <c r="R12" s="49">
        <f t="shared" si="3"/>
        <v>13926.39171444424</v>
      </c>
      <c r="S12" s="48">
        <v>1.2394000000000001</v>
      </c>
    </row>
    <row r="13" spans="1:19" x14ac:dyDescent="0.2">
      <c r="B13" s="47">
        <v>43958</v>
      </c>
      <c r="C13" s="46">
        <v>15298</v>
      </c>
      <c r="D13" s="45">
        <v>15298</v>
      </c>
      <c r="E13" s="44">
        <f t="shared" si="0"/>
        <v>15298</v>
      </c>
      <c r="F13" s="46">
        <v>15164</v>
      </c>
      <c r="G13" s="45">
        <v>15164</v>
      </c>
      <c r="H13" s="44">
        <f t="shared" si="1"/>
        <v>15164</v>
      </c>
      <c r="I13" s="46">
        <v>15020</v>
      </c>
      <c r="J13" s="45">
        <v>15020</v>
      </c>
      <c r="K13" s="44">
        <f t="shared" si="2"/>
        <v>15020</v>
      </c>
      <c r="L13" s="52">
        <v>15298</v>
      </c>
      <c r="M13" s="51">
        <v>1.2346999999999999</v>
      </c>
      <c r="N13" s="51">
        <v>1.079</v>
      </c>
      <c r="O13" s="50">
        <v>106.6</v>
      </c>
      <c r="P13" s="43">
        <v>12390.05</v>
      </c>
      <c r="Q13" s="43">
        <v>12276.55</v>
      </c>
      <c r="R13" s="49">
        <f t="shared" si="3"/>
        <v>14177.942539388323</v>
      </c>
      <c r="S13" s="48">
        <v>1.2352000000000001</v>
      </c>
    </row>
    <row r="14" spans="1:19" x14ac:dyDescent="0.2">
      <c r="B14" s="47">
        <v>43962</v>
      </c>
      <c r="C14" s="46">
        <v>15400</v>
      </c>
      <c r="D14" s="45">
        <v>15400</v>
      </c>
      <c r="E14" s="44">
        <f t="shared" si="0"/>
        <v>15400</v>
      </c>
      <c r="F14" s="46">
        <v>15210</v>
      </c>
      <c r="G14" s="45">
        <v>15210</v>
      </c>
      <c r="H14" s="44">
        <f t="shared" si="1"/>
        <v>15210</v>
      </c>
      <c r="I14" s="46">
        <v>15067</v>
      </c>
      <c r="J14" s="45">
        <v>15067</v>
      </c>
      <c r="K14" s="44">
        <f t="shared" si="2"/>
        <v>15067</v>
      </c>
      <c r="L14" s="52">
        <v>15400</v>
      </c>
      <c r="M14" s="51">
        <v>1.2292000000000001</v>
      </c>
      <c r="N14" s="51">
        <v>1.0813999999999999</v>
      </c>
      <c r="O14" s="50">
        <v>107.31</v>
      </c>
      <c r="P14" s="43">
        <v>12528.47</v>
      </c>
      <c r="Q14" s="43">
        <v>12368.87</v>
      </c>
      <c r="R14" s="49">
        <f t="shared" si="3"/>
        <v>14240.798964305532</v>
      </c>
      <c r="S14" s="48">
        <v>1.2297</v>
      </c>
    </row>
    <row r="15" spans="1:19" x14ac:dyDescent="0.2">
      <c r="B15" s="47">
        <v>43963</v>
      </c>
      <c r="C15" s="46">
        <v>15417</v>
      </c>
      <c r="D15" s="45">
        <v>15417</v>
      </c>
      <c r="E15" s="44">
        <f t="shared" si="0"/>
        <v>15417</v>
      </c>
      <c r="F15" s="46">
        <v>15250</v>
      </c>
      <c r="G15" s="45">
        <v>15250</v>
      </c>
      <c r="H15" s="44">
        <f t="shared" si="1"/>
        <v>15250</v>
      </c>
      <c r="I15" s="46">
        <v>15095</v>
      </c>
      <c r="J15" s="45">
        <v>15095</v>
      </c>
      <c r="K15" s="44">
        <f t="shared" si="2"/>
        <v>15095</v>
      </c>
      <c r="L15" s="52">
        <v>15417</v>
      </c>
      <c r="M15" s="51">
        <v>1.2371000000000001</v>
      </c>
      <c r="N15" s="51">
        <v>1.0849</v>
      </c>
      <c r="O15" s="50">
        <v>107.34</v>
      </c>
      <c r="P15" s="43">
        <v>12462.21</v>
      </c>
      <c r="Q15" s="43">
        <v>12322.24</v>
      </c>
      <c r="R15" s="49">
        <f t="shared" si="3"/>
        <v>14210.526315789473</v>
      </c>
      <c r="S15" s="48">
        <v>1.2376</v>
      </c>
    </row>
    <row r="16" spans="1:19" x14ac:dyDescent="0.2">
      <c r="B16" s="47">
        <v>43964</v>
      </c>
      <c r="C16" s="46">
        <v>15385</v>
      </c>
      <c r="D16" s="45">
        <v>15385</v>
      </c>
      <c r="E16" s="44">
        <f t="shared" si="0"/>
        <v>15385</v>
      </c>
      <c r="F16" s="46">
        <v>15154</v>
      </c>
      <c r="G16" s="45">
        <v>15154</v>
      </c>
      <c r="H16" s="44">
        <f t="shared" si="1"/>
        <v>15154</v>
      </c>
      <c r="I16" s="46">
        <v>14990</v>
      </c>
      <c r="J16" s="45">
        <v>14990</v>
      </c>
      <c r="K16" s="44">
        <f t="shared" si="2"/>
        <v>14990</v>
      </c>
      <c r="L16" s="52">
        <v>15385</v>
      </c>
      <c r="M16" s="51">
        <v>1.2322</v>
      </c>
      <c r="N16" s="51">
        <v>1.0876999999999999</v>
      </c>
      <c r="O16" s="50">
        <v>106.96</v>
      </c>
      <c r="P16" s="43">
        <v>12485.8</v>
      </c>
      <c r="Q16" s="43">
        <v>12293.34</v>
      </c>
      <c r="R16" s="49">
        <f t="shared" si="3"/>
        <v>14144.525144800957</v>
      </c>
      <c r="S16" s="48">
        <v>1.2326999999999999</v>
      </c>
    </row>
    <row r="17" spans="2:19" x14ac:dyDescent="0.2">
      <c r="B17" s="47">
        <v>43965</v>
      </c>
      <c r="C17" s="46">
        <v>15363</v>
      </c>
      <c r="D17" s="45">
        <v>15363</v>
      </c>
      <c r="E17" s="44">
        <f t="shared" si="0"/>
        <v>15363</v>
      </c>
      <c r="F17" s="46">
        <v>15150</v>
      </c>
      <c r="G17" s="45">
        <v>15150</v>
      </c>
      <c r="H17" s="44">
        <f t="shared" si="1"/>
        <v>15150</v>
      </c>
      <c r="I17" s="46">
        <v>14990</v>
      </c>
      <c r="J17" s="45">
        <v>14990</v>
      </c>
      <c r="K17" s="44">
        <f t="shared" si="2"/>
        <v>14990</v>
      </c>
      <c r="L17" s="52">
        <v>15363</v>
      </c>
      <c r="M17" s="51">
        <v>1.2199</v>
      </c>
      <c r="N17" s="51">
        <v>1.079</v>
      </c>
      <c r="O17" s="50">
        <v>107.08</v>
      </c>
      <c r="P17" s="43">
        <v>12593.66</v>
      </c>
      <c r="Q17" s="43">
        <v>12414.98</v>
      </c>
      <c r="R17" s="49">
        <f t="shared" si="3"/>
        <v>14238.183503243745</v>
      </c>
      <c r="S17" s="48">
        <v>1.2202999999999999</v>
      </c>
    </row>
    <row r="18" spans="2:19" x14ac:dyDescent="0.2">
      <c r="B18" s="47">
        <v>43966</v>
      </c>
      <c r="C18" s="46">
        <v>15250</v>
      </c>
      <c r="D18" s="45">
        <v>15250</v>
      </c>
      <c r="E18" s="44">
        <f t="shared" si="0"/>
        <v>15250</v>
      </c>
      <c r="F18" s="46">
        <v>15036</v>
      </c>
      <c r="G18" s="45">
        <v>15036</v>
      </c>
      <c r="H18" s="44">
        <f t="shared" si="1"/>
        <v>15036</v>
      </c>
      <c r="I18" s="46">
        <v>14869</v>
      </c>
      <c r="J18" s="45">
        <v>14869</v>
      </c>
      <c r="K18" s="44">
        <f t="shared" si="2"/>
        <v>14869</v>
      </c>
      <c r="L18" s="52">
        <v>15250</v>
      </c>
      <c r="M18" s="51">
        <v>1.216</v>
      </c>
      <c r="N18" s="51">
        <v>1.08</v>
      </c>
      <c r="O18" s="50">
        <v>107</v>
      </c>
      <c r="P18" s="43">
        <v>12541.12</v>
      </c>
      <c r="Q18" s="43">
        <v>12361.07</v>
      </c>
      <c r="R18" s="49">
        <f t="shared" si="3"/>
        <v>14120.370370370369</v>
      </c>
      <c r="S18" s="48">
        <v>1.2163999999999999</v>
      </c>
    </row>
    <row r="19" spans="2:19" x14ac:dyDescent="0.2">
      <c r="B19" s="47">
        <v>43969</v>
      </c>
      <c r="C19" s="46">
        <v>15240</v>
      </c>
      <c r="D19" s="45">
        <v>15240</v>
      </c>
      <c r="E19" s="44">
        <f t="shared" si="0"/>
        <v>15240</v>
      </c>
      <c r="F19" s="46">
        <v>15120</v>
      </c>
      <c r="G19" s="45">
        <v>15120</v>
      </c>
      <c r="H19" s="44">
        <f t="shared" si="1"/>
        <v>15120</v>
      </c>
      <c r="I19" s="46">
        <v>14955</v>
      </c>
      <c r="J19" s="45">
        <v>14955</v>
      </c>
      <c r="K19" s="44">
        <f t="shared" si="2"/>
        <v>14955</v>
      </c>
      <c r="L19" s="52">
        <v>15240</v>
      </c>
      <c r="M19" s="51">
        <v>1.2153</v>
      </c>
      <c r="N19" s="51">
        <v>1.0821000000000001</v>
      </c>
      <c r="O19" s="50">
        <v>107.28</v>
      </c>
      <c r="P19" s="43">
        <v>12540.11</v>
      </c>
      <c r="Q19" s="43">
        <v>12437.28</v>
      </c>
      <c r="R19" s="49">
        <f t="shared" si="3"/>
        <v>14083.726088161906</v>
      </c>
      <c r="S19" s="48">
        <v>1.2157</v>
      </c>
    </row>
    <row r="20" spans="2:19" x14ac:dyDescent="0.2">
      <c r="B20" s="47">
        <v>43970</v>
      </c>
      <c r="C20" s="46">
        <v>15405</v>
      </c>
      <c r="D20" s="45">
        <v>15405</v>
      </c>
      <c r="E20" s="44">
        <f t="shared" si="0"/>
        <v>15405</v>
      </c>
      <c r="F20" s="46">
        <v>15225</v>
      </c>
      <c r="G20" s="45">
        <v>15225</v>
      </c>
      <c r="H20" s="44">
        <f t="shared" si="1"/>
        <v>15225</v>
      </c>
      <c r="I20" s="46">
        <v>15061</v>
      </c>
      <c r="J20" s="45">
        <v>15061</v>
      </c>
      <c r="K20" s="44">
        <f t="shared" si="2"/>
        <v>15061</v>
      </c>
      <c r="L20" s="52">
        <v>15405</v>
      </c>
      <c r="M20" s="51">
        <v>1.2237</v>
      </c>
      <c r="N20" s="51">
        <v>1.0949</v>
      </c>
      <c r="O20" s="50">
        <v>107.75</v>
      </c>
      <c r="P20" s="43">
        <v>12588.87</v>
      </c>
      <c r="Q20" s="43">
        <v>12436.69</v>
      </c>
      <c r="R20" s="49">
        <f t="shared" si="3"/>
        <v>14069.778061923464</v>
      </c>
      <c r="S20" s="48">
        <v>1.2242</v>
      </c>
    </row>
    <row r="21" spans="2:19" x14ac:dyDescent="0.2">
      <c r="B21" s="47">
        <v>43971</v>
      </c>
      <c r="C21" s="46">
        <v>15483</v>
      </c>
      <c r="D21" s="45">
        <v>15483</v>
      </c>
      <c r="E21" s="44">
        <f t="shared" si="0"/>
        <v>15483</v>
      </c>
      <c r="F21" s="46">
        <v>15336</v>
      </c>
      <c r="G21" s="45">
        <v>15336</v>
      </c>
      <c r="H21" s="44">
        <f t="shared" si="1"/>
        <v>15336</v>
      </c>
      <c r="I21" s="46">
        <v>15174</v>
      </c>
      <c r="J21" s="45">
        <v>15174</v>
      </c>
      <c r="K21" s="44">
        <f t="shared" si="2"/>
        <v>15174</v>
      </c>
      <c r="L21" s="52">
        <v>15483</v>
      </c>
      <c r="M21" s="51">
        <v>1.2263999999999999</v>
      </c>
      <c r="N21" s="51">
        <v>1.0964</v>
      </c>
      <c r="O21" s="50">
        <v>107.61</v>
      </c>
      <c r="P21" s="43">
        <v>12624.76</v>
      </c>
      <c r="Q21" s="43">
        <v>12499.8</v>
      </c>
      <c r="R21" s="49">
        <f t="shared" si="3"/>
        <v>14121.670923020794</v>
      </c>
      <c r="S21" s="48">
        <v>1.2269000000000001</v>
      </c>
    </row>
    <row r="22" spans="2:19" x14ac:dyDescent="0.2">
      <c r="B22" s="47">
        <v>43972</v>
      </c>
      <c r="C22" s="46">
        <v>15760</v>
      </c>
      <c r="D22" s="45">
        <v>15760</v>
      </c>
      <c r="E22" s="44">
        <f t="shared" si="0"/>
        <v>15760</v>
      </c>
      <c r="F22" s="46">
        <v>15470</v>
      </c>
      <c r="G22" s="45">
        <v>15470</v>
      </c>
      <c r="H22" s="44">
        <f t="shared" si="1"/>
        <v>15470</v>
      </c>
      <c r="I22" s="46">
        <v>15321</v>
      </c>
      <c r="J22" s="45">
        <v>15321</v>
      </c>
      <c r="K22" s="44">
        <f t="shared" si="2"/>
        <v>15321</v>
      </c>
      <c r="L22" s="52">
        <v>15760</v>
      </c>
      <c r="M22" s="51">
        <v>1.2224999999999999</v>
      </c>
      <c r="N22" s="51">
        <v>1.0993999999999999</v>
      </c>
      <c r="O22" s="50">
        <v>107.7</v>
      </c>
      <c r="P22" s="43">
        <v>12891.62</v>
      </c>
      <c r="Q22" s="43">
        <v>12650.26</v>
      </c>
      <c r="R22" s="49">
        <f t="shared" si="3"/>
        <v>14335.091868291796</v>
      </c>
      <c r="S22" s="48">
        <v>1.2229000000000001</v>
      </c>
    </row>
    <row r="23" spans="2:19" x14ac:dyDescent="0.2">
      <c r="B23" s="47">
        <v>43973</v>
      </c>
      <c r="C23" s="46">
        <v>15495</v>
      </c>
      <c r="D23" s="45">
        <v>15495</v>
      </c>
      <c r="E23" s="44">
        <f t="shared" si="0"/>
        <v>15495</v>
      </c>
      <c r="F23" s="46">
        <v>15260</v>
      </c>
      <c r="G23" s="45">
        <v>15260</v>
      </c>
      <c r="H23" s="44">
        <f t="shared" si="1"/>
        <v>15260</v>
      </c>
      <c r="I23" s="46">
        <v>15107</v>
      </c>
      <c r="J23" s="45">
        <v>15107</v>
      </c>
      <c r="K23" s="44">
        <f t="shared" si="2"/>
        <v>15107</v>
      </c>
      <c r="L23" s="52">
        <v>15495</v>
      </c>
      <c r="M23" s="51">
        <v>1.2179</v>
      </c>
      <c r="N23" s="51">
        <v>1.0906</v>
      </c>
      <c r="O23" s="50">
        <v>107.51</v>
      </c>
      <c r="P23" s="43">
        <v>12722.72</v>
      </c>
      <c r="Q23" s="43">
        <v>12525.65</v>
      </c>
      <c r="R23" s="49">
        <f t="shared" si="3"/>
        <v>14207.775536401979</v>
      </c>
      <c r="S23" s="48">
        <v>1.2182999999999999</v>
      </c>
    </row>
    <row r="24" spans="2:19" x14ac:dyDescent="0.2">
      <c r="B24" s="47">
        <v>43977</v>
      </c>
      <c r="C24" s="46">
        <v>15590</v>
      </c>
      <c r="D24" s="45">
        <v>15590</v>
      </c>
      <c r="E24" s="44">
        <f t="shared" si="0"/>
        <v>15590</v>
      </c>
      <c r="F24" s="46">
        <v>15375</v>
      </c>
      <c r="G24" s="45">
        <v>15375</v>
      </c>
      <c r="H24" s="44">
        <f t="shared" si="1"/>
        <v>15375</v>
      </c>
      <c r="I24" s="46">
        <v>15225</v>
      </c>
      <c r="J24" s="45">
        <v>15225</v>
      </c>
      <c r="K24" s="44">
        <f t="shared" si="2"/>
        <v>15225</v>
      </c>
      <c r="L24" s="52">
        <v>15590</v>
      </c>
      <c r="M24" s="51">
        <v>1.2338</v>
      </c>
      <c r="N24" s="51">
        <v>1.0979000000000001</v>
      </c>
      <c r="O24" s="50">
        <v>107.48</v>
      </c>
      <c r="P24" s="43">
        <v>12635.76</v>
      </c>
      <c r="Q24" s="43">
        <v>12457.46</v>
      </c>
      <c r="R24" s="49">
        <f t="shared" si="3"/>
        <v>14199.836050642134</v>
      </c>
      <c r="S24" s="48">
        <v>1.2342</v>
      </c>
    </row>
    <row r="25" spans="2:19" x14ac:dyDescent="0.2">
      <c r="B25" s="47">
        <v>43978</v>
      </c>
      <c r="C25" s="46">
        <v>15610</v>
      </c>
      <c r="D25" s="45">
        <v>15610</v>
      </c>
      <c r="E25" s="44">
        <f t="shared" si="0"/>
        <v>15610</v>
      </c>
      <c r="F25" s="46">
        <v>15410</v>
      </c>
      <c r="G25" s="45">
        <v>15410</v>
      </c>
      <c r="H25" s="44">
        <f t="shared" si="1"/>
        <v>15410</v>
      </c>
      <c r="I25" s="46">
        <v>15267</v>
      </c>
      <c r="J25" s="45">
        <v>15267</v>
      </c>
      <c r="K25" s="44">
        <f t="shared" si="2"/>
        <v>15267</v>
      </c>
      <c r="L25" s="52">
        <v>15610</v>
      </c>
      <c r="M25" s="51">
        <v>1.2312000000000001</v>
      </c>
      <c r="N25" s="51">
        <v>1.1017999999999999</v>
      </c>
      <c r="O25" s="50">
        <v>107.82</v>
      </c>
      <c r="P25" s="43">
        <v>12678.69</v>
      </c>
      <c r="Q25" s="43">
        <v>12512.18</v>
      </c>
      <c r="R25" s="49">
        <f t="shared" si="3"/>
        <v>14167.725540025414</v>
      </c>
      <c r="S25" s="48">
        <v>1.2316</v>
      </c>
    </row>
    <row r="26" spans="2:19" x14ac:dyDescent="0.2">
      <c r="B26" s="47">
        <v>43979</v>
      </c>
      <c r="C26" s="46">
        <v>15590</v>
      </c>
      <c r="D26" s="45">
        <v>15590</v>
      </c>
      <c r="E26" s="44">
        <f t="shared" si="0"/>
        <v>15590</v>
      </c>
      <c r="F26" s="46">
        <v>15405</v>
      </c>
      <c r="G26" s="45">
        <v>15405</v>
      </c>
      <c r="H26" s="44">
        <f t="shared" si="1"/>
        <v>15405</v>
      </c>
      <c r="I26" s="46">
        <v>15269</v>
      </c>
      <c r="J26" s="45">
        <v>15269</v>
      </c>
      <c r="K26" s="44">
        <f t="shared" si="2"/>
        <v>15269</v>
      </c>
      <c r="L26" s="52">
        <v>15590</v>
      </c>
      <c r="M26" s="51">
        <v>1.2254</v>
      </c>
      <c r="N26" s="51">
        <v>1.1007</v>
      </c>
      <c r="O26" s="50">
        <v>107.76</v>
      </c>
      <c r="P26" s="43">
        <v>12722.38</v>
      </c>
      <c r="Q26" s="43">
        <v>12567.3</v>
      </c>
      <c r="R26" s="49">
        <f t="shared" si="3"/>
        <v>14163.714000181702</v>
      </c>
      <c r="S26" s="48">
        <v>1.2258</v>
      </c>
    </row>
    <row r="27" spans="2:19" x14ac:dyDescent="0.2">
      <c r="B27" s="47">
        <v>43980</v>
      </c>
      <c r="C27" s="46">
        <v>15602</v>
      </c>
      <c r="D27" s="45">
        <v>15602</v>
      </c>
      <c r="E27" s="44">
        <f t="shared" si="0"/>
        <v>15602</v>
      </c>
      <c r="F27" s="46">
        <v>15441</v>
      </c>
      <c r="G27" s="45">
        <v>15441</v>
      </c>
      <c r="H27" s="44">
        <f t="shared" si="1"/>
        <v>15441</v>
      </c>
      <c r="I27" s="46">
        <v>15305</v>
      </c>
      <c r="J27" s="45">
        <v>15305</v>
      </c>
      <c r="K27" s="44">
        <f t="shared" si="2"/>
        <v>15305</v>
      </c>
      <c r="L27" s="52">
        <v>15602</v>
      </c>
      <c r="M27" s="51">
        <v>1.2364999999999999</v>
      </c>
      <c r="N27" s="51">
        <v>1.1134999999999999</v>
      </c>
      <c r="O27" s="50">
        <v>107.16</v>
      </c>
      <c r="P27" s="43">
        <v>12617.87</v>
      </c>
      <c r="Q27" s="43">
        <v>12482.62</v>
      </c>
      <c r="R27" s="49">
        <f t="shared" si="3"/>
        <v>14011.674898967221</v>
      </c>
      <c r="S27" s="48">
        <v>1.2370000000000001</v>
      </c>
    </row>
    <row r="28" spans="2:19" s="10" customFormat="1" x14ac:dyDescent="0.2">
      <c r="B28" s="42" t="s">
        <v>11</v>
      </c>
      <c r="C28" s="41">
        <f>ROUND(AVERAGE(C9:C27),2)</f>
        <v>15408.53</v>
      </c>
      <c r="D28" s="40">
        <f>ROUND(AVERAGE(D9:D27),2)</f>
        <v>15408.53</v>
      </c>
      <c r="E28" s="39">
        <f>ROUND(AVERAGE(C28:D28),2)</f>
        <v>15408.53</v>
      </c>
      <c r="F28" s="41">
        <f>ROUND(AVERAGE(F9:F27),2)</f>
        <v>15226.32</v>
      </c>
      <c r="G28" s="40">
        <f>ROUND(AVERAGE(G9:G27),2)</f>
        <v>15226.32</v>
      </c>
      <c r="H28" s="39">
        <f>ROUND(AVERAGE(F28:G28),2)</f>
        <v>15226.32</v>
      </c>
      <c r="I28" s="41">
        <f>ROUND(AVERAGE(I9:I27),2)</f>
        <v>15076.63</v>
      </c>
      <c r="J28" s="40">
        <f>ROUND(AVERAGE(J9:J27),2)</f>
        <v>15076.63</v>
      </c>
      <c r="K28" s="39">
        <f>ROUND(AVERAGE(I28:J28),2)</f>
        <v>15076.63</v>
      </c>
      <c r="L28" s="38">
        <f>ROUND(AVERAGE(L9:L27),2)</f>
        <v>15408.53</v>
      </c>
      <c r="M28" s="37">
        <f>ROUND(AVERAGE(M9:M27),4)</f>
        <v>1.2306999999999999</v>
      </c>
      <c r="N28" s="36">
        <f>ROUND(AVERAGE(N9:N27),4)</f>
        <v>1.0908</v>
      </c>
      <c r="O28" s="175">
        <f>ROUND(AVERAGE(O9:O27),2)</f>
        <v>107.2</v>
      </c>
      <c r="P28" s="35">
        <f>AVERAGE(P9:P27)</f>
        <v>12521.453684210528</v>
      </c>
      <c r="Q28" s="35">
        <f>AVERAGE(Q9:Q27)</f>
        <v>12368.776315789471</v>
      </c>
      <c r="R28" s="35">
        <f>AVERAGE(R9:R27)</f>
        <v>14126.091133797927</v>
      </c>
      <c r="S28" s="34">
        <f>AVERAGE(S9:S27)</f>
        <v>1.2311368421052631</v>
      </c>
    </row>
    <row r="29" spans="2:19" s="5" customFormat="1" x14ac:dyDescent="0.2">
      <c r="B29" s="33" t="s">
        <v>12</v>
      </c>
      <c r="C29" s="32">
        <f t="shared" ref="C29:S29" si="4">MAX(C9:C27)</f>
        <v>15760</v>
      </c>
      <c r="D29" s="31">
        <f t="shared" si="4"/>
        <v>15760</v>
      </c>
      <c r="E29" s="30">
        <f t="shared" si="4"/>
        <v>15760</v>
      </c>
      <c r="F29" s="32">
        <f t="shared" si="4"/>
        <v>15470</v>
      </c>
      <c r="G29" s="31">
        <f t="shared" si="4"/>
        <v>15470</v>
      </c>
      <c r="H29" s="30">
        <f t="shared" si="4"/>
        <v>15470</v>
      </c>
      <c r="I29" s="32">
        <f t="shared" si="4"/>
        <v>15321</v>
      </c>
      <c r="J29" s="31">
        <f t="shared" si="4"/>
        <v>15321</v>
      </c>
      <c r="K29" s="30">
        <f t="shared" si="4"/>
        <v>15321</v>
      </c>
      <c r="L29" s="29">
        <f t="shared" si="4"/>
        <v>15760</v>
      </c>
      <c r="M29" s="28">
        <f t="shared" si="4"/>
        <v>1.2534000000000001</v>
      </c>
      <c r="N29" s="27">
        <f t="shared" si="4"/>
        <v>1.1134999999999999</v>
      </c>
      <c r="O29" s="26">
        <f t="shared" si="4"/>
        <v>107.82</v>
      </c>
      <c r="P29" s="25">
        <f t="shared" si="4"/>
        <v>12891.62</v>
      </c>
      <c r="Q29" s="25">
        <f t="shared" si="4"/>
        <v>12650.26</v>
      </c>
      <c r="R29" s="25">
        <f t="shared" si="4"/>
        <v>14335.091868291796</v>
      </c>
      <c r="S29" s="24">
        <f t="shared" si="4"/>
        <v>1.2538</v>
      </c>
    </row>
    <row r="30" spans="2:19" s="5" customFormat="1" ht="13.5" thickBot="1" x14ac:dyDescent="0.25">
      <c r="B30" s="23" t="s">
        <v>13</v>
      </c>
      <c r="C30" s="22">
        <f t="shared" ref="C30:S30" si="5">MIN(C9:C27)</f>
        <v>15060</v>
      </c>
      <c r="D30" s="21">
        <f t="shared" si="5"/>
        <v>15060</v>
      </c>
      <c r="E30" s="20">
        <f t="shared" si="5"/>
        <v>15060</v>
      </c>
      <c r="F30" s="22">
        <f t="shared" si="5"/>
        <v>14897</v>
      </c>
      <c r="G30" s="21">
        <f t="shared" si="5"/>
        <v>14897</v>
      </c>
      <c r="H30" s="20">
        <f t="shared" si="5"/>
        <v>14897</v>
      </c>
      <c r="I30" s="22">
        <f t="shared" si="5"/>
        <v>14763</v>
      </c>
      <c r="J30" s="21">
        <f t="shared" si="5"/>
        <v>14763</v>
      </c>
      <c r="K30" s="20">
        <f t="shared" si="5"/>
        <v>14763</v>
      </c>
      <c r="L30" s="19">
        <f t="shared" si="5"/>
        <v>15060</v>
      </c>
      <c r="M30" s="18">
        <f t="shared" si="5"/>
        <v>1.2153</v>
      </c>
      <c r="N30" s="17">
        <f t="shared" si="5"/>
        <v>1.079</v>
      </c>
      <c r="O30" s="16">
        <f t="shared" si="5"/>
        <v>106.12</v>
      </c>
      <c r="P30" s="15">
        <f t="shared" si="5"/>
        <v>12102.28</v>
      </c>
      <c r="Q30" s="15">
        <f t="shared" si="5"/>
        <v>11881.48</v>
      </c>
      <c r="R30" s="15">
        <f t="shared" si="5"/>
        <v>13822.671769637325</v>
      </c>
      <c r="S30" s="14">
        <f t="shared" si="5"/>
        <v>1.2157</v>
      </c>
    </row>
    <row r="32" spans="2:19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43952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43952</v>
      </c>
      <c r="C9" s="46">
        <v>11853</v>
      </c>
      <c r="D9" s="45">
        <v>11853</v>
      </c>
      <c r="E9" s="44">
        <f t="shared" ref="E9:E27" si="0">AVERAGE(C9:D9)</f>
        <v>11853</v>
      </c>
      <c r="F9" s="46">
        <v>11916</v>
      </c>
      <c r="G9" s="45">
        <v>11916</v>
      </c>
      <c r="H9" s="44">
        <f t="shared" ref="H9:H27" si="1">AVERAGE(F9:G9)</f>
        <v>11916</v>
      </c>
      <c r="I9" s="46">
        <v>12254</v>
      </c>
      <c r="J9" s="45">
        <v>12254</v>
      </c>
      <c r="K9" s="44">
        <f t="shared" ref="K9:K27" si="2">AVERAGE(I9:J9)</f>
        <v>12254</v>
      </c>
      <c r="L9" s="46">
        <v>12474</v>
      </c>
      <c r="M9" s="45">
        <v>12474</v>
      </c>
      <c r="N9" s="44">
        <f t="shared" ref="N9:N27" si="3">AVERAGE(L9:M9)</f>
        <v>12474</v>
      </c>
      <c r="O9" s="46">
        <v>12691</v>
      </c>
      <c r="P9" s="45">
        <v>12691</v>
      </c>
      <c r="Q9" s="44">
        <f t="shared" ref="Q9:Q27" si="4">AVERAGE(O9:P9)</f>
        <v>12691</v>
      </c>
      <c r="R9" s="52">
        <v>11853</v>
      </c>
      <c r="S9" s="51">
        <v>1.2534000000000001</v>
      </c>
      <c r="T9" s="53">
        <v>1.0973999999999999</v>
      </c>
      <c r="U9" s="50">
        <v>106.7</v>
      </c>
      <c r="V9" s="43">
        <v>9456.68</v>
      </c>
      <c r="W9" s="43">
        <v>9503.91</v>
      </c>
      <c r="X9" s="49">
        <f t="shared" ref="X9:X27" si="5">R9/T9</f>
        <v>10800.984144341171</v>
      </c>
      <c r="Y9" s="48">
        <v>1.2538</v>
      </c>
    </row>
    <row r="10" spans="1:25" x14ac:dyDescent="0.2">
      <c r="B10" s="47">
        <v>43955</v>
      </c>
      <c r="C10" s="46">
        <v>11785</v>
      </c>
      <c r="D10" s="45">
        <v>11785</v>
      </c>
      <c r="E10" s="44">
        <f t="shared" si="0"/>
        <v>11785</v>
      </c>
      <c r="F10" s="46">
        <v>11864</v>
      </c>
      <c r="G10" s="45">
        <v>11864</v>
      </c>
      <c r="H10" s="44">
        <f t="shared" si="1"/>
        <v>11864</v>
      </c>
      <c r="I10" s="46">
        <v>12216</v>
      </c>
      <c r="J10" s="45">
        <v>12216</v>
      </c>
      <c r="K10" s="44">
        <f t="shared" si="2"/>
        <v>12216</v>
      </c>
      <c r="L10" s="46">
        <v>12452</v>
      </c>
      <c r="M10" s="45">
        <v>12452</v>
      </c>
      <c r="N10" s="44">
        <f t="shared" si="3"/>
        <v>12452</v>
      </c>
      <c r="O10" s="46">
        <v>12669</v>
      </c>
      <c r="P10" s="45">
        <v>12669</v>
      </c>
      <c r="Q10" s="44">
        <f t="shared" si="4"/>
        <v>12669</v>
      </c>
      <c r="R10" s="52">
        <v>11785</v>
      </c>
      <c r="S10" s="51">
        <v>1.244</v>
      </c>
      <c r="T10" s="51">
        <v>1.0939000000000001</v>
      </c>
      <c r="U10" s="50">
        <v>106.81</v>
      </c>
      <c r="V10" s="43">
        <v>9473.4699999999993</v>
      </c>
      <c r="W10" s="43">
        <v>9533.15</v>
      </c>
      <c r="X10" s="49">
        <f t="shared" si="5"/>
        <v>10773.379650790748</v>
      </c>
      <c r="Y10" s="48">
        <v>1.2444999999999999</v>
      </c>
    </row>
    <row r="11" spans="1:25" x14ac:dyDescent="0.2">
      <c r="B11" s="47">
        <v>43956</v>
      </c>
      <c r="C11" s="46">
        <v>11805</v>
      </c>
      <c r="D11" s="45">
        <v>11805</v>
      </c>
      <c r="E11" s="44">
        <f t="shared" si="0"/>
        <v>11805</v>
      </c>
      <c r="F11" s="46">
        <v>11854</v>
      </c>
      <c r="G11" s="45">
        <v>11854</v>
      </c>
      <c r="H11" s="44">
        <f t="shared" si="1"/>
        <v>11854</v>
      </c>
      <c r="I11" s="46">
        <v>12219</v>
      </c>
      <c r="J11" s="45">
        <v>12219</v>
      </c>
      <c r="K11" s="44">
        <f t="shared" si="2"/>
        <v>12219</v>
      </c>
      <c r="L11" s="46">
        <v>12469</v>
      </c>
      <c r="M11" s="45">
        <v>12469</v>
      </c>
      <c r="N11" s="44">
        <f t="shared" si="3"/>
        <v>12469</v>
      </c>
      <c r="O11" s="46">
        <v>12686</v>
      </c>
      <c r="P11" s="45">
        <v>12686</v>
      </c>
      <c r="Q11" s="44">
        <f t="shared" si="4"/>
        <v>12686</v>
      </c>
      <c r="R11" s="52">
        <v>11805</v>
      </c>
      <c r="S11" s="51">
        <v>1.2448999999999999</v>
      </c>
      <c r="T11" s="51">
        <v>1.0831999999999999</v>
      </c>
      <c r="U11" s="50">
        <v>106.74</v>
      </c>
      <c r="V11" s="43">
        <v>9482.69</v>
      </c>
      <c r="W11" s="43">
        <v>9518.23</v>
      </c>
      <c r="X11" s="49">
        <f t="shared" si="5"/>
        <v>10898.264401772527</v>
      </c>
      <c r="Y11" s="48">
        <v>1.2454000000000001</v>
      </c>
    </row>
    <row r="12" spans="1:25" x14ac:dyDescent="0.2">
      <c r="B12" s="47">
        <v>43957</v>
      </c>
      <c r="C12" s="46">
        <v>12199</v>
      </c>
      <c r="D12" s="45">
        <v>12199</v>
      </c>
      <c r="E12" s="44">
        <f t="shared" si="0"/>
        <v>12199</v>
      </c>
      <c r="F12" s="46">
        <v>12273</v>
      </c>
      <c r="G12" s="45">
        <v>12273</v>
      </c>
      <c r="H12" s="44">
        <f t="shared" si="1"/>
        <v>12273</v>
      </c>
      <c r="I12" s="46">
        <v>12626</v>
      </c>
      <c r="J12" s="45">
        <v>12626</v>
      </c>
      <c r="K12" s="44">
        <f t="shared" si="2"/>
        <v>12626</v>
      </c>
      <c r="L12" s="46">
        <v>12866</v>
      </c>
      <c r="M12" s="45">
        <v>12866</v>
      </c>
      <c r="N12" s="44">
        <f t="shared" si="3"/>
        <v>12866</v>
      </c>
      <c r="O12" s="46">
        <v>13083</v>
      </c>
      <c r="P12" s="45">
        <v>13083</v>
      </c>
      <c r="Q12" s="44">
        <f t="shared" si="4"/>
        <v>13083</v>
      </c>
      <c r="R12" s="52">
        <v>12199</v>
      </c>
      <c r="S12" s="51">
        <v>1.2388999999999999</v>
      </c>
      <c r="T12" s="51">
        <v>1.0813999999999999</v>
      </c>
      <c r="U12" s="50">
        <v>106.12</v>
      </c>
      <c r="V12" s="43">
        <v>9846.64</v>
      </c>
      <c r="W12" s="43">
        <v>9902.3700000000008</v>
      </c>
      <c r="X12" s="49">
        <f t="shared" si="5"/>
        <v>11280.747179582024</v>
      </c>
      <c r="Y12" s="48">
        <v>1.2394000000000001</v>
      </c>
    </row>
    <row r="13" spans="1:25" x14ac:dyDescent="0.2">
      <c r="B13" s="47">
        <v>43958</v>
      </c>
      <c r="C13" s="46">
        <v>12247</v>
      </c>
      <c r="D13" s="45">
        <v>12247</v>
      </c>
      <c r="E13" s="44">
        <f t="shared" si="0"/>
        <v>12247</v>
      </c>
      <c r="F13" s="46">
        <v>12313</v>
      </c>
      <c r="G13" s="45">
        <v>12313</v>
      </c>
      <c r="H13" s="44">
        <f t="shared" si="1"/>
        <v>12313</v>
      </c>
      <c r="I13" s="46">
        <v>12664</v>
      </c>
      <c r="J13" s="45">
        <v>12664</v>
      </c>
      <c r="K13" s="44">
        <f t="shared" si="2"/>
        <v>12664</v>
      </c>
      <c r="L13" s="46">
        <v>12899</v>
      </c>
      <c r="M13" s="45">
        <v>12899</v>
      </c>
      <c r="N13" s="44">
        <f t="shared" si="3"/>
        <v>12899</v>
      </c>
      <c r="O13" s="46">
        <v>13116</v>
      </c>
      <c r="P13" s="45">
        <v>13116</v>
      </c>
      <c r="Q13" s="44">
        <f t="shared" si="4"/>
        <v>13116</v>
      </c>
      <c r="R13" s="52">
        <v>12247</v>
      </c>
      <c r="S13" s="51">
        <v>1.2346999999999999</v>
      </c>
      <c r="T13" s="51">
        <v>1.079</v>
      </c>
      <c r="U13" s="50">
        <v>106.6</v>
      </c>
      <c r="V13" s="43">
        <v>9919.01</v>
      </c>
      <c r="W13" s="43">
        <v>9968.43</v>
      </c>
      <c r="X13" s="49">
        <f t="shared" si="5"/>
        <v>11350.324374420761</v>
      </c>
      <c r="Y13" s="48">
        <v>1.2352000000000001</v>
      </c>
    </row>
    <row r="14" spans="1:25" x14ac:dyDescent="0.2">
      <c r="B14" s="47">
        <v>43962</v>
      </c>
      <c r="C14" s="46">
        <v>12188</v>
      </c>
      <c r="D14" s="45">
        <v>12188</v>
      </c>
      <c r="E14" s="44">
        <f t="shared" si="0"/>
        <v>12188</v>
      </c>
      <c r="F14" s="46">
        <v>12256</v>
      </c>
      <c r="G14" s="45">
        <v>12256</v>
      </c>
      <c r="H14" s="44">
        <f t="shared" si="1"/>
        <v>12256</v>
      </c>
      <c r="I14" s="46">
        <v>12595</v>
      </c>
      <c r="J14" s="45">
        <v>12595</v>
      </c>
      <c r="K14" s="44">
        <f t="shared" si="2"/>
        <v>12595</v>
      </c>
      <c r="L14" s="46">
        <v>12838</v>
      </c>
      <c r="M14" s="45">
        <v>12838</v>
      </c>
      <c r="N14" s="44">
        <f t="shared" si="3"/>
        <v>12838</v>
      </c>
      <c r="O14" s="46">
        <v>13055</v>
      </c>
      <c r="P14" s="45">
        <v>13055</v>
      </c>
      <c r="Q14" s="44">
        <f t="shared" si="4"/>
        <v>13055</v>
      </c>
      <c r="R14" s="52">
        <v>12188</v>
      </c>
      <c r="S14" s="51">
        <v>1.2292000000000001</v>
      </c>
      <c r="T14" s="51">
        <v>1.0813999999999999</v>
      </c>
      <c r="U14" s="50">
        <v>107.31</v>
      </c>
      <c r="V14" s="43">
        <v>9915.39</v>
      </c>
      <c r="W14" s="43">
        <v>9966.66</v>
      </c>
      <c r="X14" s="49">
        <f t="shared" si="5"/>
        <v>11270.575180321806</v>
      </c>
      <c r="Y14" s="48">
        <v>1.2297</v>
      </c>
    </row>
    <row r="15" spans="1:25" x14ac:dyDescent="0.2">
      <c r="B15" s="47">
        <v>43963</v>
      </c>
      <c r="C15" s="46">
        <v>12275</v>
      </c>
      <c r="D15" s="45">
        <v>12275</v>
      </c>
      <c r="E15" s="44">
        <f t="shared" si="0"/>
        <v>12275</v>
      </c>
      <c r="F15" s="46">
        <v>12332</v>
      </c>
      <c r="G15" s="45">
        <v>12332</v>
      </c>
      <c r="H15" s="44">
        <f t="shared" si="1"/>
        <v>12332</v>
      </c>
      <c r="I15" s="46">
        <v>12665</v>
      </c>
      <c r="J15" s="45">
        <v>12665</v>
      </c>
      <c r="K15" s="44">
        <f t="shared" si="2"/>
        <v>12665</v>
      </c>
      <c r="L15" s="46">
        <v>12900</v>
      </c>
      <c r="M15" s="45">
        <v>12900</v>
      </c>
      <c r="N15" s="44">
        <f t="shared" si="3"/>
        <v>12900</v>
      </c>
      <c r="O15" s="46">
        <v>13130</v>
      </c>
      <c r="P15" s="45">
        <v>13130</v>
      </c>
      <c r="Q15" s="44">
        <f t="shared" si="4"/>
        <v>13130</v>
      </c>
      <c r="R15" s="52">
        <v>12275</v>
      </c>
      <c r="S15" s="51">
        <v>1.2371000000000001</v>
      </c>
      <c r="T15" s="51">
        <v>1.0849</v>
      </c>
      <c r="U15" s="50">
        <v>107.34</v>
      </c>
      <c r="V15" s="43">
        <v>9922.4</v>
      </c>
      <c r="W15" s="43">
        <v>9964.4500000000007</v>
      </c>
      <c r="X15" s="49">
        <f t="shared" si="5"/>
        <v>11314.406857774911</v>
      </c>
      <c r="Y15" s="48">
        <v>1.2376</v>
      </c>
    </row>
    <row r="16" spans="1:25" x14ac:dyDescent="0.2">
      <c r="B16" s="47">
        <v>43964</v>
      </c>
      <c r="C16" s="46">
        <v>12200</v>
      </c>
      <c r="D16" s="45">
        <v>12200</v>
      </c>
      <c r="E16" s="44">
        <f t="shared" si="0"/>
        <v>12200</v>
      </c>
      <c r="F16" s="46">
        <v>12275</v>
      </c>
      <c r="G16" s="45">
        <v>12275</v>
      </c>
      <c r="H16" s="44">
        <f t="shared" si="1"/>
        <v>12275</v>
      </c>
      <c r="I16" s="46">
        <v>12606</v>
      </c>
      <c r="J16" s="45">
        <v>12606</v>
      </c>
      <c r="K16" s="44">
        <f t="shared" si="2"/>
        <v>12606</v>
      </c>
      <c r="L16" s="46">
        <v>12844</v>
      </c>
      <c r="M16" s="45">
        <v>12844</v>
      </c>
      <c r="N16" s="44">
        <f t="shared" si="3"/>
        <v>12844</v>
      </c>
      <c r="O16" s="46">
        <v>13078</v>
      </c>
      <c r="P16" s="45">
        <v>13078</v>
      </c>
      <c r="Q16" s="44">
        <f t="shared" si="4"/>
        <v>13078</v>
      </c>
      <c r="R16" s="52">
        <v>12200</v>
      </c>
      <c r="S16" s="51">
        <v>1.2322</v>
      </c>
      <c r="T16" s="51">
        <v>1.0876999999999999</v>
      </c>
      <c r="U16" s="50">
        <v>106.96</v>
      </c>
      <c r="V16" s="43">
        <v>9900.99</v>
      </c>
      <c r="W16" s="43">
        <v>9957.82</v>
      </c>
      <c r="X16" s="49">
        <f t="shared" si="5"/>
        <v>11216.328031626368</v>
      </c>
      <c r="Y16" s="48">
        <v>1.2326999999999999</v>
      </c>
    </row>
    <row r="17" spans="2:25" x14ac:dyDescent="0.2">
      <c r="B17" s="47">
        <v>43965</v>
      </c>
      <c r="C17" s="46">
        <v>12084</v>
      </c>
      <c r="D17" s="45">
        <v>12084</v>
      </c>
      <c r="E17" s="44">
        <f t="shared" si="0"/>
        <v>12084</v>
      </c>
      <c r="F17" s="46">
        <v>12157</v>
      </c>
      <c r="G17" s="45">
        <v>12157</v>
      </c>
      <c r="H17" s="44">
        <f t="shared" si="1"/>
        <v>12157</v>
      </c>
      <c r="I17" s="46">
        <v>12487</v>
      </c>
      <c r="J17" s="45">
        <v>12487</v>
      </c>
      <c r="K17" s="44">
        <f t="shared" si="2"/>
        <v>12487</v>
      </c>
      <c r="L17" s="46">
        <v>12722</v>
      </c>
      <c r="M17" s="45">
        <v>12722</v>
      </c>
      <c r="N17" s="44">
        <f t="shared" si="3"/>
        <v>12722</v>
      </c>
      <c r="O17" s="46">
        <v>12957</v>
      </c>
      <c r="P17" s="45">
        <v>12957</v>
      </c>
      <c r="Q17" s="44">
        <f t="shared" si="4"/>
        <v>12957</v>
      </c>
      <c r="R17" s="52">
        <v>12084</v>
      </c>
      <c r="S17" s="51">
        <v>1.2199</v>
      </c>
      <c r="T17" s="51">
        <v>1.079</v>
      </c>
      <c r="U17" s="50">
        <v>107.08</v>
      </c>
      <c r="V17" s="43">
        <v>9905.73</v>
      </c>
      <c r="W17" s="43">
        <v>9962.2999999999993</v>
      </c>
      <c r="X17" s="49">
        <f t="shared" si="5"/>
        <v>11199.258572752549</v>
      </c>
      <c r="Y17" s="48">
        <v>1.2202999999999999</v>
      </c>
    </row>
    <row r="18" spans="2:25" x14ac:dyDescent="0.2">
      <c r="B18" s="47">
        <v>43966</v>
      </c>
      <c r="C18" s="46">
        <v>11807</v>
      </c>
      <c r="D18" s="45">
        <v>11807</v>
      </c>
      <c r="E18" s="44">
        <f t="shared" si="0"/>
        <v>11807</v>
      </c>
      <c r="F18" s="46">
        <v>11874</v>
      </c>
      <c r="G18" s="45">
        <v>11874</v>
      </c>
      <c r="H18" s="44">
        <f t="shared" si="1"/>
        <v>11874</v>
      </c>
      <c r="I18" s="46">
        <v>12201</v>
      </c>
      <c r="J18" s="45">
        <v>12201</v>
      </c>
      <c r="K18" s="44">
        <f t="shared" si="2"/>
        <v>12201</v>
      </c>
      <c r="L18" s="46">
        <v>12429</v>
      </c>
      <c r="M18" s="45">
        <v>12429</v>
      </c>
      <c r="N18" s="44">
        <f t="shared" si="3"/>
        <v>12429</v>
      </c>
      <c r="O18" s="46">
        <v>12664</v>
      </c>
      <c r="P18" s="45">
        <v>12664</v>
      </c>
      <c r="Q18" s="44">
        <f t="shared" si="4"/>
        <v>12664</v>
      </c>
      <c r="R18" s="52">
        <v>11807</v>
      </c>
      <c r="S18" s="51">
        <v>1.216</v>
      </c>
      <c r="T18" s="51">
        <v>1.08</v>
      </c>
      <c r="U18" s="50">
        <v>107</v>
      </c>
      <c r="V18" s="43">
        <v>9709.7000000000007</v>
      </c>
      <c r="W18" s="43">
        <v>9761.59</v>
      </c>
      <c r="X18" s="49">
        <f t="shared" si="5"/>
        <v>10932.407407407407</v>
      </c>
      <c r="Y18" s="48">
        <v>1.2163999999999999</v>
      </c>
    </row>
    <row r="19" spans="2:25" x14ac:dyDescent="0.2">
      <c r="B19" s="47">
        <v>43969</v>
      </c>
      <c r="C19" s="46">
        <v>11950</v>
      </c>
      <c r="D19" s="45">
        <v>11950</v>
      </c>
      <c r="E19" s="44">
        <f t="shared" si="0"/>
        <v>11950</v>
      </c>
      <c r="F19" s="46">
        <v>12036</v>
      </c>
      <c r="G19" s="45">
        <v>12036</v>
      </c>
      <c r="H19" s="44">
        <f t="shared" si="1"/>
        <v>12036</v>
      </c>
      <c r="I19" s="46">
        <v>12364</v>
      </c>
      <c r="J19" s="45">
        <v>12364</v>
      </c>
      <c r="K19" s="44">
        <f t="shared" si="2"/>
        <v>12364</v>
      </c>
      <c r="L19" s="46">
        <v>12594</v>
      </c>
      <c r="M19" s="45">
        <v>12594</v>
      </c>
      <c r="N19" s="44">
        <f t="shared" si="3"/>
        <v>12594</v>
      </c>
      <c r="O19" s="46">
        <v>12829</v>
      </c>
      <c r="P19" s="45">
        <v>12829</v>
      </c>
      <c r="Q19" s="44">
        <f t="shared" si="4"/>
        <v>12829</v>
      </c>
      <c r="R19" s="52">
        <v>11950</v>
      </c>
      <c r="S19" s="51">
        <v>1.2153</v>
      </c>
      <c r="T19" s="51">
        <v>1.0821000000000001</v>
      </c>
      <c r="U19" s="50">
        <v>107.28</v>
      </c>
      <c r="V19" s="43">
        <v>9832.9599999999991</v>
      </c>
      <c r="W19" s="43">
        <v>9900.4699999999993</v>
      </c>
      <c r="X19" s="49">
        <f t="shared" si="5"/>
        <v>11043.341650494409</v>
      </c>
      <c r="Y19" s="48">
        <v>1.2157</v>
      </c>
    </row>
    <row r="20" spans="2:25" x14ac:dyDescent="0.2">
      <c r="B20" s="47">
        <v>43970</v>
      </c>
      <c r="C20" s="46">
        <v>12300</v>
      </c>
      <c r="D20" s="45">
        <v>12300</v>
      </c>
      <c r="E20" s="44">
        <f t="shared" si="0"/>
        <v>12300</v>
      </c>
      <c r="F20" s="46">
        <v>12349</v>
      </c>
      <c r="G20" s="45">
        <v>12349</v>
      </c>
      <c r="H20" s="44">
        <f t="shared" si="1"/>
        <v>12349</v>
      </c>
      <c r="I20" s="46">
        <v>12679</v>
      </c>
      <c r="J20" s="45">
        <v>12679</v>
      </c>
      <c r="K20" s="44">
        <f t="shared" si="2"/>
        <v>12679</v>
      </c>
      <c r="L20" s="46">
        <v>12909</v>
      </c>
      <c r="M20" s="45">
        <v>12909</v>
      </c>
      <c r="N20" s="44">
        <f t="shared" si="3"/>
        <v>12909</v>
      </c>
      <c r="O20" s="46">
        <v>13144</v>
      </c>
      <c r="P20" s="45">
        <v>13144</v>
      </c>
      <c r="Q20" s="44">
        <f t="shared" si="4"/>
        <v>13144</v>
      </c>
      <c r="R20" s="52">
        <v>12300</v>
      </c>
      <c r="S20" s="51">
        <v>1.2237</v>
      </c>
      <c r="T20" s="51">
        <v>1.0949</v>
      </c>
      <c r="U20" s="50">
        <v>107.75</v>
      </c>
      <c r="V20" s="43">
        <v>10051.48</v>
      </c>
      <c r="W20" s="43">
        <v>10087.4</v>
      </c>
      <c r="X20" s="49">
        <f t="shared" si="5"/>
        <v>11233.902639510457</v>
      </c>
      <c r="Y20" s="48">
        <v>1.2242</v>
      </c>
    </row>
    <row r="21" spans="2:25" x14ac:dyDescent="0.2">
      <c r="B21" s="47">
        <v>43971</v>
      </c>
      <c r="C21" s="46">
        <v>12335</v>
      </c>
      <c r="D21" s="45">
        <v>12335</v>
      </c>
      <c r="E21" s="44">
        <f t="shared" si="0"/>
        <v>12335</v>
      </c>
      <c r="F21" s="46">
        <v>12408</v>
      </c>
      <c r="G21" s="45">
        <v>12408</v>
      </c>
      <c r="H21" s="44">
        <f t="shared" si="1"/>
        <v>12408</v>
      </c>
      <c r="I21" s="46">
        <v>12740</v>
      </c>
      <c r="J21" s="45">
        <v>12740</v>
      </c>
      <c r="K21" s="44">
        <f t="shared" si="2"/>
        <v>12740</v>
      </c>
      <c r="L21" s="46">
        <v>12966</v>
      </c>
      <c r="M21" s="45">
        <v>12966</v>
      </c>
      <c r="N21" s="44">
        <f t="shared" si="3"/>
        <v>12966</v>
      </c>
      <c r="O21" s="46">
        <v>13201</v>
      </c>
      <c r="P21" s="45">
        <v>13201</v>
      </c>
      <c r="Q21" s="44">
        <f t="shared" si="4"/>
        <v>13201</v>
      </c>
      <c r="R21" s="52">
        <v>12335</v>
      </c>
      <c r="S21" s="51">
        <v>1.2263999999999999</v>
      </c>
      <c r="T21" s="51">
        <v>1.0964</v>
      </c>
      <c r="U21" s="50">
        <v>107.61</v>
      </c>
      <c r="V21" s="43">
        <v>10057.89</v>
      </c>
      <c r="W21" s="43">
        <v>10113.290000000001</v>
      </c>
      <c r="X21" s="49">
        <f t="shared" si="5"/>
        <v>11250.456037942356</v>
      </c>
      <c r="Y21" s="48">
        <v>1.2269000000000001</v>
      </c>
    </row>
    <row r="22" spans="2:25" x14ac:dyDescent="0.2">
      <c r="B22" s="47">
        <v>43972</v>
      </c>
      <c r="C22" s="46">
        <v>12762</v>
      </c>
      <c r="D22" s="45">
        <v>12762</v>
      </c>
      <c r="E22" s="44">
        <f t="shared" si="0"/>
        <v>12762</v>
      </c>
      <c r="F22" s="46">
        <v>12827</v>
      </c>
      <c r="G22" s="45">
        <v>12827</v>
      </c>
      <c r="H22" s="44">
        <f t="shared" si="1"/>
        <v>12827</v>
      </c>
      <c r="I22" s="46">
        <v>13158</v>
      </c>
      <c r="J22" s="45">
        <v>13158</v>
      </c>
      <c r="K22" s="44">
        <f t="shared" si="2"/>
        <v>13158</v>
      </c>
      <c r="L22" s="46">
        <v>13384</v>
      </c>
      <c r="M22" s="45">
        <v>13384</v>
      </c>
      <c r="N22" s="44">
        <f t="shared" si="3"/>
        <v>13384</v>
      </c>
      <c r="O22" s="46">
        <v>13619</v>
      </c>
      <c r="P22" s="45">
        <v>13619</v>
      </c>
      <c r="Q22" s="44">
        <f t="shared" si="4"/>
        <v>13619</v>
      </c>
      <c r="R22" s="52">
        <v>12762</v>
      </c>
      <c r="S22" s="51">
        <v>1.2224999999999999</v>
      </c>
      <c r="T22" s="51">
        <v>1.0993999999999999</v>
      </c>
      <c r="U22" s="50">
        <v>107.7</v>
      </c>
      <c r="V22" s="43">
        <v>10439.26</v>
      </c>
      <c r="W22" s="43">
        <v>10489</v>
      </c>
      <c r="X22" s="49">
        <f t="shared" si="5"/>
        <v>11608.149899945425</v>
      </c>
      <c r="Y22" s="48">
        <v>1.2229000000000001</v>
      </c>
    </row>
    <row r="23" spans="2:25" x14ac:dyDescent="0.2">
      <c r="B23" s="47">
        <v>43973</v>
      </c>
      <c r="C23" s="46">
        <v>12124</v>
      </c>
      <c r="D23" s="45">
        <v>12124</v>
      </c>
      <c r="E23" s="44">
        <f t="shared" si="0"/>
        <v>12124</v>
      </c>
      <c r="F23" s="46">
        <v>12199</v>
      </c>
      <c r="G23" s="45">
        <v>12199</v>
      </c>
      <c r="H23" s="44">
        <f t="shared" si="1"/>
        <v>12199</v>
      </c>
      <c r="I23" s="46">
        <v>12537</v>
      </c>
      <c r="J23" s="45">
        <v>12537</v>
      </c>
      <c r="K23" s="44">
        <f t="shared" si="2"/>
        <v>12537</v>
      </c>
      <c r="L23" s="46">
        <v>12774</v>
      </c>
      <c r="M23" s="45">
        <v>12774</v>
      </c>
      <c r="N23" s="44">
        <f t="shared" si="3"/>
        <v>12774</v>
      </c>
      <c r="O23" s="46">
        <v>13009</v>
      </c>
      <c r="P23" s="45">
        <v>13009</v>
      </c>
      <c r="Q23" s="44">
        <f t="shared" si="4"/>
        <v>13009</v>
      </c>
      <c r="R23" s="52">
        <v>12124</v>
      </c>
      <c r="S23" s="51">
        <v>1.2179</v>
      </c>
      <c r="T23" s="51">
        <v>1.0906</v>
      </c>
      <c r="U23" s="50">
        <v>107.51</v>
      </c>
      <c r="V23" s="43">
        <v>9954.84</v>
      </c>
      <c r="W23" s="43">
        <v>10013.129999999999</v>
      </c>
      <c r="X23" s="49">
        <f t="shared" si="5"/>
        <v>11116.816431322208</v>
      </c>
      <c r="Y23" s="48">
        <v>1.2182999999999999</v>
      </c>
    </row>
    <row r="24" spans="2:25" x14ac:dyDescent="0.2">
      <c r="B24" s="47">
        <v>43977</v>
      </c>
      <c r="C24" s="46">
        <v>12260</v>
      </c>
      <c r="D24" s="45">
        <v>12260</v>
      </c>
      <c r="E24" s="44">
        <f t="shared" si="0"/>
        <v>12260</v>
      </c>
      <c r="F24" s="46">
        <v>12348</v>
      </c>
      <c r="G24" s="45">
        <v>12348</v>
      </c>
      <c r="H24" s="44">
        <f t="shared" si="1"/>
        <v>12348</v>
      </c>
      <c r="I24" s="46">
        <v>12676</v>
      </c>
      <c r="J24" s="45">
        <v>12676</v>
      </c>
      <c r="K24" s="44">
        <f t="shared" si="2"/>
        <v>12676</v>
      </c>
      <c r="L24" s="46">
        <v>12906</v>
      </c>
      <c r="M24" s="45">
        <v>12906</v>
      </c>
      <c r="N24" s="44">
        <f t="shared" si="3"/>
        <v>12906</v>
      </c>
      <c r="O24" s="46">
        <v>13141</v>
      </c>
      <c r="P24" s="45">
        <v>13141</v>
      </c>
      <c r="Q24" s="44">
        <f t="shared" si="4"/>
        <v>13141</v>
      </c>
      <c r="R24" s="52">
        <v>12260</v>
      </c>
      <c r="S24" s="51">
        <v>1.2338</v>
      </c>
      <c r="T24" s="51">
        <v>1.0979000000000001</v>
      </c>
      <c r="U24" s="50">
        <v>107.48</v>
      </c>
      <c r="V24" s="43">
        <v>9936.7800000000007</v>
      </c>
      <c r="W24" s="43">
        <v>10004.86</v>
      </c>
      <c r="X24" s="49">
        <f t="shared" si="5"/>
        <v>11166.772930139356</v>
      </c>
      <c r="Y24" s="48">
        <v>1.2342</v>
      </c>
    </row>
    <row r="25" spans="2:25" x14ac:dyDescent="0.2">
      <c r="B25" s="47">
        <v>43978</v>
      </c>
      <c r="C25" s="46">
        <v>12144</v>
      </c>
      <c r="D25" s="45">
        <v>12144</v>
      </c>
      <c r="E25" s="44">
        <f t="shared" si="0"/>
        <v>12144</v>
      </c>
      <c r="F25" s="46">
        <v>12210</v>
      </c>
      <c r="G25" s="45">
        <v>12210</v>
      </c>
      <c r="H25" s="44">
        <f t="shared" si="1"/>
        <v>12210</v>
      </c>
      <c r="I25" s="46">
        <v>12537</v>
      </c>
      <c r="J25" s="45">
        <v>12537</v>
      </c>
      <c r="K25" s="44">
        <f t="shared" si="2"/>
        <v>12537</v>
      </c>
      <c r="L25" s="46">
        <v>12767</v>
      </c>
      <c r="M25" s="45">
        <v>12767</v>
      </c>
      <c r="N25" s="44">
        <f t="shared" si="3"/>
        <v>12767</v>
      </c>
      <c r="O25" s="46">
        <v>13002</v>
      </c>
      <c r="P25" s="45">
        <v>13002</v>
      </c>
      <c r="Q25" s="44">
        <f t="shared" si="4"/>
        <v>13002</v>
      </c>
      <c r="R25" s="52">
        <v>12144</v>
      </c>
      <c r="S25" s="51">
        <v>1.2312000000000001</v>
      </c>
      <c r="T25" s="51">
        <v>1.1017999999999999</v>
      </c>
      <c r="U25" s="50">
        <v>107.82</v>
      </c>
      <c r="V25" s="43">
        <v>9863.5499999999993</v>
      </c>
      <c r="W25" s="43">
        <v>9913.93</v>
      </c>
      <c r="X25" s="49">
        <f t="shared" si="5"/>
        <v>11021.964058812853</v>
      </c>
      <c r="Y25" s="48">
        <v>1.2316</v>
      </c>
    </row>
    <row r="26" spans="2:25" x14ac:dyDescent="0.2">
      <c r="B26" s="47">
        <v>43979</v>
      </c>
      <c r="C26" s="46">
        <v>12133</v>
      </c>
      <c r="D26" s="45">
        <v>12133</v>
      </c>
      <c r="E26" s="44">
        <f t="shared" si="0"/>
        <v>12133</v>
      </c>
      <c r="F26" s="46">
        <v>12200</v>
      </c>
      <c r="G26" s="45">
        <v>12200</v>
      </c>
      <c r="H26" s="44">
        <f t="shared" si="1"/>
        <v>12200</v>
      </c>
      <c r="I26" s="46">
        <v>12525</v>
      </c>
      <c r="J26" s="45">
        <v>12525</v>
      </c>
      <c r="K26" s="44">
        <f t="shared" si="2"/>
        <v>12525</v>
      </c>
      <c r="L26" s="46">
        <v>12750</v>
      </c>
      <c r="M26" s="45">
        <v>12750</v>
      </c>
      <c r="N26" s="44">
        <f t="shared" si="3"/>
        <v>12750</v>
      </c>
      <c r="O26" s="46">
        <v>12970</v>
      </c>
      <c r="P26" s="45">
        <v>12970</v>
      </c>
      <c r="Q26" s="44">
        <f t="shared" si="4"/>
        <v>12970</v>
      </c>
      <c r="R26" s="52">
        <v>12133</v>
      </c>
      <c r="S26" s="51">
        <v>1.2254</v>
      </c>
      <c r="T26" s="51">
        <v>1.1007</v>
      </c>
      <c r="U26" s="50">
        <v>107.76</v>
      </c>
      <c r="V26" s="43">
        <v>9901.26</v>
      </c>
      <c r="W26" s="43">
        <v>9952.68</v>
      </c>
      <c r="X26" s="49">
        <f t="shared" si="5"/>
        <v>11022.985372944489</v>
      </c>
      <c r="Y26" s="48">
        <v>1.2258</v>
      </c>
    </row>
    <row r="27" spans="2:25" x14ac:dyDescent="0.2">
      <c r="B27" s="47">
        <v>43980</v>
      </c>
      <c r="C27" s="46">
        <v>12120</v>
      </c>
      <c r="D27" s="45">
        <v>12120</v>
      </c>
      <c r="E27" s="44">
        <f t="shared" si="0"/>
        <v>12120</v>
      </c>
      <c r="F27" s="46">
        <v>12192</v>
      </c>
      <c r="G27" s="45">
        <v>12192</v>
      </c>
      <c r="H27" s="44">
        <f t="shared" si="1"/>
        <v>12192</v>
      </c>
      <c r="I27" s="46">
        <v>12517</v>
      </c>
      <c r="J27" s="45">
        <v>12517</v>
      </c>
      <c r="K27" s="44">
        <f t="shared" si="2"/>
        <v>12517</v>
      </c>
      <c r="L27" s="46">
        <v>12742</v>
      </c>
      <c r="M27" s="45">
        <v>12742</v>
      </c>
      <c r="N27" s="44">
        <f t="shared" si="3"/>
        <v>12742</v>
      </c>
      <c r="O27" s="46">
        <v>12962</v>
      </c>
      <c r="P27" s="45">
        <v>12962</v>
      </c>
      <c r="Q27" s="44">
        <f t="shared" si="4"/>
        <v>12962</v>
      </c>
      <c r="R27" s="52">
        <v>12120</v>
      </c>
      <c r="S27" s="51">
        <v>1.2364999999999999</v>
      </c>
      <c r="T27" s="51">
        <v>1.1134999999999999</v>
      </c>
      <c r="U27" s="50">
        <v>107.16</v>
      </c>
      <c r="V27" s="43">
        <v>9801.86</v>
      </c>
      <c r="W27" s="43">
        <v>9856.1</v>
      </c>
      <c r="X27" s="49">
        <f t="shared" si="5"/>
        <v>10884.598114054783</v>
      </c>
      <c r="Y27" s="48">
        <v>1.2370000000000001</v>
      </c>
    </row>
    <row r="28" spans="2:25" s="10" customFormat="1" x14ac:dyDescent="0.2">
      <c r="B28" s="42" t="s">
        <v>11</v>
      </c>
      <c r="C28" s="41">
        <f>ROUND(AVERAGE(C9:C27),2)</f>
        <v>12135.32</v>
      </c>
      <c r="D28" s="40">
        <f>ROUND(AVERAGE(D9:D27),2)</f>
        <v>12135.32</v>
      </c>
      <c r="E28" s="39">
        <f>ROUND(AVERAGE(C28:D28),2)</f>
        <v>12135.32</v>
      </c>
      <c r="F28" s="41">
        <f>ROUND(AVERAGE(F9:F27),2)</f>
        <v>12204.37</v>
      </c>
      <c r="G28" s="40">
        <f>ROUND(AVERAGE(G9:G27),2)</f>
        <v>12204.37</v>
      </c>
      <c r="H28" s="39">
        <f>ROUND(AVERAGE(F28:G28),2)</f>
        <v>12204.37</v>
      </c>
      <c r="I28" s="41">
        <f>ROUND(AVERAGE(I9:I27),2)</f>
        <v>12540.32</v>
      </c>
      <c r="J28" s="40">
        <f>ROUND(AVERAGE(J9:J27),2)</f>
        <v>12540.32</v>
      </c>
      <c r="K28" s="39">
        <f>ROUND(AVERAGE(I28:J28),2)</f>
        <v>12540.32</v>
      </c>
      <c r="L28" s="41">
        <f>ROUND(AVERAGE(L9:L27),2)</f>
        <v>12772.89</v>
      </c>
      <c r="M28" s="40">
        <f>ROUND(AVERAGE(M9:M27),2)</f>
        <v>12772.89</v>
      </c>
      <c r="N28" s="39">
        <f>ROUND(AVERAGE(L28:M28),2)</f>
        <v>12772.89</v>
      </c>
      <c r="O28" s="41">
        <f>ROUND(AVERAGE(O9:O27),2)</f>
        <v>13000.32</v>
      </c>
      <c r="P28" s="40">
        <f>ROUND(AVERAGE(P9:P27),2)</f>
        <v>13000.32</v>
      </c>
      <c r="Q28" s="39">
        <f>ROUND(AVERAGE(O28:P28),2)</f>
        <v>13000.32</v>
      </c>
      <c r="R28" s="38">
        <f>ROUND(AVERAGE(R9:R27),2)</f>
        <v>12135.32</v>
      </c>
      <c r="S28" s="37">
        <f>ROUND(AVERAGE(S9:S27),4)</f>
        <v>1.2306999999999999</v>
      </c>
      <c r="T28" s="36">
        <f>ROUND(AVERAGE(T9:T27),4)</f>
        <v>1.0908</v>
      </c>
      <c r="U28" s="175">
        <f>ROUND(AVERAGE(U9:U27),2)</f>
        <v>107.2</v>
      </c>
      <c r="V28" s="35">
        <f>AVERAGE(V9:V27)</f>
        <v>9861.7147368421065</v>
      </c>
      <c r="W28" s="35">
        <f>AVERAGE(W9:W27)</f>
        <v>9914.1984210526316</v>
      </c>
      <c r="X28" s="35">
        <f>AVERAGE(X9:X27)</f>
        <v>11125.56120715561</v>
      </c>
      <c r="Y28" s="34">
        <f>AVERAGE(Y9:Y27)</f>
        <v>1.2311368421052631</v>
      </c>
    </row>
    <row r="29" spans="2:25" s="5" customFormat="1" x14ac:dyDescent="0.2">
      <c r="B29" s="33" t="s">
        <v>12</v>
      </c>
      <c r="C29" s="32">
        <f t="shared" ref="C29:Y29" si="6">MAX(C9:C27)</f>
        <v>12762</v>
      </c>
      <c r="D29" s="31">
        <f t="shared" si="6"/>
        <v>12762</v>
      </c>
      <c r="E29" s="30">
        <f t="shared" si="6"/>
        <v>12762</v>
      </c>
      <c r="F29" s="32">
        <f t="shared" si="6"/>
        <v>12827</v>
      </c>
      <c r="G29" s="31">
        <f t="shared" si="6"/>
        <v>12827</v>
      </c>
      <c r="H29" s="30">
        <f t="shared" si="6"/>
        <v>12827</v>
      </c>
      <c r="I29" s="32">
        <f t="shared" si="6"/>
        <v>13158</v>
      </c>
      <c r="J29" s="31">
        <f t="shared" si="6"/>
        <v>13158</v>
      </c>
      <c r="K29" s="30">
        <f t="shared" si="6"/>
        <v>13158</v>
      </c>
      <c r="L29" s="32">
        <f t="shared" si="6"/>
        <v>13384</v>
      </c>
      <c r="M29" s="31">
        <f t="shared" si="6"/>
        <v>13384</v>
      </c>
      <c r="N29" s="30">
        <f t="shared" si="6"/>
        <v>13384</v>
      </c>
      <c r="O29" s="32">
        <f t="shared" si="6"/>
        <v>13619</v>
      </c>
      <c r="P29" s="31">
        <f t="shared" si="6"/>
        <v>13619</v>
      </c>
      <c r="Q29" s="30">
        <f t="shared" si="6"/>
        <v>13619</v>
      </c>
      <c r="R29" s="29">
        <f t="shared" si="6"/>
        <v>12762</v>
      </c>
      <c r="S29" s="28">
        <f t="shared" si="6"/>
        <v>1.2534000000000001</v>
      </c>
      <c r="T29" s="27">
        <f t="shared" si="6"/>
        <v>1.1134999999999999</v>
      </c>
      <c r="U29" s="26">
        <f t="shared" si="6"/>
        <v>107.82</v>
      </c>
      <c r="V29" s="25">
        <f t="shared" si="6"/>
        <v>10439.26</v>
      </c>
      <c r="W29" s="25">
        <f t="shared" si="6"/>
        <v>10489</v>
      </c>
      <c r="X29" s="25">
        <f t="shared" si="6"/>
        <v>11608.149899945425</v>
      </c>
      <c r="Y29" s="24">
        <f t="shared" si="6"/>
        <v>1.2538</v>
      </c>
    </row>
    <row r="30" spans="2:25" s="5" customFormat="1" ht="13.5" thickBot="1" x14ac:dyDescent="0.25">
      <c r="B30" s="23" t="s">
        <v>13</v>
      </c>
      <c r="C30" s="22">
        <f t="shared" ref="C30:Y30" si="7">MIN(C9:C27)</f>
        <v>11785</v>
      </c>
      <c r="D30" s="21">
        <f t="shared" si="7"/>
        <v>11785</v>
      </c>
      <c r="E30" s="20">
        <f t="shared" si="7"/>
        <v>11785</v>
      </c>
      <c r="F30" s="22">
        <f t="shared" si="7"/>
        <v>11854</v>
      </c>
      <c r="G30" s="21">
        <f t="shared" si="7"/>
        <v>11854</v>
      </c>
      <c r="H30" s="20">
        <f t="shared" si="7"/>
        <v>11854</v>
      </c>
      <c r="I30" s="22">
        <f t="shared" si="7"/>
        <v>12201</v>
      </c>
      <c r="J30" s="21">
        <f t="shared" si="7"/>
        <v>12201</v>
      </c>
      <c r="K30" s="20">
        <f t="shared" si="7"/>
        <v>12201</v>
      </c>
      <c r="L30" s="22">
        <f t="shared" si="7"/>
        <v>12429</v>
      </c>
      <c r="M30" s="21">
        <f t="shared" si="7"/>
        <v>12429</v>
      </c>
      <c r="N30" s="20">
        <f t="shared" si="7"/>
        <v>12429</v>
      </c>
      <c r="O30" s="22">
        <f t="shared" si="7"/>
        <v>12664</v>
      </c>
      <c r="P30" s="21">
        <f t="shared" si="7"/>
        <v>12664</v>
      </c>
      <c r="Q30" s="20">
        <f t="shared" si="7"/>
        <v>12664</v>
      </c>
      <c r="R30" s="19">
        <f t="shared" si="7"/>
        <v>11785</v>
      </c>
      <c r="S30" s="18">
        <f t="shared" si="7"/>
        <v>1.2153</v>
      </c>
      <c r="T30" s="17">
        <f t="shared" si="7"/>
        <v>1.079</v>
      </c>
      <c r="U30" s="16">
        <f t="shared" si="7"/>
        <v>106.12</v>
      </c>
      <c r="V30" s="15">
        <f t="shared" si="7"/>
        <v>9456.68</v>
      </c>
      <c r="W30" s="15">
        <f t="shared" si="7"/>
        <v>9503.91</v>
      </c>
      <c r="X30" s="15">
        <f t="shared" si="7"/>
        <v>10773.379650790748</v>
      </c>
      <c r="Y30" s="14">
        <f t="shared" si="7"/>
        <v>1.2157</v>
      </c>
    </row>
    <row r="32" spans="2:25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43952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43952</v>
      </c>
      <c r="C9" s="46">
        <v>29500</v>
      </c>
      <c r="D9" s="45">
        <v>29500</v>
      </c>
      <c r="E9" s="44">
        <f t="shared" ref="E9:E27" si="0">AVERAGE(C9:D9)</f>
        <v>29500</v>
      </c>
      <c r="F9" s="46">
        <v>30000</v>
      </c>
      <c r="G9" s="45">
        <v>30000</v>
      </c>
      <c r="H9" s="44">
        <f t="shared" ref="H9:H27" si="1">AVERAGE(F9:G9)</f>
        <v>30000</v>
      </c>
      <c r="I9" s="46">
        <v>31885</v>
      </c>
      <c r="J9" s="45">
        <v>31885</v>
      </c>
      <c r="K9" s="44">
        <f t="shared" ref="K9:K27" si="2">AVERAGE(I9:J9)</f>
        <v>31885</v>
      </c>
      <c r="L9" s="52">
        <v>29500</v>
      </c>
      <c r="M9" s="51">
        <v>1.2534000000000001</v>
      </c>
      <c r="N9" s="53">
        <v>1.0973999999999999</v>
      </c>
      <c r="O9" s="50">
        <v>106.7</v>
      </c>
      <c r="P9" s="43">
        <v>23535.98</v>
      </c>
      <c r="Q9" s="43">
        <v>23927.26</v>
      </c>
      <c r="R9" s="49">
        <f t="shared" ref="R9:R27" si="3">L9/N9</f>
        <v>26881.720430107529</v>
      </c>
      <c r="S9" s="48">
        <v>1.2538</v>
      </c>
    </row>
    <row r="10" spans="1:19" x14ac:dyDescent="0.2">
      <c r="B10" s="47">
        <v>43955</v>
      </c>
      <c r="C10" s="46">
        <v>29500</v>
      </c>
      <c r="D10" s="45">
        <v>29500</v>
      </c>
      <c r="E10" s="44">
        <f t="shared" si="0"/>
        <v>29500</v>
      </c>
      <c r="F10" s="46">
        <v>30000</v>
      </c>
      <c r="G10" s="45">
        <v>30000</v>
      </c>
      <c r="H10" s="44">
        <f t="shared" si="1"/>
        <v>30000</v>
      </c>
      <c r="I10" s="46">
        <v>31865</v>
      </c>
      <c r="J10" s="45">
        <v>31865</v>
      </c>
      <c r="K10" s="44">
        <f t="shared" si="2"/>
        <v>31865</v>
      </c>
      <c r="L10" s="52">
        <v>29500</v>
      </c>
      <c r="M10" s="51">
        <v>1.244</v>
      </c>
      <c r="N10" s="51">
        <v>1.0939000000000001</v>
      </c>
      <c r="O10" s="50">
        <v>106.81</v>
      </c>
      <c r="P10" s="43">
        <v>23713.83</v>
      </c>
      <c r="Q10" s="43">
        <v>24106.07</v>
      </c>
      <c r="R10" s="49">
        <f t="shared" si="3"/>
        <v>26967.730139866529</v>
      </c>
      <c r="S10" s="48">
        <v>1.2444999999999999</v>
      </c>
    </row>
    <row r="11" spans="1:19" x14ac:dyDescent="0.2">
      <c r="B11" s="47">
        <v>43956</v>
      </c>
      <c r="C11" s="46">
        <v>29500</v>
      </c>
      <c r="D11" s="45">
        <v>29500</v>
      </c>
      <c r="E11" s="44">
        <f t="shared" si="0"/>
        <v>29500</v>
      </c>
      <c r="F11" s="46">
        <v>30000</v>
      </c>
      <c r="G11" s="45">
        <v>30000</v>
      </c>
      <c r="H11" s="44">
        <f t="shared" si="1"/>
        <v>30000</v>
      </c>
      <c r="I11" s="46">
        <v>31860</v>
      </c>
      <c r="J11" s="45">
        <v>31860</v>
      </c>
      <c r="K11" s="44">
        <f t="shared" si="2"/>
        <v>31860</v>
      </c>
      <c r="L11" s="52">
        <v>29500</v>
      </c>
      <c r="M11" s="51">
        <v>1.2448999999999999</v>
      </c>
      <c r="N11" s="51">
        <v>1.0831999999999999</v>
      </c>
      <c r="O11" s="50">
        <v>106.74</v>
      </c>
      <c r="P11" s="43">
        <v>23696.68</v>
      </c>
      <c r="Q11" s="43">
        <v>24088.65</v>
      </c>
      <c r="R11" s="49">
        <f t="shared" si="3"/>
        <v>27234.121122599707</v>
      </c>
      <c r="S11" s="48">
        <v>1.2454000000000001</v>
      </c>
    </row>
    <row r="12" spans="1:19" x14ac:dyDescent="0.2">
      <c r="B12" s="47">
        <v>43957</v>
      </c>
      <c r="C12" s="46">
        <v>29500</v>
      </c>
      <c r="D12" s="45">
        <v>29500</v>
      </c>
      <c r="E12" s="44">
        <f t="shared" si="0"/>
        <v>29500</v>
      </c>
      <c r="F12" s="46">
        <v>30000</v>
      </c>
      <c r="G12" s="45">
        <v>30000</v>
      </c>
      <c r="H12" s="44">
        <f t="shared" si="1"/>
        <v>30000</v>
      </c>
      <c r="I12" s="46">
        <v>31855</v>
      </c>
      <c r="J12" s="45">
        <v>31855</v>
      </c>
      <c r="K12" s="44">
        <f t="shared" si="2"/>
        <v>31855</v>
      </c>
      <c r="L12" s="52">
        <v>29500</v>
      </c>
      <c r="M12" s="51">
        <v>1.2388999999999999</v>
      </c>
      <c r="N12" s="51">
        <v>1.0813999999999999</v>
      </c>
      <c r="O12" s="50">
        <v>106.12</v>
      </c>
      <c r="P12" s="43">
        <v>23811.45</v>
      </c>
      <c r="Q12" s="43">
        <v>24205.26</v>
      </c>
      <c r="R12" s="49">
        <f t="shared" si="3"/>
        <v>27279.45256149436</v>
      </c>
      <c r="S12" s="48">
        <v>1.2394000000000001</v>
      </c>
    </row>
    <row r="13" spans="1:19" x14ac:dyDescent="0.2">
      <c r="B13" s="47">
        <v>43958</v>
      </c>
      <c r="C13" s="46">
        <v>29500</v>
      </c>
      <c r="D13" s="45">
        <v>29500</v>
      </c>
      <c r="E13" s="44">
        <f t="shared" si="0"/>
        <v>29500</v>
      </c>
      <c r="F13" s="46">
        <v>30000</v>
      </c>
      <c r="G13" s="45">
        <v>30000</v>
      </c>
      <c r="H13" s="44">
        <f t="shared" si="1"/>
        <v>30000</v>
      </c>
      <c r="I13" s="46">
        <v>31850</v>
      </c>
      <c r="J13" s="45">
        <v>31850</v>
      </c>
      <c r="K13" s="44">
        <f t="shared" si="2"/>
        <v>31850</v>
      </c>
      <c r="L13" s="52">
        <v>29500</v>
      </c>
      <c r="M13" s="51">
        <v>1.2346999999999999</v>
      </c>
      <c r="N13" s="51">
        <v>1.079</v>
      </c>
      <c r="O13" s="50">
        <v>106.6</v>
      </c>
      <c r="P13" s="43">
        <v>23892.44</v>
      </c>
      <c r="Q13" s="43">
        <v>24287.56</v>
      </c>
      <c r="R13" s="49">
        <f t="shared" si="3"/>
        <v>27340.129749768304</v>
      </c>
      <c r="S13" s="48">
        <v>1.2352000000000001</v>
      </c>
    </row>
    <row r="14" spans="1:19" x14ac:dyDescent="0.2">
      <c r="B14" s="47">
        <v>43962</v>
      </c>
      <c r="C14" s="46">
        <v>29500</v>
      </c>
      <c r="D14" s="45">
        <v>29500</v>
      </c>
      <c r="E14" s="44">
        <f t="shared" si="0"/>
        <v>29500</v>
      </c>
      <c r="F14" s="46">
        <v>30000</v>
      </c>
      <c r="G14" s="45">
        <v>30000</v>
      </c>
      <c r="H14" s="44">
        <f t="shared" si="1"/>
        <v>30000</v>
      </c>
      <c r="I14" s="46">
        <v>31835</v>
      </c>
      <c r="J14" s="45">
        <v>31835</v>
      </c>
      <c r="K14" s="44">
        <f t="shared" si="2"/>
        <v>31835</v>
      </c>
      <c r="L14" s="52">
        <v>29500</v>
      </c>
      <c r="M14" s="51">
        <v>1.2292000000000001</v>
      </c>
      <c r="N14" s="51">
        <v>1.0813999999999999</v>
      </c>
      <c r="O14" s="50">
        <v>107.31</v>
      </c>
      <c r="P14" s="43">
        <v>23999.35</v>
      </c>
      <c r="Q14" s="43">
        <v>24396.19</v>
      </c>
      <c r="R14" s="49">
        <f t="shared" si="3"/>
        <v>27279.45256149436</v>
      </c>
      <c r="S14" s="48">
        <v>1.2297</v>
      </c>
    </row>
    <row r="15" spans="1:19" x14ac:dyDescent="0.2">
      <c r="B15" s="47">
        <v>43963</v>
      </c>
      <c r="C15" s="46">
        <v>29500</v>
      </c>
      <c r="D15" s="45">
        <v>29500</v>
      </c>
      <c r="E15" s="44">
        <f t="shared" si="0"/>
        <v>29500</v>
      </c>
      <c r="F15" s="46">
        <v>30000</v>
      </c>
      <c r="G15" s="45">
        <v>30000</v>
      </c>
      <c r="H15" s="44">
        <f t="shared" si="1"/>
        <v>30000</v>
      </c>
      <c r="I15" s="46">
        <v>31830</v>
      </c>
      <c r="J15" s="45">
        <v>31830</v>
      </c>
      <c r="K15" s="44">
        <f t="shared" si="2"/>
        <v>31830</v>
      </c>
      <c r="L15" s="52">
        <v>29500</v>
      </c>
      <c r="M15" s="51">
        <v>1.2371000000000001</v>
      </c>
      <c r="N15" s="51">
        <v>1.0849</v>
      </c>
      <c r="O15" s="50">
        <v>107.34</v>
      </c>
      <c r="P15" s="43">
        <v>23846.09</v>
      </c>
      <c r="Q15" s="43">
        <v>24240.47</v>
      </c>
      <c r="R15" s="49">
        <f t="shared" si="3"/>
        <v>27191.446216241129</v>
      </c>
      <c r="S15" s="48">
        <v>1.2376</v>
      </c>
    </row>
    <row r="16" spans="1:19" x14ac:dyDescent="0.2">
      <c r="B16" s="47">
        <v>43964</v>
      </c>
      <c r="C16" s="46">
        <v>29500</v>
      </c>
      <c r="D16" s="45">
        <v>29500</v>
      </c>
      <c r="E16" s="44">
        <f t="shared" si="0"/>
        <v>29500</v>
      </c>
      <c r="F16" s="46">
        <v>30000</v>
      </c>
      <c r="G16" s="45">
        <v>30000</v>
      </c>
      <c r="H16" s="44">
        <f t="shared" si="1"/>
        <v>30000</v>
      </c>
      <c r="I16" s="46">
        <v>31825</v>
      </c>
      <c r="J16" s="45">
        <v>31825</v>
      </c>
      <c r="K16" s="44">
        <f t="shared" si="2"/>
        <v>31825</v>
      </c>
      <c r="L16" s="52">
        <v>29500</v>
      </c>
      <c r="M16" s="51">
        <v>1.2322</v>
      </c>
      <c r="N16" s="51">
        <v>1.0876999999999999</v>
      </c>
      <c r="O16" s="50">
        <v>106.96</v>
      </c>
      <c r="P16" s="43">
        <v>23940.92</v>
      </c>
      <c r="Q16" s="43">
        <v>24336.82</v>
      </c>
      <c r="R16" s="49">
        <f t="shared" si="3"/>
        <v>27121.448928932612</v>
      </c>
      <c r="S16" s="48">
        <v>1.2326999999999999</v>
      </c>
    </row>
    <row r="17" spans="2:19" x14ac:dyDescent="0.2">
      <c r="B17" s="47">
        <v>43965</v>
      </c>
      <c r="C17" s="46">
        <v>29500</v>
      </c>
      <c r="D17" s="45">
        <v>29500</v>
      </c>
      <c r="E17" s="44">
        <f t="shared" si="0"/>
        <v>29500</v>
      </c>
      <c r="F17" s="46">
        <v>30000</v>
      </c>
      <c r="G17" s="45">
        <v>30000</v>
      </c>
      <c r="H17" s="44">
        <f t="shared" si="1"/>
        <v>30000</v>
      </c>
      <c r="I17" s="46">
        <v>31820</v>
      </c>
      <c r="J17" s="45">
        <v>31820</v>
      </c>
      <c r="K17" s="44">
        <f t="shared" si="2"/>
        <v>31820</v>
      </c>
      <c r="L17" s="52">
        <v>29500</v>
      </c>
      <c r="M17" s="51">
        <v>1.2199</v>
      </c>
      <c r="N17" s="51">
        <v>1.079</v>
      </c>
      <c r="O17" s="50">
        <v>107.08</v>
      </c>
      <c r="P17" s="43">
        <v>24182.31</v>
      </c>
      <c r="Q17" s="43">
        <v>24584.12</v>
      </c>
      <c r="R17" s="49">
        <f t="shared" si="3"/>
        <v>27340.129749768304</v>
      </c>
      <c r="S17" s="48">
        <v>1.2202999999999999</v>
      </c>
    </row>
    <row r="18" spans="2:19" x14ac:dyDescent="0.2">
      <c r="B18" s="47">
        <v>43966</v>
      </c>
      <c r="C18" s="46">
        <v>29500</v>
      </c>
      <c r="D18" s="45">
        <v>29500</v>
      </c>
      <c r="E18" s="44">
        <f t="shared" si="0"/>
        <v>29500</v>
      </c>
      <c r="F18" s="46">
        <v>30000</v>
      </c>
      <c r="G18" s="45">
        <v>30000</v>
      </c>
      <c r="H18" s="44">
        <f t="shared" si="1"/>
        <v>30000</v>
      </c>
      <c r="I18" s="46">
        <v>31820</v>
      </c>
      <c r="J18" s="45">
        <v>31820</v>
      </c>
      <c r="K18" s="44">
        <f t="shared" si="2"/>
        <v>31820</v>
      </c>
      <c r="L18" s="52">
        <v>29500</v>
      </c>
      <c r="M18" s="51">
        <v>1.216</v>
      </c>
      <c r="N18" s="51">
        <v>1.08</v>
      </c>
      <c r="O18" s="50">
        <v>107</v>
      </c>
      <c r="P18" s="43">
        <v>24259.87</v>
      </c>
      <c r="Q18" s="43">
        <v>24662.94</v>
      </c>
      <c r="R18" s="49">
        <f t="shared" si="3"/>
        <v>27314.814814814814</v>
      </c>
      <c r="S18" s="48">
        <v>1.2163999999999999</v>
      </c>
    </row>
    <row r="19" spans="2:19" x14ac:dyDescent="0.2">
      <c r="B19" s="47">
        <v>43969</v>
      </c>
      <c r="C19" s="46">
        <v>29500</v>
      </c>
      <c r="D19" s="45">
        <v>29500</v>
      </c>
      <c r="E19" s="44">
        <f t="shared" si="0"/>
        <v>29500</v>
      </c>
      <c r="F19" s="46">
        <v>30000</v>
      </c>
      <c r="G19" s="45">
        <v>30000</v>
      </c>
      <c r="H19" s="44">
        <f t="shared" si="1"/>
        <v>30000</v>
      </c>
      <c r="I19" s="46">
        <v>31805</v>
      </c>
      <c r="J19" s="45">
        <v>31805</v>
      </c>
      <c r="K19" s="44">
        <f t="shared" si="2"/>
        <v>31805</v>
      </c>
      <c r="L19" s="52">
        <v>29500</v>
      </c>
      <c r="M19" s="51">
        <v>1.2153</v>
      </c>
      <c r="N19" s="51">
        <v>1.0821000000000001</v>
      </c>
      <c r="O19" s="50">
        <v>107.28</v>
      </c>
      <c r="P19" s="43">
        <v>24273.84</v>
      </c>
      <c r="Q19" s="43">
        <v>24677.14</v>
      </c>
      <c r="R19" s="49">
        <f t="shared" si="3"/>
        <v>27261.805748082432</v>
      </c>
      <c r="S19" s="48">
        <v>1.2157</v>
      </c>
    </row>
    <row r="20" spans="2:19" x14ac:dyDescent="0.2">
      <c r="B20" s="47">
        <v>43970</v>
      </c>
      <c r="C20" s="46">
        <v>29500</v>
      </c>
      <c r="D20" s="45">
        <v>29500</v>
      </c>
      <c r="E20" s="44">
        <f t="shared" si="0"/>
        <v>29500</v>
      </c>
      <c r="F20" s="46">
        <v>30000</v>
      </c>
      <c r="G20" s="45">
        <v>30000</v>
      </c>
      <c r="H20" s="44">
        <f t="shared" si="1"/>
        <v>30000</v>
      </c>
      <c r="I20" s="46">
        <v>31800</v>
      </c>
      <c r="J20" s="45">
        <v>31800</v>
      </c>
      <c r="K20" s="44">
        <f t="shared" si="2"/>
        <v>31800</v>
      </c>
      <c r="L20" s="52">
        <v>29500</v>
      </c>
      <c r="M20" s="51">
        <v>1.2237</v>
      </c>
      <c r="N20" s="51">
        <v>1.0949</v>
      </c>
      <c r="O20" s="50">
        <v>107.75</v>
      </c>
      <c r="P20" s="43">
        <v>24107.22</v>
      </c>
      <c r="Q20" s="43">
        <v>24505.8</v>
      </c>
      <c r="R20" s="49">
        <f t="shared" si="3"/>
        <v>26943.099826468169</v>
      </c>
      <c r="S20" s="48">
        <v>1.2242</v>
      </c>
    </row>
    <row r="21" spans="2:19" x14ac:dyDescent="0.2">
      <c r="B21" s="47">
        <v>43971</v>
      </c>
      <c r="C21" s="46">
        <v>29500</v>
      </c>
      <c r="D21" s="45">
        <v>29500</v>
      </c>
      <c r="E21" s="44">
        <f t="shared" si="0"/>
        <v>29500</v>
      </c>
      <c r="F21" s="46">
        <v>30000</v>
      </c>
      <c r="G21" s="45">
        <v>30000</v>
      </c>
      <c r="H21" s="44">
        <f t="shared" si="1"/>
        <v>30000</v>
      </c>
      <c r="I21" s="46">
        <v>31795</v>
      </c>
      <c r="J21" s="45">
        <v>31795</v>
      </c>
      <c r="K21" s="44">
        <f t="shared" si="2"/>
        <v>31795</v>
      </c>
      <c r="L21" s="52">
        <v>29500</v>
      </c>
      <c r="M21" s="51">
        <v>1.2263999999999999</v>
      </c>
      <c r="N21" s="51">
        <v>1.0964</v>
      </c>
      <c r="O21" s="50">
        <v>107.61</v>
      </c>
      <c r="P21" s="43">
        <v>24054.14</v>
      </c>
      <c r="Q21" s="43">
        <v>24451.87</v>
      </c>
      <c r="R21" s="49">
        <f t="shared" si="3"/>
        <v>26906.238599051441</v>
      </c>
      <c r="S21" s="48">
        <v>1.2269000000000001</v>
      </c>
    </row>
    <row r="22" spans="2:19" x14ac:dyDescent="0.2">
      <c r="B22" s="47">
        <v>43972</v>
      </c>
      <c r="C22" s="46">
        <v>29500</v>
      </c>
      <c r="D22" s="45">
        <v>29500</v>
      </c>
      <c r="E22" s="44">
        <f t="shared" si="0"/>
        <v>29500</v>
      </c>
      <c r="F22" s="46">
        <v>30000</v>
      </c>
      <c r="G22" s="45">
        <v>30000</v>
      </c>
      <c r="H22" s="44">
        <f t="shared" si="1"/>
        <v>30000</v>
      </c>
      <c r="I22" s="46">
        <v>31790</v>
      </c>
      <c r="J22" s="45">
        <v>31790</v>
      </c>
      <c r="K22" s="44">
        <f t="shared" si="2"/>
        <v>31790</v>
      </c>
      <c r="L22" s="52">
        <v>29500</v>
      </c>
      <c r="M22" s="51">
        <v>1.2224999999999999</v>
      </c>
      <c r="N22" s="51">
        <v>1.0993999999999999</v>
      </c>
      <c r="O22" s="50">
        <v>107.7</v>
      </c>
      <c r="P22" s="43">
        <v>24130.880000000001</v>
      </c>
      <c r="Q22" s="43">
        <v>24531.85</v>
      </c>
      <c r="R22" s="49">
        <f t="shared" si="3"/>
        <v>26832.817900673097</v>
      </c>
      <c r="S22" s="48">
        <v>1.2229000000000001</v>
      </c>
    </row>
    <row r="23" spans="2:19" x14ac:dyDescent="0.2">
      <c r="B23" s="47">
        <v>43973</v>
      </c>
      <c r="C23" s="46">
        <v>29500</v>
      </c>
      <c r="D23" s="45">
        <v>29500</v>
      </c>
      <c r="E23" s="44">
        <f t="shared" si="0"/>
        <v>29500</v>
      </c>
      <c r="F23" s="46">
        <v>30000</v>
      </c>
      <c r="G23" s="45">
        <v>30000</v>
      </c>
      <c r="H23" s="44">
        <f t="shared" si="1"/>
        <v>30000</v>
      </c>
      <c r="I23" s="46">
        <v>31790</v>
      </c>
      <c r="J23" s="45">
        <v>31790</v>
      </c>
      <c r="K23" s="44">
        <f t="shared" si="2"/>
        <v>31790</v>
      </c>
      <c r="L23" s="52">
        <v>29500</v>
      </c>
      <c r="M23" s="51">
        <v>1.2179</v>
      </c>
      <c r="N23" s="51">
        <v>1.0906</v>
      </c>
      <c r="O23" s="50">
        <v>107.51</v>
      </c>
      <c r="P23" s="43">
        <v>24222.02</v>
      </c>
      <c r="Q23" s="43">
        <v>24624.48</v>
      </c>
      <c r="R23" s="49">
        <f t="shared" si="3"/>
        <v>27049.330643682377</v>
      </c>
      <c r="S23" s="48">
        <v>1.2182999999999999</v>
      </c>
    </row>
    <row r="24" spans="2:19" x14ac:dyDescent="0.2">
      <c r="B24" s="47">
        <v>43977</v>
      </c>
      <c r="C24" s="46">
        <v>29500</v>
      </c>
      <c r="D24" s="45">
        <v>29500</v>
      </c>
      <c r="E24" s="44">
        <f t="shared" si="0"/>
        <v>29500</v>
      </c>
      <c r="F24" s="46">
        <v>30000</v>
      </c>
      <c r="G24" s="45">
        <v>30000</v>
      </c>
      <c r="H24" s="44">
        <f t="shared" si="1"/>
        <v>30000</v>
      </c>
      <c r="I24" s="46">
        <v>31760</v>
      </c>
      <c r="J24" s="45">
        <v>31760</v>
      </c>
      <c r="K24" s="44">
        <f t="shared" si="2"/>
        <v>31760</v>
      </c>
      <c r="L24" s="52">
        <v>29500</v>
      </c>
      <c r="M24" s="51">
        <v>1.2338</v>
      </c>
      <c r="N24" s="51">
        <v>1.0979000000000001</v>
      </c>
      <c r="O24" s="50">
        <v>107.48</v>
      </c>
      <c r="P24" s="43">
        <v>23909.87</v>
      </c>
      <c r="Q24" s="43">
        <v>24307.24</v>
      </c>
      <c r="R24" s="49">
        <f t="shared" si="3"/>
        <v>26869.478094544127</v>
      </c>
      <c r="S24" s="48">
        <v>1.2342</v>
      </c>
    </row>
    <row r="25" spans="2:19" x14ac:dyDescent="0.2">
      <c r="B25" s="47">
        <v>43978</v>
      </c>
      <c r="C25" s="46">
        <v>29500</v>
      </c>
      <c r="D25" s="45">
        <v>29500</v>
      </c>
      <c r="E25" s="44">
        <f t="shared" si="0"/>
        <v>29500</v>
      </c>
      <c r="F25" s="46">
        <v>30000</v>
      </c>
      <c r="G25" s="45">
        <v>30000</v>
      </c>
      <c r="H25" s="44">
        <f t="shared" si="1"/>
        <v>30000</v>
      </c>
      <c r="I25" s="46">
        <v>31755</v>
      </c>
      <c r="J25" s="45">
        <v>31755</v>
      </c>
      <c r="K25" s="44">
        <f t="shared" si="2"/>
        <v>31755</v>
      </c>
      <c r="L25" s="52">
        <v>29500</v>
      </c>
      <c r="M25" s="51">
        <v>1.2312000000000001</v>
      </c>
      <c r="N25" s="51">
        <v>1.1017999999999999</v>
      </c>
      <c r="O25" s="50">
        <v>107.82</v>
      </c>
      <c r="P25" s="43">
        <v>23960.36</v>
      </c>
      <c r="Q25" s="43">
        <v>24358.560000000001</v>
      </c>
      <c r="R25" s="49">
        <f t="shared" si="3"/>
        <v>26774.369214013434</v>
      </c>
      <c r="S25" s="48">
        <v>1.2316</v>
      </c>
    </row>
    <row r="26" spans="2:19" x14ac:dyDescent="0.2">
      <c r="B26" s="47">
        <v>43979</v>
      </c>
      <c r="C26" s="46">
        <v>29500</v>
      </c>
      <c r="D26" s="45">
        <v>29500</v>
      </c>
      <c r="E26" s="44">
        <f t="shared" si="0"/>
        <v>29500</v>
      </c>
      <c r="F26" s="46">
        <v>30000</v>
      </c>
      <c r="G26" s="45">
        <v>30000</v>
      </c>
      <c r="H26" s="44">
        <f t="shared" si="1"/>
        <v>30000</v>
      </c>
      <c r="I26" s="46">
        <v>31750</v>
      </c>
      <c r="J26" s="45">
        <v>31750</v>
      </c>
      <c r="K26" s="44">
        <f t="shared" si="2"/>
        <v>31750</v>
      </c>
      <c r="L26" s="52">
        <v>29500</v>
      </c>
      <c r="M26" s="51">
        <v>1.2254</v>
      </c>
      <c r="N26" s="51">
        <v>1.1007</v>
      </c>
      <c r="O26" s="50">
        <v>107.76</v>
      </c>
      <c r="P26" s="43">
        <v>24073.77</v>
      </c>
      <c r="Q26" s="43">
        <v>24473.81</v>
      </c>
      <c r="R26" s="49">
        <f t="shared" si="3"/>
        <v>26801.126555828108</v>
      </c>
      <c r="S26" s="48">
        <v>1.2258</v>
      </c>
    </row>
    <row r="27" spans="2:19" x14ac:dyDescent="0.2">
      <c r="B27" s="47">
        <v>43980</v>
      </c>
      <c r="C27" s="46">
        <v>29500</v>
      </c>
      <c r="D27" s="45">
        <v>29500</v>
      </c>
      <c r="E27" s="44">
        <f t="shared" si="0"/>
        <v>29500</v>
      </c>
      <c r="F27" s="46">
        <v>30000</v>
      </c>
      <c r="G27" s="45">
        <v>30000</v>
      </c>
      <c r="H27" s="44">
        <f t="shared" si="1"/>
        <v>30000</v>
      </c>
      <c r="I27" s="46">
        <v>31750</v>
      </c>
      <c r="J27" s="45">
        <v>31750</v>
      </c>
      <c r="K27" s="44">
        <f t="shared" si="2"/>
        <v>31750</v>
      </c>
      <c r="L27" s="52">
        <v>29500</v>
      </c>
      <c r="M27" s="51">
        <v>1.2364999999999999</v>
      </c>
      <c r="N27" s="51">
        <v>1.1134999999999999</v>
      </c>
      <c r="O27" s="50">
        <v>107.16</v>
      </c>
      <c r="P27" s="43">
        <v>23857.66</v>
      </c>
      <c r="Q27" s="43">
        <v>24252.22</v>
      </c>
      <c r="R27" s="49">
        <f t="shared" si="3"/>
        <v>26493.039964077234</v>
      </c>
      <c r="S27" s="48">
        <v>1.2370000000000001</v>
      </c>
    </row>
    <row r="28" spans="2:19" s="10" customFormat="1" x14ac:dyDescent="0.2">
      <c r="B28" s="42" t="s">
        <v>11</v>
      </c>
      <c r="C28" s="41">
        <f>ROUND(AVERAGE(C9:C27),2)</f>
        <v>29500</v>
      </c>
      <c r="D28" s="40">
        <f>ROUND(AVERAGE(D9:D27),2)</f>
        <v>29500</v>
      </c>
      <c r="E28" s="39">
        <f>ROUND(AVERAGE(C28:D28),2)</f>
        <v>29500</v>
      </c>
      <c r="F28" s="41">
        <f>ROUND(AVERAGE(F9:F27),2)</f>
        <v>30000</v>
      </c>
      <c r="G28" s="40">
        <f>ROUND(AVERAGE(G9:G27),2)</f>
        <v>30000</v>
      </c>
      <c r="H28" s="39">
        <f>ROUND(AVERAGE(F28:G28),2)</f>
        <v>30000</v>
      </c>
      <c r="I28" s="41">
        <f>ROUND(AVERAGE(I9:I27),2)</f>
        <v>31812.63</v>
      </c>
      <c r="J28" s="40">
        <f>ROUND(AVERAGE(J9:J27),2)</f>
        <v>31812.63</v>
      </c>
      <c r="K28" s="39">
        <f>ROUND(AVERAGE(I28:J28),2)</f>
        <v>31812.63</v>
      </c>
      <c r="L28" s="38">
        <f>ROUND(AVERAGE(L9:L27),2)</f>
        <v>29500</v>
      </c>
      <c r="M28" s="37">
        <f>ROUND(AVERAGE(M9:M27),4)</f>
        <v>1.2306999999999999</v>
      </c>
      <c r="N28" s="36">
        <f>ROUND(AVERAGE(N9:N27),4)</f>
        <v>1.0908</v>
      </c>
      <c r="O28" s="175">
        <f>ROUND(AVERAGE(O9:O27),2)</f>
        <v>107.2</v>
      </c>
      <c r="P28" s="35">
        <f>AVERAGE(P9:P27)</f>
        <v>23972.035789473684</v>
      </c>
      <c r="Q28" s="35">
        <f>AVERAGE(Q9:Q27)</f>
        <v>24369.384736842101</v>
      </c>
      <c r="R28" s="35">
        <f>AVERAGE(R9:R27)</f>
        <v>27046.408043237265</v>
      </c>
      <c r="S28" s="34">
        <f>AVERAGE(S9:S27)</f>
        <v>1.2311368421052631</v>
      </c>
    </row>
    <row r="29" spans="2:19" s="5" customFormat="1" x14ac:dyDescent="0.2">
      <c r="B29" s="33" t="s">
        <v>12</v>
      </c>
      <c r="C29" s="32">
        <f t="shared" ref="C29:S29" si="4">MAX(C9:C27)</f>
        <v>29500</v>
      </c>
      <c r="D29" s="31">
        <f t="shared" si="4"/>
        <v>29500</v>
      </c>
      <c r="E29" s="30">
        <f t="shared" si="4"/>
        <v>29500</v>
      </c>
      <c r="F29" s="32">
        <f t="shared" si="4"/>
        <v>30000</v>
      </c>
      <c r="G29" s="31">
        <f t="shared" si="4"/>
        <v>30000</v>
      </c>
      <c r="H29" s="30">
        <f t="shared" si="4"/>
        <v>30000</v>
      </c>
      <c r="I29" s="32">
        <f t="shared" si="4"/>
        <v>31885</v>
      </c>
      <c r="J29" s="31">
        <f t="shared" si="4"/>
        <v>31885</v>
      </c>
      <c r="K29" s="30">
        <f t="shared" si="4"/>
        <v>31885</v>
      </c>
      <c r="L29" s="29">
        <f t="shared" si="4"/>
        <v>29500</v>
      </c>
      <c r="M29" s="28">
        <f t="shared" si="4"/>
        <v>1.2534000000000001</v>
      </c>
      <c r="N29" s="27">
        <f t="shared" si="4"/>
        <v>1.1134999999999999</v>
      </c>
      <c r="O29" s="26">
        <f t="shared" si="4"/>
        <v>107.82</v>
      </c>
      <c r="P29" s="25">
        <f t="shared" si="4"/>
        <v>24273.84</v>
      </c>
      <c r="Q29" s="25">
        <f t="shared" si="4"/>
        <v>24677.14</v>
      </c>
      <c r="R29" s="25">
        <f t="shared" si="4"/>
        <v>27340.129749768304</v>
      </c>
      <c r="S29" s="24">
        <f t="shared" si="4"/>
        <v>1.2538</v>
      </c>
    </row>
    <row r="30" spans="2:19" s="5" customFormat="1" ht="13.5" thickBot="1" x14ac:dyDescent="0.25">
      <c r="B30" s="23" t="s">
        <v>13</v>
      </c>
      <c r="C30" s="22">
        <f t="shared" ref="C30:S30" si="5">MIN(C9:C27)</f>
        <v>29500</v>
      </c>
      <c r="D30" s="21">
        <f t="shared" si="5"/>
        <v>29500</v>
      </c>
      <c r="E30" s="20">
        <f t="shared" si="5"/>
        <v>29500</v>
      </c>
      <c r="F30" s="22">
        <f t="shared" si="5"/>
        <v>30000</v>
      </c>
      <c r="G30" s="21">
        <f t="shared" si="5"/>
        <v>30000</v>
      </c>
      <c r="H30" s="20">
        <f t="shared" si="5"/>
        <v>30000</v>
      </c>
      <c r="I30" s="22">
        <f t="shared" si="5"/>
        <v>31750</v>
      </c>
      <c r="J30" s="21">
        <f t="shared" si="5"/>
        <v>31750</v>
      </c>
      <c r="K30" s="20">
        <f t="shared" si="5"/>
        <v>31750</v>
      </c>
      <c r="L30" s="19">
        <f t="shared" si="5"/>
        <v>29500</v>
      </c>
      <c r="M30" s="18">
        <f t="shared" si="5"/>
        <v>1.2153</v>
      </c>
      <c r="N30" s="17">
        <f t="shared" si="5"/>
        <v>1.079</v>
      </c>
      <c r="O30" s="16">
        <f t="shared" si="5"/>
        <v>106.12</v>
      </c>
      <c r="P30" s="15">
        <f t="shared" si="5"/>
        <v>23535.98</v>
      </c>
      <c r="Q30" s="15">
        <f t="shared" si="5"/>
        <v>23927.26</v>
      </c>
      <c r="R30" s="15">
        <f t="shared" si="5"/>
        <v>26493.039964077234</v>
      </c>
      <c r="S30" s="14">
        <f t="shared" si="5"/>
        <v>1.2157</v>
      </c>
    </row>
    <row r="32" spans="2:19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43980</v>
      </c>
      <c r="D5" s="74"/>
      <c r="F5" s="75">
        <v>43980</v>
      </c>
      <c r="G5" s="74"/>
      <c r="I5" s="75">
        <v>43980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43952</v>
      </c>
      <c r="D8" s="68">
        <v>5087</v>
      </c>
      <c r="F8" s="69">
        <f t="shared" ref="F8:F26" si="0">C8</f>
        <v>43952</v>
      </c>
      <c r="G8" s="68">
        <v>1484.92</v>
      </c>
      <c r="I8" s="69">
        <f t="shared" ref="I8:I26" si="1">C8</f>
        <v>43952</v>
      </c>
      <c r="J8" s="68">
        <v>1919.95</v>
      </c>
    </row>
    <row r="9" spans="2:10" x14ac:dyDescent="0.2">
      <c r="C9" s="69">
        <v>43955</v>
      </c>
      <c r="D9" s="68">
        <v>5074.5</v>
      </c>
      <c r="F9" s="69">
        <f t="shared" si="0"/>
        <v>43955</v>
      </c>
      <c r="G9" s="68">
        <v>1476.5</v>
      </c>
      <c r="I9" s="69">
        <f t="shared" si="1"/>
        <v>43955</v>
      </c>
      <c r="J9" s="68">
        <v>1895.47</v>
      </c>
    </row>
    <row r="10" spans="2:10" x14ac:dyDescent="0.2">
      <c r="C10" s="69">
        <v>43956</v>
      </c>
      <c r="D10" s="68">
        <v>5141.5</v>
      </c>
      <c r="F10" s="69">
        <f t="shared" si="0"/>
        <v>43956</v>
      </c>
      <c r="G10" s="68">
        <v>1482.16</v>
      </c>
      <c r="I10" s="69">
        <f t="shared" si="1"/>
        <v>43956</v>
      </c>
      <c r="J10" s="68">
        <v>1909.93</v>
      </c>
    </row>
    <row r="11" spans="2:10" x14ac:dyDescent="0.2">
      <c r="C11" s="69">
        <v>43957</v>
      </c>
      <c r="D11" s="68">
        <v>5211</v>
      </c>
      <c r="F11" s="69">
        <f t="shared" si="0"/>
        <v>43957</v>
      </c>
      <c r="G11" s="68">
        <v>1487.14</v>
      </c>
      <c r="I11" s="69">
        <f t="shared" si="1"/>
        <v>43957</v>
      </c>
      <c r="J11" s="68">
        <v>1938.35</v>
      </c>
    </row>
    <row r="12" spans="2:10" x14ac:dyDescent="0.2">
      <c r="C12" s="69">
        <v>43958</v>
      </c>
      <c r="D12" s="68">
        <v>5245.86</v>
      </c>
      <c r="F12" s="69">
        <f t="shared" si="0"/>
        <v>43958</v>
      </c>
      <c r="G12" s="68">
        <v>1482.21</v>
      </c>
      <c r="I12" s="69">
        <f t="shared" si="1"/>
        <v>43958</v>
      </c>
      <c r="J12" s="68">
        <v>1988.83</v>
      </c>
    </row>
    <row r="13" spans="2:10" x14ac:dyDescent="0.2">
      <c r="C13" s="69">
        <v>43962</v>
      </c>
      <c r="D13" s="68">
        <v>5320.57</v>
      </c>
      <c r="F13" s="69">
        <f t="shared" si="0"/>
        <v>43962</v>
      </c>
      <c r="G13" s="68">
        <v>1492.6</v>
      </c>
      <c r="I13" s="69">
        <f t="shared" si="1"/>
        <v>43962</v>
      </c>
      <c r="J13" s="68">
        <v>2020</v>
      </c>
    </row>
    <row r="14" spans="2:10" x14ac:dyDescent="0.2">
      <c r="C14" s="69">
        <v>43963</v>
      </c>
      <c r="D14" s="68">
        <v>5246.16</v>
      </c>
      <c r="F14" s="69">
        <f t="shared" si="0"/>
        <v>43963</v>
      </c>
      <c r="G14" s="68">
        <v>1488.71</v>
      </c>
      <c r="I14" s="69">
        <f t="shared" si="1"/>
        <v>43963</v>
      </c>
      <c r="J14" s="68">
        <v>2016.39</v>
      </c>
    </row>
    <row r="15" spans="2:10" x14ac:dyDescent="0.2">
      <c r="C15" s="69">
        <v>43964</v>
      </c>
      <c r="D15" s="68">
        <v>5235.88</v>
      </c>
      <c r="F15" s="69">
        <f t="shared" si="0"/>
        <v>43964</v>
      </c>
      <c r="G15" s="68">
        <v>1478.84</v>
      </c>
      <c r="I15" s="69">
        <f t="shared" si="1"/>
        <v>43964</v>
      </c>
      <c r="J15" s="68">
        <v>1980.11</v>
      </c>
    </row>
    <row r="16" spans="2:10" x14ac:dyDescent="0.2">
      <c r="C16" s="69">
        <v>43965</v>
      </c>
      <c r="D16" s="68">
        <v>5216.99</v>
      </c>
      <c r="F16" s="69">
        <f t="shared" si="0"/>
        <v>43965</v>
      </c>
      <c r="G16" s="68">
        <v>1480</v>
      </c>
      <c r="I16" s="69">
        <f t="shared" si="1"/>
        <v>43965</v>
      </c>
      <c r="J16" s="68">
        <v>1952.72</v>
      </c>
    </row>
    <row r="17" spans="2:10" x14ac:dyDescent="0.2">
      <c r="C17" s="69">
        <v>43966</v>
      </c>
      <c r="D17" s="68">
        <v>5246.27</v>
      </c>
      <c r="F17" s="69">
        <f t="shared" si="0"/>
        <v>43966</v>
      </c>
      <c r="G17" s="68">
        <v>1481.5</v>
      </c>
      <c r="I17" s="69">
        <f t="shared" si="1"/>
        <v>43966</v>
      </c>
      <c r="J17" s="68">
        <v>1963.67</v>
      </c>
    </row>
    <row r="18" spans="2:10" x14ac:dyDescent="0.2">
      <c r="C18" s="69">
        <v>43969</v>
      </c>
      <c r="D18" s="68">
        <v>5242.7299999999996</v>
      </c>
      <c r="F18" s="69">
        <f t="shared" si="0"/>
        <v>43969</v>
      </c>
      <c r="G18" s="68">
        <v>1468.6</v>
      </c>
      <c r="I18" s="69">
        <f t="shared" si="1"/>
        <v>43969</v>
      </c>
      <c r="J18" s="68">
        <v>1971.01</v>
      </c>
    </row>
    <row r="19" spans="2:10" x14ac:dyDescent="0.2">
      <c r="C19" s="69">
        <v>43970</v>
      </c>
      <c r="D19" s="68">
        <v>5353.15</v>
      </c>
      <c r="F19" s="69">
        <f t="shared" si="0"/>
        <v>43970</v>
      </c>
      <c r="G19" s="68">
        <v>1495.22</v>
      </c>
      <c r="I19" s="69">
        <f t="shared" si="1"/>
        <v>43970</v>
      </c>
      <c r="J19" s="68">
        <v>2010.05</v>
      </c>
    </row>
    <row r="20" spans="2:10" x14ac:dyDescent="0.2">
      <c r="C20" s="69">
        <v>43971</v>
      </c>
      <c r="D20" s="68">
        <v>5355</v>
      </c>
      <c r="F20" s="69">
        <f t="shared" si="0"/>
        <v>43971</v>
      </c>
      <c r="G20" s="68">
        <v>1492.69</v>
      </c>
      <c r="I20" s="69">
        <f t="shared" si="1"/>
        <v>43971</v>
      </c>
      <c r="J20" s="68">
        <v>2017.34</v>
      </c>
    </row>
    <row r="21" spans="2:10" x14ac:dyDescent="0.2">
      <c r="C21" s="69">
        <v>43972</v>
      </c>
      <c r="D21" s="68">
        <v>5434.08</v>
      </c>
      <c r="F21" s="69">
        <f t="shared" si="0"/>
        <v>43972</v>
      </c>
      <c r="G21" s="68">
        <v>1512.93</v>
      </c>
      <c r="I21" s="69">
        <f t="shared" si="1"/>
        <v>43972</v>
      </c>
      <c r="J21" s="68">
        <v>2019.41</v>
      </c>
    </row>
    <row r="22" spans="2:10" x14ac:dyDescent="0.2">
      <c r="C22" s="69">
        <v>43973</v>
      </c>
      <c r="D22" s="68">
        <v>5290.54</v>
      </c>
      <c r="F22" s="69">
        <f t="shared" si="0"/>
        <v>43973</v>
      </c>
      <c r="G22" s="68">
        <v>1507.34</v>
      </c>
      <c r="I22" s="69">
        <f t="shared" si="1"/>
        <v>43973</v>
      </c>
      <c r="J22" s="68">
        <v>1957.26</v>
      </c>
    </row>
    <row r="23" spans="2:10" x14ac:dyDescent="0.2">
      <c r="C23" s="69">
        <v>43977</v>
      </c>
      <c r="D23" s="68">
        <v>5356.38</v>
      </c>
      <c r="F23" s="69">
        <f t="shared" si="0"/>
        <v>43977</v>
      </c>
      <c r="G23" s="68">
        <v>1510.49</v>
      </c>
      <c r="I23" s="69">
        <f t="shared" si="1"/>
        <v>43977</v>
      </c>
      <c r="J23" s="68">
        <v>1970.69</v>
      </c>
    </row>
    <row r="24" spans="2:10" x14ac:dyDescent="0.2">
      <c r="C24" s="69">
        <v>43978</v>
      </c>
      <c r="D24" s="68">
        <v>5315.42</v>
      </c>
      <c r="F24" s="69">
        <f t="shared" si="0"/>
        <v>43978</v>
      </c>
      <c r="G24" s="68">
        <v>1519.5</v>
      </c>
      <c r="I24" s="69">
        <f t="shared" si="1"/>
        <v>43978</v>
      </c>
      <c r="J24" s="68">
        <v>1942.15</v>
      </c>
    </row>
    <row r="25" spans="2:10" x14ac:dyDescent="0.2">
      <c r="C25" s="69">
        <v>43979</v>
      </c>
      <c r="D25" s="68">
        <v>5318</v>
      </c>
      <c r="F25" s="69">
        <f t="shared" si="0"/>
        <v>43979</v>
      </c>
      <c r="G25" s="68">
        <v>1531.88</v>
      </c>
      <c r="I25" s="69">
        <f t="shared" si="1"/>
        <v>43979</v>
      </c>
      <c r="J25" s="68">
        <v>1924.14</v>
      </c>
    </row>
    <row r="26" spans="2:10" ht="13.5" thickBot="1" x14ac:dyDescent="0.25">
      <c r="C26" s="69">
        <v>43980</v>
      </c>
      <c r="D26" s="68">
        <v>5345.87</v>
      </c>
      <c r="F26" s="69">
        <f t="shared" si="0"/>
        <v>43980</v>
      </c>
      <c r="G26" s="68">
        <v>1536.93</v>
      </c>
      <c r="I26" s="69">
        <f t="shared" si="1"/>
        <v>43980</v>
      </c>
      <c r="J26" s="68">
        <v>1947.71</v>
      </c>
    </row>
    <row r="27" spans="2:10" x14ac:dyDescent="0.2">
      <c r="B27" s="5"/>
      <c r="C27" s="67" t="s">
        <v>11</v>
      </c>
      <c r="D27" s="66">
        <f>ROUND(AVERAGE(D8:D26),2)</f>
        <v>5265.1</v>
      </c>
      <c r="F27" s="67" t="s">
        <v>11</v>
      </c>
      <c r="G27" s="66">
        <f>ROUND(AVERAGE(G8:G26),2)</f>
        <v>1495.27</v>
      </c>
      <c r="I27" s="67" t="s">
        <v>11</v>
      </c>
      <c r="J27" s="66">
        <f>ROUND(AVERAGE(J8:J26),2)</f>
        <v>1965.54</v>
      </c>
    </row>
    <row r="28" spans="2:10" x14ac:dyDescent="0.2">
      <c r="B28" s="5"/>
      <c r="C28" s="65" t="s">
        <v>12</v>
      </c>
      <c r="D28" s="64">
        <f>MAX(D8:D26)</f>
        <v>5434.08</v>
      </c>
      <c r="F28" s="65" t="s">
        <v>12</v>
      </c>
      <c r="G28" s="64">
        <f>MAX(G8:G26)</f>
        <v>1536.93</v>
      </c>
      <c r="I28" s="65" t="s">
        <v>12</v>
      </c>
      <c r="J28" s="64">
        <f>MAX(J8:J26)</f>
        <v>2020</v>
      </c>
    </row>
    <row r="29" spans="2:10" x14ac:dyDescent="0.2">
      <c r="B29" s="5"/>
      <c r="C29" s="63" t="s">
        <v>13</v>
      </c>
      <c r="D29" s="62">
        <f>MIN(D8:D26)</f>
        <v>5074.5</v>
      </c>
      <c r="F29" s="63" t="s">
        <v>13</v>
      </c>
      <c r="G29" s="62">
        <f>MIN(G8:G26)</f>
        <v>1468.6</v>
      </c>
      <c r="I29" s="63" t="s">
        <v>13</v>
      </c>
      <c r="J29" s="62">
        <f>MIN(J8:J26)</f>
        <v>1895.47</v>
      </c>
    </row>
    <row r="32" spans="2:10" x14ac:dyDescent="0.2">
      <c r="B32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ABR!D27</f>
        <v>5265.1</v>
      </c>
      <c r="D11" s="155">
        <f>ABR!G27</f>
        <v>1495.27</v>
      </c>
      <c r="E11" s="155">
        <f>ABR!J27</f>
        <v>1965.54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1.2306999999999999</v>
      </c>
    </row>
    <row r="18" spans="2:9" x14ac:dyDescent="0.2">
      <c r="B18" s="151" t="s">
        <v>43</v>
      </c>
      <c r="C18" s="150">
        <f>'Averages Inc. Euro Eq'!F67</f>
        <v>107.2</v>
      </c>
    </row>
    <row r="19" spans="2:9" x14ac:dyDescent="0.2">
      <c r="B19" s="151" t="s">
        <v>41</v>
      </c>
      <c r="C19" s="149">
        <f>'Averages Inc. Euro Eq'!F68</f>
        <v>1.0908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1459.79</v>
      </c>
      <c r="D13" s="113">
        <v>1203.8399999999999</v>
      </c>
      <c r="E13" s="113">
        <v>5233.82</v>
      </c>
      <c r="F13" s="113">
        <v>1618.16</v>
      </c>
      <c r="G13" s="113">
        <v>12135.32</v>
      </c>
      <c r="H13" s="113">
        <v>15408.53</v>
      </c>
      <c r="I13" s="113">
        <v>1963.39</v>
      </c>
      <c r="J13" s="113">
        <v>1124.82</v>
      </c>
      <c r="K13" s="113">
        <v>0.5</v>
      </c>
      <c r="L13" s="113">
        <v>29500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1459.79</v>
      </c>
      <c r="D15" s="113">
        <v>1203.8399999999999</v>
      </c>
      <c r="E15" s="113">
        <v>5233.82</v>
      </c>
      <c r="F15" s="113">
        <v>1618.16</v>
      </c>
      <c r="G15" s="113">
        <v>12135.32</v>
      </c>
      <c r="H15" s="113">
        <v>15408.53</v>
      </c>
      <c r="I15" s="113">
        <v>1963.39</v>
      </c>
      <c r="J15" s="113">
        <v>1124.82</v>
      </c>
      <c r="K15" s="113">
        <v>1</v>
      </c>
      <c r="L15" s="113">
        <v>29500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1459.79</v>
      </c>
      <c r="D17" s="113">
        <v>1203.8399999999999</v>
      </c>
      <c r="E17" s="113">
        <v>5233.82</v>
      </c>
      <c r="F17" s="113">
        <v>1618.16</v>
      </c>
      <c r="G17" s="113">
        <v>12135.32</v>
      </c>
      <c r="H17" s="113">
        <v>15408.53</v>
      </c>
      <c r="I17" s="113">
        <v>1963.39</v>
      </c>
      <c r="J17" s="113">
        <v>1124.82</v>
      </c>
      <c r="K17" s="113">
        <v>0.75</v>
      </c>
      <c r="L17" s="113">
        <v>29500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1492.68</v>
      </c>
      <c r="D19" s="113">
        <v>1207</v>
      </c>
      <c r="E19" s="113">
        <v>5263.55</v>
      </c>
      <c r="F19" s="113">
        <v>1637.74</v>
      </c>
      <c r="G19" s="113">
        <v>12204.37</v>
      </c>
      <c r="H19" s="113">
        <v>15226.32</v>
      </c>
      <c r="I19" s="113">
        <v>1964.63</v>
      </c>
      <c r="J19" s="113">
        <v>1140.3699999999999</v>
      </c>
      <c r="K19" s="113">
        <v>0.5</v>
      </c>
      <c r="L19" s="113">
        <v>30000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1492.68</v>
      </c>
      <c r="D21" s="113">
        <v>1207</v>
      </c>
      <c r="E21" s="113">
        <v>5263.55</v>
      </c>
      <c r="F21" s="113">
        <v>1637.74</v>
      </c>
      <c r="G21" s="113">
        <v>12204.37</v>
      </c>
      <c r="H21" s="113">
        <v>15226.32</v>
      </c>
      <c r="I21" s="113">
        <v>1964.63</v>
      </c>
      <c r="J21" s="113">
        <v>1140.3699999999999</v>
      </c>
      <c r="K21" s="113">
        <v>1</v>
      </c>
      <c r="L21" s="113">
        <v>30000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1492.68</v>
      </c>
      <c r="D23" s="113">
        <v>1207</v>
      </c>
      <c r="E23" s="113">
        <v>5263.55</v>
      </c>
      <c r="F23" s="113">
        <v>1637.74</v>
      </c>
      <c r="G23" s="113">
        <v>12204.37</v>
      </c>
      <c r="H23" s="113">
        <v>15226.32</v>
      </c>
      <c r="I23" s="113">
        <v>1964.63</v>
      </c>
      <c r="J23" s="113">
        <v>1140.3699999999999</v>
      </c>
      <c r="K23" s="113">
        <v>0.75</v>
      </c>
      <c r="L23" s="113">
        <v>30000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1615.24</v>
      </c>
      <c r="D25" s="113">
        <v>1208.6099999999999</v>
      </c>
      <c r="E25" s="113">
        <v>5360.97</v>
      </c>
      <c r="F25" s="113">
        <v>1688.29</v>
      </c>
      <c r="G25" s="113">
        <v>12540.32</v>
      </c>
      <c r="H25" s="113"/>
      <c r="I25" s="113">
        <v>2015.63</v>
      </c>
      <c r="J25" s="113">
        <v>1162.3399999999999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1615.24</v>
      </c>
      <c r="D27" s="113">
        <v>1208.6099999999999</v>
      </c>
      <c r="E27" s="113">
        <v>5360.97</v>
      </c>
      <c r="F27" s="113">
        <v>1688.29</v>
      </c>
      <c r="G27" s="113">
        <v>12540.32</v>
      </c>
      <c r="H27" s="113"/>
      <c r="I27" s="113">
        <v>2015.63</v>
      </c>
      <c r="J27" s="113">
        <v>1162.3399999999999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1615.24</v>
      </c>
      <c r="D29" s="113">
        <v>1208.6099999999999</v>
      </c>
      <c r="E29" s="113">
        <v>5360.97</v>
      </c>
      <c r="F29" s="113">
        <v>1688.29</v>
      </c>
      <c r="G29" s="113">
        <v>12540.32</v>
      </c>
      <c r="H29" s="113"/>
      <c r="I29" s="113">
        <v>2015.63</v>
      </c>
      <c r="J29" s="113">
        <v>1162.3399999999999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1700.61</v>
      </c>
      <c r="D31" s="113"/>
      <c r="E31" s="113">
        <v>5426.13</v>
      </c>
      <c r="F31" s="113">
        <v>1718.74</v>
      </c>
      <c r="G31" s="113">
        <v>12772.89</v>
      </c>
      <c r="H31" s="113"/>
      <c r="I31" s="113">
        <v>2047.42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1700.61</v>
      </c>
      <c r="D33" s="113"/>
      <c r="E33" s="113">
        <v>5426.13</v>
      </c>
      <c r="F33" s="113">
        <v>1718.74</v>
      </c>
      <c r="G33" s="113">
        <v>12772.89</v>
      </c>
      <c r="H33" s="113"/>
      <c r="I33" s="113">
        <v>2047.42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1700.61</v>
      </c>
      <c r="D35" s="113"/>
      <c r="E35" s="113">
        <v>5426.13</v>
      </c>
      <c r="F35" s="113">
        <v>1718.74</v>
      </c>
      <c r="G35" s="113">
        <v>12772.89</v>
      </c>
      <c r="H35" s="113"/>
      <c r="I35" s="113">
        <v>2047.42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1786.24</v>
      </c>
      <c r="D37" s="113"/>
      <c r="E37" s="113">
        <v>5495.11</v>
      </c>
      <c r="F37" s="113">
        <v>1743.05</v>
      </c>
      <c r="G37" s="113">
        <v>13000.32</v>
      </c>
      <c r="H37" s="113"/>
      <c r="I37" s="113">
        <v>2054.37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1786.24</v>
      </c>
      <c r="D39" s="113"/>
      <c r="E39" s="113">
        <v>5495.11</v>
      </c>
      <c r="F39" s="113">
        <v>1743.05</v>
      </c>
      <c r="G39" s="113">
        <v>13000.32</v>
      </c>
      <c r="H39" s="113"/>
      <c r="I39" s="113">
        <v>2054.37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1786.24</v>
      </c>
      <c r="D41" s="113"/>
      <c r="E41" s="113">
        <v>5495.11</v>
      </c>
      <c r="F41" s="113">
        <v>1743.05</v>
      </c>
      <c r="G41" s="113">
        <v>13000.32</v>
      </c>
      <c r="H41" s="113"/>
      <c r="I41" s="113">
        <v>2054.37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15076.63</v>
      </c>
      <c r="I43" s="113"/>
      <c r="J43" s="113"/>
      <c r="K43" s="113">
        <v>0.5</v>
      </c>
      <c r="L43" s="113">
        <v>31812.63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15076.63</v>
      </c>
      <c r="I45" s="113"/>
      <c r="J45" s="113"/>
      <c r="K45" s="113">
        <v>1</v>
      </c>
      <c r="L45" s="113">
        <v>31812.63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15076.63</v>
      </c>
      <c r="I47" s="110"/>
      <c r="J47" s="110"/>
      <c r="K47" s="110">
        <v>0.75</v>
      </c>
      <c r="L47" s="110">
        <v>31812.63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1338.21</v>
      </c>
    </row>
    <row r="55" spans="2:5" x14ac:dyDescent="0.2">
      <c r="B55" s="100" t="s">
        <v>56</v>
      </c>
      <c r="C55" s="101">
        <v>1103.5999999999999</v>
      </c>
    </row>
    <row r="56" spans="2:5" x14ac:dyDescent="0.2">
      <c r="B56" s="100" t="s">
        <v>55</v>
      </c>
      <c r="C56" s="101">
        <v>4798.17</v>
      </c>
    </row>
    <row r="57" spans="2:5" x14ac:dyDescent="0.2">
      <c r="B57" s="100" t="s">
        <v>54</v>
      </c>
      <c r="C57" s="101">
        <v>1483.5</v>
      </c>
    </row>
    <row r="58" spans="2:5" x14ac:dyDescent="0.2">
      <c r="B58" s="100" t="s">
        <v>53</v>
      </c>
      <c r="C58" s="101">
        <v>11125.56</v>
      </c>
    </row>
    <row r="59" spans="2:5" x14ac:dyDescent="0.2">
      <c r="B59" s="100" t="s">
        <v>52</v>
      </c>
      <c r="C59" s="101">
        <v>14126.09</v>
      </c>
    </row>
    <row r="60" spans="2:5" x14ac:dyDescent="0.2">
      <c r="B60" s="100" t="s">
        <v>51</v>
      </c>
      <c r="C60" s="101">
        <v>1800.12</v>
      </c>
    </row>
    <row r="61" spans="2:5" x14ac:dyDescent="0.2">
      <c r="B61" s="98" t="s">
        <v>50</v>
      </c>
      <c r="C61" s="97">
        <v>1031.21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4253.3500000000004</v>
      </c>
      <c r="E65" s="96" t="s">
        <v>46</v>
      </c>
    </row>
    <row r="66" spans="2:9" x14ac:dyDescent="0.2">
      <c r="B66" s="93" t="s">
        <v>45</v>
      </c>
      <c r="D66" s="92">
        <v>4275.9399999999996</v>
      </c>
      <c r="E66" s="95" t="s">
        <v>10</v>
      </c>
      <c r="F66" s="90">
        <v>1.2306999999999999</v>
      </c>
    </row>
    <row r="67" spans="2:9" x14ac:dyDescent="0.2">
      <c r="B67" s="93" t="s">
        <v>44</v>
      </c>
      <c r="D67" s="92">
        <v>1314.94</v>
      </c>
      <c r="E67" s="95" t="s">
        <v>43</v>
      </c>
      <c r="F67" s="94">
        <v>107.2</v>
      </c>
    </row>
    <row r="68" spans="2:9" x14ac:dyDescent="0.2">
      <c r="B68" s="93" t="s">
        <v>42</v>
      </c>
      <c r="D68" s="92">
        <v>1330.35</v>
      </c>
      <c r="E68" s="91" t="s">
        <v>41</v>
      </c>
      <c r="F68" s="90">
        <v>1.0908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CB95F9-7287-4BAC-A207-E90C380DA41F}"/>
</file>

<file path=customXml/itemProps2.xml><?xml version="1.0" encoding="utf-8"?>
<ds:datastoreItem xmlns:ds="http://schemas.openxmlformats.org/officeDocument/2006/customXml" ds:itemID="{C6EE1204-FF74-4E04-B899-59BBD9AAD1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Juliana F. Scivittaro</cp:lastModifiedBy>
  <cp:lastPrinted>2011-08-25T10:07:39Z</cp:lastPrinted>
  <dcterms:created xsi:type="dcterms:W3CDTF">2012-05-31T12:49:12Z</dcterms:created>
  <dcterms:modified xsi:type="dcterms:W3CDTF">2020-06-01T15:34:24Z</dcterms:modified>
</cp:coreProperties>
</file>