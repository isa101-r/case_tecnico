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0730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D11" i="13"/>
  <c r="C11" i="13"/>
  <c r="J32" i="12"/>
  <c r="G32" i="12"/>
  <c r="D32" i="12"/>
  <c r="J31" i="12"/>
  <c r="G31" i="12"/>
  <c r="D31" i="12"/>
  <c r="J30" i="12"/>
  <c r="G30" i="12"/>
  <c r="D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R32" i="10"/>
  <c r="Q32" i="10"/>
  <c r="P32" i="10"/>
  <c r="O32" i="10"/>
  <c r="N32" i="10"/>
  <c r="M32" i="10"/>
  <c r="L32" i="10"/>
  <c r="K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K31" i="10"/>
  <c r="J31" i="10"/>
  <c r="I31" i="10"/>
  <c r="G31" i="10"/>
  <c r="H31" i="10" s="1"/>
  <c r="F31" i="10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1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X32" i="8"/>
  <c r="W32" i="8"/>
  <c r="V32" i="8"/>
  <c r="U32" i="8"/>
  <c r="T32" i="8"/>
  <c r="S32" i="8"/>
  <c r="R32" i="8"/>
  <c r="P32" i="8"/>
  <c r="O32" i="8"/>
  <c r="M32" i="8"/>
  <c r="L32" i="8"/>
  <c r="J32" i="8"/>
  <c r="I32" i="8"/>
  <c r="H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Q31" i="8" s="1"/>
  <c r="M31" i="8"/>
  <c r="L31" i="8"/>
  <c r="N31" i="8" s="1"/>
  <c r="K31" i="8"/>
  <c r="J31" i="8"/>
  <c r="I31" i="8"/>
  <c r="G31" i="8"/>
  <c r="H31" i="8" s="1"/>
  <c r="F31" i="8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K32" i="8" s="1"/>
  <c r="H10" i="8"/>
  <c r="E10" i="8"/>
  <c r="X9" i="8"/>
  <c r="X33" i="8" s="1"/>
  <c r="Q9" i="8"/>
  <c r="Q33" i="8" s="1"/>
  <c r="N9" i="8"/>
  <c r="N32" i="8" s="1"/>
  <c r="K9" i="8"/>
  <c r="K33" i="8" s="1"/>
  <c r="H9" i="8"/>
  <c r="H33" i="8" s="1"/>
  <c r="E9" i="8"/>
  <c r="E33" i="8" s="1"/>
  <c r="S33" i="7"/>
  <c r="Q33" i="7"/>
  <c r="P33" i="7"/>
  <c r="O33" i="7"/>
  <c r="N33" i="7"/>
  <c r="M33" i="7"/>
  <c r="L33" i="7"/>
  <c r="J33" i="7"/>
  <c r="I33" i="7"/>
  <c r="H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H32" i="7"/>
  <c r="G32" i="7"/>
  <c r="F32" i="7"/>
  <c r="E32" i="7"/>
  <c r="D32" i="7"/>
  <c r="C32" i="7"/>
  <c r="S31" i="7"/>
  <c r="Q31" i="7"/>
  <c r="P31" i="7"/>
  <c r="O31" i="7"/>
  <c r="N31" i="7"/>
  <c r="M31" i="7"/>
  <c r="L31" i="7"/>
  <c r="J31" i="7"/>
  <c r="K31" i="7" s="1"/>
  <c r="I31" i="7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E9" i="7"/>
  <c r="E33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X32" i="6"/>
  <c r="W32" i="6"/>
  <c r="V32" i="6"/>
  <c r="U32" i="6"/>
  <c r="T32" i="6"/>
  <c r="S32" i="6"/>
  <c r="R32" i="6"/>
  <c r="P32" i="6"/>
  <c r="O32" i="6"/>
  <c r="M32" i="6"/>
  <c r="L32" i="6"/>
  <c r="J32" i="6"/>
  <c r="I32" i="6"/>
  <c r="H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Q31" i="6" s="1"/>
  <c r="M31" i="6"/>
  <c r="L31" i="6"/>
  <c r="N31" i="6" s="1"/>
  <c r="K31" i="6"/>
  <c r="J31" i="6"/>
  <c r="I31" i="6"/>
  <c r="G31" i="6"/>
  <c r="H31" i="6" s="1"/>
  <c r="F31" i="6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X9" i="6"/>
  <c r="X33" i="6" s="1"/>
  <c r="Q9" i="6"/>
  <c r="Q33" i="6" s="1"/>
  <c r="N9" i="6"/>
  <c r="N32" i="6" s="1"/>
  <c r="K9" i="6"/>
  <c r="K32" i="6" s="1"/>
  <c r="H9" i="6"/>
  <c r="H33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Q32" i="5"/>
  <c r="P32" i="5"/>
  <c r="O32" i="5"/>
  <c r="M32" i="5"/>
  <c r="L32" i="5"/>
  <c r="J32" i="5"/>
  <c r="I32" i="5"/>
  <c r="G32" i="5"/>
  <c r="F32" i="5"/>
  <c r="E32" i="5"/>
  <c r="D32" i="5"/>
  <c r="C32" i="5"/>
  <c r="Y31" i="5"/>
  <c r="W31" i="5"/>
  <c r="V31" i="5"/>
  <c r="U31" i="5"/>
  <c r="T31" i="5"/>
  <c r="S31" i="5"/>
  <c r="R31" i="5"/>
  <c r="P31" i="5"/>
  <c r="Q31" i="5" s="1"/>
  <c r="O31" i="5"/>
  <c r="M31" i="5"/>
  <c r="L31" i="5"/>
  <c r="N31" i="5" s="1"/>
  <c r="J31" i="5"/>
  <c r="I31" i="5"/>
  <c r="K31" i="5" s="1"/>
  <c r="H31" i="5"/>
  <c r="G31" i="5"/>
  <c r="F31" i="5"/>
  <c r="D31" i="5"/>
  <c r="E31" i="5" s="1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N33" i="5" s="1"/>
  <c r="K10" i="5"/>
  <c r="H10" i="5"/>
  <c r="E10" i="5"/>
  <c r="X9" i="5"/>
  <c r="X31" i="5" s="1"/>
  <c r="Q9" i="5"/>
  <c r="Q33" i="5" s="1"/>
  <c r="N9" i="5"/>
  <c r="K9" i="5"/>
  <c r="K32" i="5" s="1"/>
  <c r="H9" i="5"/>
  <c r="H32" i="5" s="1"/>
  <c r="E9" i="5"/>
  <c r="E33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N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Q31" i="4"/>
  <c r="P31" i="4"/>
  <c r="O31" i="4"/>
  <c r="M31" i="4"/>
  <c r="N31" i="4" s="1"/>
  <c r="L31" i="4"/>
  <c r="J31" i="4"/>
  <c r="I31" i="4"/>
  <c r="K31" i="4" s="1"/>
  <c r="G31" i="4"/>
  <c r="F31" i="4"/>
  <c r="H31" i="4" s="1"/>
  <c r="E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3" i="4" s="1"/>
  <c r="Q10" i="4"/>
  <c r="N10" i="4"/>
  <c r="K10" i="4"/>
  <c r="H10" i="4"/>
  <c r="H33" i="4" s="1"/>
  <c r="E10" i="4"/>
  <c r="X9" i="4"/>
  <c r="X31" i="4" s="1"/>
  <c r="Q9" i="4"/>
  <c r="Q32" i="4" s="1"/>
  <c r="N9" i="4"/>
  <c r="N33" i="4" s="1"/>
  <c r="K9" i="4"/>
  <c r="K33" i="4" s="1"/>
  <c r="H9" i="4"/>
  <c r="H32" i="4" s="1"/>
  <c r="E9" i="4"/>
  <c r="E32" i="4" s="1"/>
  <c r="S33" i="3"/>
  <c r="R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K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H31" i="3"/>
  <c r="G31" i="3"/>
  <c r="F31" i="3"/>
  <c r="D31" i="3"/>
  <c r="E31" i="3" s="1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2" i="3" s="1"/>
  <c r="K9" i="3"/>
  <c r="K33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R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H31" i="2" s="1"/>
  <c r="F31" i="2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1" i="2" s="1"/>
  <c r="K9" i="2"/>
  <c r="K33" i="2" s="1"/>
  <c r="H9" i="2"/>
  <c r="H33" i="2" s="1"/>
  <c r="E9" i="2"/>
  <c r="E32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Q32" i="1"/>
  <c r="P32" i="1"/>
  <c r="O32" i="1"/>
  <c r="M32" i="1"/>
  <c r="L32" i="1"/>
  <c r="J32" i="1"/>
  <c r="I32" i="1"/>
  <c r="G32" i="1"/>
  <c r="F32" i="1"/>
  <c r="E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L31" i="1"/>
  <c r="N31" i="1" s="1"/>
  <c r="J31" i="1"/>
  <c r="I31" i="1"/>
  <c r="K31" i="1" s="1"/>
  <c r="H31" i="1"/>
  <c r="G31" i="1"/>
  <c r="F31" i="1"/>
  <c r="D31" i="1"/>
  <c r="E31" i="1" s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N32" i="1" s="1"/>
  <c r="K10" i="1"/>
  <c r="H10" i="1"/>
  <c r="E10" i="1"/>
  <c r="X9" i="1"/>
  <c r="X31" i="1" s="1"/>
  <c r="Q9" i="1"/>
  <c r="Q33" i="1" s="1"/>
  <c r="N9" i="1"/>
  <c r="K9" i="1"/>
  <c r="K33" i="1" s="1"/>
  <c r="H9" i="1"/>
  <c r="H32" i="1" s="1"/>
  <c r="E9" i="1"/>
  <c r="E33" i="1" s="1"/>
  <c r="N33" i="1" l="1"/>
  <c r="H32" i="3"/>
  <c r="N32" i="5"/>
  <c r="K33" i="5"/>
  <c r="X31" i="6"/>
  <c r="R32" i="7"/>
  <c r="X31" i="8"/>
  <c r="K32" i="1"/>
  <c r="H33" i="1"/>
  <c r="X33" i="1"/>
  <c r="H32" i="2"/>
  <c r="R31" i="3"/>
  <c r="E32" i="3"/>
  <c r="X32" i="4"/>
  <c r="E33" i="4"/>
  <c r="Q33" i="4"/>
  <c r="H33" i="5"/>
  <c r="X33" i="5"/>
  <c r="K33" i="6"/>
  <c r="K32" i="7"/>
  <c r="R33" i="7"/>
  <c r="H32" i="10"/>
  <c r="E33" i="2"/>
  <c r="K32" i="4"/>
  <c r="E32" i="6"/>
  <c r="Q32" i="6"/>
  <c r="E32" i="8"/>
  <c r="Q32" i="8"/>
  <c r="X32" i="1"/>
  <c r="X32" i="5"/>
  <c r="E32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<sst xmlns="http://schemas.openxmlformats.org/spreadsheetml/2006/main" count="429" uniqueCount="99">
  <si>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</si>
  <si>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</si>
  <si>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</si>
  <si>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</si>
  <si>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</si>
  <si>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</si>
  <si>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</si>
  <si>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</si>
  <si>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</si>
  <si>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</si>
  <si>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</si>
  <si>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</si>
  <si>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</si>
  <si>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</si>
  <si>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</si>
  <si>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</si>
  <si>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</si>
  <si>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</si>
  <si>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</si>
  <si>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</si>
  <si>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</si>
  <si>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</si>
  <si>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</si>
  <si>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</si>
  <si>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</si>
  <si>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</si>
  <si>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</si>
  <si>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</si>
  <si>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</si>
  <si>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</si>
  <si>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</si>
  <si>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</si>
  <si>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</si>
  <si>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</si>
  <si>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</si>
  <si>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</si>
  <si>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</si>
  <si>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</si>
  <si>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</si>
  <si>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</si>
  <si>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</si>
  <si>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</si>
  <si>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</si>
  <si>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</si>
  <si>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</si>
  <si>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</si>
  <si>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</si>
  <si>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</si>
  <si>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</si>
  <si>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</si>
  <si>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</si>
  <si>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</si>
  <si>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</si>
  <si>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</si>
  <si>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</si>
  <si>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</si>
  <si>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</si>
  <si>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</si>
  <si>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</si>
  <si>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</si>
  <si>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</si>
  <si>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</si>
  <si>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</si>
  <si>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</si>
  <si>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</si>
  <si>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</si>
  <si>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</si>
  <si>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</si>
  <si>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</si>
  <si>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</si>
  <si>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</si>
  <si>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</si>
  <si>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</si>
  <si>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</si>
  <si>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</si>
  <si>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</si>
  <si>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</si>
  <si>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</si>
  <si>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</si>
  <si>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</si>
  <si>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</si>
  <si>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</si>
  <si>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</si>
  <si>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</si>
  <si>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</si>
  <si>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</si>
  <si>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</si>
  <si>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</si>
  <si>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</si>
  <si>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</si>
  <si>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</si>
  <si>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</si>
  <si>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</si>
  <si>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</si>
  <si>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</si>
  <si>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JUNE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</si>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</sst>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43983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43983</v>
      </c>
      <c r="C9" s="46">
        <v>5376.5</v>
      </c>
      <c r="D9" s="45">
        <v>5376.5</v>
      </c>
      <c r="E9" s="44">
        <f t="shared" ref="E9:E30" si="0">AVERAGE(C9:D9)</f>
        <v>5376.5</v>
      </c>
      <c r="F9" s="46">
        <v>5404</v>
      </c>
      <c r="G9" s="45">
        <v>5404</v>
      </c>
      <c r="H9" s="44">
        <f t="shared" ref="H9:H30" si="1">AVERAGE(F9:G9)</f>
        <v>5404</v>
      </c>
      <c r="I9" s="46">
        <v>5493.5</v>
      </c>
      <c r="J9" s="45">
        <v>5493.5</v>
      </c>
      <c r="K9" s="44">
        <f t="shared" ref="K9:K30" si="2">AVERAGE(I9:J9)</f>
        <v>5493.5</v>
      </c>
      <c r="L9" s="46">
        <v>5553.5</v>
      </c>
      <c r="M9" s="45">
        <v>5553.5</v>
      </c>
      <c r="N9" s="44">
        <f t="shared" ref="N9:N30" si="3">AVERAGE(L9:M9)</f>
        <v>5553.5</v>
      </c>
      <c r="O9" s="46">
        <v>5618.5</v>
      </c>
      <c r="P9" s="45">
        <v>5618.5</v>
      </c>
      <c r="Q9" s="44">
        <f t="shared" ref="Q9:Q30" si="4">AVERAGE(O9:P9)</f>
        <v>5618.5</v>
      </c>
      <c r="R9" s="52">
        <v>5376.5</v>
      </c>
      <c r="S9" s="51">
        <v>1.2388999999999999</v>
      </c>
      <c r="T9" s="53">
        <v>1.1112</v>
      </c>
      <c r="U9" s="50">
        <v>107.74</v>
      </c>
      <c r="V9" s="43">
        <v>4339.74</v>
      </c>
      <c r="W9" s="43">
        <v>4360.17</v>
      </c>
      <c r="X9" s="49">
        <f t="shared" ref="X9:X30" si="5">R9/T9</f>
        <v>4838.4629229661632</v>
      </c>
      <c r="Y9" s="48">
        <v>1.2394000000000001</v>
      </c>
    </row>
    <row r="10" spans="1:25" x14ac:dyDescent="0.2">
      <c r="B10" s="47">
        <v>43984</v>
      </c>
      <c r="C10" s="46">
        <v>5463</v>
      </c>
      <c r="D10" s="45">
        <v>5463</v>
      </c>
      <c r="E10" s="44">
        <f t="shared" si="0"/>
        <v>5463</v>
      </c>
      <c r="F10" s="46">
        <v>5487.5</v>
      </c>
      <c r="G10" s="45">
        <v>5487.5</v>
      </c>
      <c r="H10" s="44">
        <f t="shared" si="1"/>
        <v>5487.5</v>
      </c>
      <c r="I10" s="46">
        <v>5577</v>
      </c>
      <c r="J10" s="45">
        <v>5577</v>
      </c>
      <c r="K10" s="44">
        <f t="shared" si="2"/>
        <v>5577</v>
      </c>
      <c r="L10" s="46">
        <v>5635</v>
      </c>
      <c r="M10" s="45">
        <v>5635</v>
      </c>
      <c r="N10" s="44">
        <f t="shared" si="3"/>
        <v>5635</v>
      </c>
      <c r="O10" s="46">
        <v>5700</v>
      </c>
      <c r="P10" s="45">
        <v>5700</v>
      </c>
      <c r="Q10" s="44">
        <f t="shared" si="4"/>
        <v>5700</v>
      </c>
      <c r="R10" s="52">
        <v>5463</v>
      </c>
      <c r="S10" s="51">
        <v>1.254</v>
      </c>
      <c r="T10" s="51">
        <v>1.1169</v>
      </c>
      <c r="U10" s="50">
        <v>107.91</v>
      </c>
      <c r="V10" s="43">
        <v>4356.46</v>
      </c>
      <c r="W10" s="43">
        <v>4374.25</v>
      </c>
      <c r="X10" s="49">
        <f t="shared" si="5"/>
        <v>4891.2167606768735</v>
      </c>
      <c r="Y10" s="48">
        <v>1.2544999999999999</v>
      </c>
    </row>
    <row r="11" spans="1:25" x14ac:dyDescent="0.2">
      <c r="B11" s="47">
        <v>43985</v>
      </c>
      <c r="C11" s="46">
        <v>5499</v>
      </c>
      <c r="D11" s="45">
        <v>5499</v>
      </c>
      <c r="E11" s="44">
        <f t="shared" si="0"/>
        <v>5499</v>
      </c>
      <c r="F11" s="46">
        <v>5522</v>
      </c>
      <c r="G11" s="45">
        <v>5522</v>
      </c>
      <c r="H11" s="44">
        <f t="shared" si="1"/>
        <v>5522</v>
      </c>
      <c r="I11" s="46">
        <v>5607.5</v>
      </c>
      <c r="J11" s="45">
        <v>5607.5</v>
      </c>
      <c r="K11" s="44">
        <f t="shared" si="2"/>
        <v>5607.5</v>
      </c>
      <c r="L11" s="46">
        <v>5665.5</v>
      </c>
      <c r="M11" s="45">
        <v>5665.5</v>
      </c>
      <c r="N11" s="44">
        <f t="shared" si="3"/>
        <v>5665.5</v>
      </c>
      <c r="O11" s="46">
        <v>5730.5</v>
      </c>
      <c r="P11" s="45">
        <v>5730.5</v>
      </c>
      <c r="Q11" s="44">
        <f t="shared" si="4"/>
        <v>5730.5</v>
      </c>
      <c r="R11" s="52">
        <v>5499</v>
      </c>
      <c r="S11" s="51">
        <v>1.2563</v>
      </c>
      <c r="T11" s="51">
        <v>1.1194999999999999</v>
      </c>
      <c r="U11" s="50">
        <v>108.59</v>
      </c>
      <c r="V11" s="43">
        <v>4377.1400000000003</v>
      </c>
      <c r="W11" s="43">
        <v>4393.3500000000004</v>
      </c>
      <c r="X11" s="49">
        <f t="shared" si="5"/>
        <v>4912.0142920946855</v>
      </c>
      <c r="Y11" s="48">
        <v>1.2568999999999999</v>
      </c>
    </row>
    <row r="12" spans="1:25" x14ac:dyDescent="0.2">
      <c r="B12" s="47">
        <v>43986</v>
      </c>
      <c r="C12" s="46">
        <v>5452.5</v>
      </c>
      <c r="D12" s="45">
        <v>5452.5</v>
      </c>
      <c r="E12" s="44">
        <f t="shared" si="0"/>
        <v>5452.5</v>
      </c>
      <c r="F12" s="46">
        <v>5478.5</v>
      </c>
      <c r="G12" s="45">
        <v>5478.5</v>
      </c>
      <c r="H12" s="44">
        <f t="shared" si="1"/>
        <v>5478.5</v>
      </c>
      <c r="I12" s="46">
        <v>5562.5</v>
      </c>
      <c r="J12" s="45">
        <v>5562.5</v>
      </c>
      <c r="K12" s="44">
        <f t="shared" si="2"/>
        <v>5562.5</v>
      </c>
      <c r="L12" s="46">
        <v>5618.5</v>
      </c>
      <c r="M12" s="45">
        <v>5618.5</v>
      </c>
      <c r="N12" s="44">
        <f t="shared" si="3"/>
        <v>5618.5</v>
      </c>
      <c r="O12" s="46">
        <v>5683.5</v>
      </c>
      <c r="P12" s="45">
        <v>5683.5</v>
      </c>
      <c r="Q12" s="44">
        <f t="shared" si="4"/>
        <v>5683.5</v>
      </c>
      <c r="R12" s="52">
        <v>5452.5</v>
      </c>
      <c r="S12" s="51">
        <v>1.2568999999999999</v>
      </c>
      <c r="T12" s="51">
        <v>1.1269</v>
      </c>
      <c r="U12" s="50">
        <v>108.9</v>
      </c>
      <c r="V12" s="43">
        <v>4338.05</v>
      </c>
      <c r="W12" s="43">
        <v>4356.66</v>
      </c>
      <c r="X12" s="49">
        <f t="shared" si="5"/>
        <v>4838.4949862454523</v>
      </c>
      <c r="Y12" s="48">
        <v>1.2575000000000001</v>
      </c>
    </row>
    <row r="13" spans="1:25" x14ac:dyDescent="0.2">
      <c r="B13" s="47">
        <v>43987</v>
      </c>
      <c r="C13" s="46">
        <v>5588</v>
      </c>
      <c r="D13" s="45">
        <v>5588</v>
      </c>
      <c r="E13" s="44">
        <f t="shared" si="0"/>
        <v>5588</v>
      </c>
      <c r="F13" s="46">
        <v>5607</v>
      </c>
      <c r="G13" s="45">
        <v>5607</v>
      </c>
      <c r="H13" s="44">
        <f t="shared" si="1"/>
        <v>5607</v>
      </c>
      <c r="I13" s="46">
        <v>5683.5</v>
      </c>
      <c r="J13" s="45">
        <v>5683.5</v>
      </c>
      <c r="K13" s="44">
        <f t="shared" si="2"/>
        <v>5683.5</v>
      </c>
      <c r="L13" s="46">
        <v>5733.5</v>
      </c>
      <c r="M13" s="45">
        <v>5733.5</v>
      </c>
      <c r="N13" s="44">
        <f t="shared" si="3"/>
        <v>5733.5</v>
      </c>
      <c r="O13" s="46">
        <v>5798.5</v>
      </c>
      <c r="P13" s="45">
        <v>5798.5</v>
      </c>
      <c r="Q13" s="44">
        <f t="shared" si="4"/>
        <v>5798.5</v>
      </c>
      <c r="R13" s="52">
        <v>5588</v>
      </c>
      <c r="S13" s="51">
        <v>1.2663</v>
      </c>
      <c r="T13" s="51">
        <v>1.1335999999999999</v>
      </c>
      <c r="U13" s="50">
        <v>109.24</v>
      </c>
      <c r="V13" s="43">
        <v>4412.8599999999997</v>
      </c>
      <c r="W13" s="43">
        <v>4426.1099999999997</v>
      </c>
      <c r="X13" s="49">
        <f t="shared" si="5"/>
        <v>4929.4283697953424</v>
      </c>
      <c r="Y13" s="48">
        <v>1.2667999999999999</v>
      </c>
    </row>
    <row r="14" spans="1:25" x14ac:dyDescent="0.2">
      <c r="B14" s="47">
        <v>43990</v>
      </c>
      <c r="C14" s="46">
        <v>5659</v>
      </c>
      <c r="D14" s="45">
        <v>5659</v>
      </c>
      <c r="E14" s="44">
        <f t="shared" si="0"/>
        <v>5659</v>
      </c>
      <c r="F14" s="46">
        <v>5678.5</v>
      </c>
      <c r="G14" s="45">
        <v>5678.5</v>
      </c>
      <c r="H14" s="44">
        <f t="shared" si="1"/>
        <v>5678.5</v>
      </c>
      <c r="I14" s="46">
        <v>5756.5</v>
      </c>
      <c r="J14" s="45">
        <v>5756.5</v>
      </c>
      <c r="K14" s="44">
        <f t="shared" si="2"/>
        <v>5756.5</v>
      </c>
      <c r="L14" s="46">
        <v>5808.5</v>
      </c>
      <c r="M14" s="45">
        <v>5808.5</v>
      </c>
      <c r="N14" s="44">
        <f t="shared" si="3"/>
        <v>5808.5</v>
      </c>
      <c r="O14" s="46">
        <v>5873.5</v>
      </c>
      <c r="P14" s="45">
        <v>5873.5</v>
      </c>
      <c r="Q14" s="44">
        <f t="shared" si="4"/>
        <v>5873.5</v>
      </c>
      <c r="R14" s="52">
        <v>5659</v>
      </c>
      <c r="S14" s="51">
        <v>1.2656000000000001</v>
      </c>
      <c r="T14" s="51">
        <v>1.1276999999999999</v>
      </c>
      <c r="U14" s="50">
        <v>109.42</v>
      </c>
      <c r="V14" s="43">
        <v>4471.3999999999996</v>
      </c>
      <c r="W14" s="43">
        <v>4484.68</v>
      </c>
      <c r="X14" s="49">
        <f t="shared" si="5"/>
        <v>5018.1785935975886</v>
      </c>
      <c r="Y14" s="48">
        <v>1.2662</v>
      </c>
    </row>
    <row r="15" spans="1:25" x14ac:dyDescent="0.2">
      <c r="B15" s="47">
        <v>43991</v>
      </c>
      <c r="C15" s="46">
        <v>5680.5</v>
      </c>
      <c r="D15" s="45">
        <v>5680.5</v>
      </c>
      <c r="E15" s="44">
        <f t="shared" si="0"/>
        <v>5680.5</v>
      </c>
      <c r="F15" s="46">
        <v>5704</v>
      </c>
      <c r="G15" s="45">
        <v>5704</v>
      </c>
      <c r="H15" s="44">
        <f t="shared" si="1"/>
        <v>5704</v>
      </c>
      <c r="I15" s="46">
        <v>5782.5</v>
      </c>
      <c r="J15" s="45">
        <v>5782.5</v>
      </c>
      <c r="K15" s="44">
        <f t="shared" si="2"/>
        <v>5782.5</v>
      </c>
      <c r="L15" s="46">
        <v>5834.5</v>
      </c>
      <c r="M15" s="45">
        <v>5834.5</v>
      </c>
      <c r="N15" s="44">
        <f t="shared" si="3"/>
        <v>5834.5</v>
      </c>
      <c r="O15" s="46">
        <v>5899.5</v>
      </c>
      <c r="P15" s="45">
        <v>5899.5</v>
      </c>
      <c r="Q15" s="44">
        <f t="shared" si="4"/>
        <v>5899.5</v>
      </c>
      <c r="R15" s="52">
        <v>5680.5</v>
      </c>
      <c r="S15" s="51">
        <v>1.2669999999999999</v>
      </c>
      <c r="T15" s="51">
        <v>1.1282000000000001</v>
      </c>
      <c r="U15" s="50">
        <v>108.14</v>
      </c>
      <c r="V15" s="43">
        <v>4483.43</v>
      </c>
      <c r="W15" s="43">
        <v>4499.84</v>
      </c>
      <c r="X15" s="49">
        <f t="shared" si="5"/>
        <v>5035.0115227796487</v>
      </c>
      <c r="Y15" s="48">
        <v>1.2676000000000001</v>
      </c>
    </row>
    <row r="16" spans="1:25" x14ac:dyDescent="0.2">
      <c r="B16" s="47">
        <v>43992</v>
      </c>
      <c r="C16" s="46">
        <v>5801</v>
      </c>
      <c r="D16" s="45">
        <v>5801</v>
      </c>
      <c r="E16" s="44">
        <f t="shared" si="0"/>
        <v>5801</v>
      </c>
      <c r="F16" s="46">
        <v>5822</v>
      </c>
      <c r="G16" s="45">
        <v>5822</v>
      </c>
      <c r="H16" s="44">
        <f t="shared" si="1"/>
        <v>5822</v>
      </c>
      <c r="I16" s="46">
        <v>5895.5</v>
      </c>
      <c r="J16" s="45">
        <v>5895.5</v>
      </c>
      <c r="K16" s="44">
        <f t="shared" si="2"/>
        <v>5895.5</v>
      </c>
      <c r="L16" s="46">
        <v>5949.5</v>
      </c>
      <c r="M16" s="45">
        <v>5949.5</v>
      </c>
      <c r="N16" s="44">
        <f t="shared" si="3"/>
        <v>5949.5</v>
      </c>
      <c r="O16" s="46">
        <v>6014.5</v>
      </c>
      <c r="P16" s="45">
        <v>6014.5</v>
      </c>
      <c r="Q16" s="44">
        <f t="shared" si="4"/>
        <v>6014.5</v>
      </c>
      <c r="R16" s="52">
        <v>5801</v>
      </c>
      <c r="S16" s="51">
        <v>1.2793000000000001</v>
      </c>
      <c r="T16" s="51">
        <v>1.1387</v>
      </c>
      <c r="U16" s="50">
        <v>107.37</v>
      </c>
      <c r="V16" s="43">
        <v>4534.51</v>
      </c>
      <c r="W16" s="43">
        <v>4548.79</v>
      </c>
      <c r="X16" s="49">
        <f t="shared" si="5"/>
        <v>5094.4059014665845</v>
      </c>
      <c r="Y16" s="48">
        <v>1.2799</v>
      </c>
    </row>
    <row r="17" spans="2:25" x14ac:dyDescent="0.2">
      <c r="B17" s="47">
        <v>43993</v>
      </c>
      <c r="C17" s="46">
        <v>5801.5</v>
      </c>
      <c r="D17" s="45">
        <v>5801.5</v>
      </c>
      <c r="E17" s="44">
        <f t="shared" si="0"/>
        <v>5801.5</v>
      </c>
      <c r="F17" s="46">
        <v>5825</v>
      </c>
      <c r="G17" s="45">
        <v>5825</v>
      </c>
      <c r="H17" s="44">
        <f t="shared" si="1"/>
        <v>5825</v>
      </c>
      <c r="I17" s="46">
        <v>5897</v>
      </c>
      <c r="J17" s="45">
        <v>5897</v>
      </c>
      <c r="K17" s="44">
        <f t="shared" si="2"/>
        <v>5897</v>
      </c>
      <c r="L17" s="46">
        <v>5944</v>
      </c>
      <c r="M17" s="45">
        <v>5944</v>
      </c>
      <c r="N17" s="44">
        <f t="shared" si="3"/>
        <v>5944</v>
      </c>
      <c r="O17" s="46">
        <v>6009</v>
      </c>
      <c r="P17" s="45">
        <v>6009</v>
      </c>
      <c r="Q17" s="44">
        <f t="shared" si="4"/>
        <v>6009</v>
      </c>
      <c r="R17" s="52">
        <v>5801.5</v>
      </c>
      <c r="S17" s="51">
        <v>1.2653000000000001</v>
      </c>
      <c r="T17" s="51">
        <v>1.1355999999999999</v>
      </c>
      <c r="U17" s="50">
        <v>107.09</v>
      </c>
      <c r="V17" s="43">
        <v>4585.08</v>
      </c>
      <c r="W17" s="43">
        <v>4601.47</v>
      </c>
      <c r="X17" s="49">
        <f t="shared" si="5"/>
        <v>5108.7530820711518</v>
      </c>
      <c r="Y17" s="48">
        <v>1.2659</v>
      </c>
    </row>
    <row r="18" spans="2:25" x14ac:dyDescent="0.2">
      <c r="B18" s="47">
        <v>43994</v>
      </c>
      <c r="C18" s="46">
        <v>5785.5</v>
      </c>
      <c r="D18" s="45">
        <v>5785.5</v>
      </c>
      <c r="E18" s="44">
        <f t="shared" si="0"/>
        <v>5785.5</v>
      </c>
      <c r="F18" s="46">
        <v>5809</v>
      </c>
      <c r="G18" s="45">
        <v>5809</v>
      </c>
      <c r="H18" s="44">
        <f t="shared" si="1"/>
        <v>5809</v>
      </c>
      <c r="I18" s="46">
        <v>5885.5</v>
      </c>
      <c r="J18" s="45">
        <v>5885.5</v>
      </c>
      <c r="K18" s="44">
        <f t="shared" si="2"/>
        <v>5885.5</v>
      </c>
      <c r="L18" s="46">
        <v>5933.5</v>
      </c>
      <c r="M18" s="45">
        <v>5933.5</v>
      </c>
      <c r="N18" s="44">
        <f t="shared" si="3"/>
        <v>5933.5</v>
      </c>
      <c r="O18" s="46">
        <v>5998.5</v>
      </c>
      <c r="P18" s="45">
        <v>5998.5</v>
      </c>
      <c r="Q18" s="44">
        <f t="shared" si="4"/>
        <v>5998.5</v>
      </c>
      <c r="R18" s="52">
        <v>5785.5</v>
      </c>
      <c r="S18" s="51">
        <v>1.262</v>
      </c>
      <c r="T18" s="51">
        <v>1.1309</v>
      </c>
      <c r="U18" s="50">
        <v>107.36</v>
      </c>
      <c r="V18" s="43">
        <v>4584.3900000000003</v>
      </c>
      <c r="W18" s="43">
        <v>4600.46</v>
      </c>
      <c r="X18" s="49">
        <f t="shared" si="5"/>
        <v>5115.8369440268816</v>
      </c>
      <c r="Y18" s="48">
        <v>1.2626999999999999</v>
      </c>
    </row>
    <row r="19" spans="2:25" x14ac:dyDescent="0.2">
      <c r="B19" s="47">
        <v>43997</v>
      </c>
      <c r="C19" s="46">
        <v>5646</v>
      </c>
      <c r="D19" s="45">
        <v>5646</v>
      </c>
      <c r="E19" s="44">
        <f t="shared" si="0"/>
        <v>5646</v>
      </c>
      <c r="F19" s="46">
        <v>5673.5</v>
      </c>
      <c r="G19" s="45">
        <v>5673.5</v>
      </c>
      <c r="H19" s="44">
        <f t="shared" si="1"/>
        <v>5673.5</v>
      </c>
      <c r="I19" s="46">
        <v>5748.5</v>
      </c>
      <c r="J19" s="45">
        <v>5748.5</v>
      </c>
      <c r="K19" s="44">
        <f t="shared" si="2"/>
        <v>5748.5</v>
      </c>
      <c r="L19" s="46">
        <v>5796.5</v>
      </c>
      <c r="M19" s="45">
        <v>5796.5</v>
      </c>
      <c r="N19" s="44">
        <f t="shared" si="3"/>
        <v>5796.5</v>
      </c>
      <c r="O19" s="46">
        <v>5861.5</v>
      </c>
      <c r="P19" s="45">
        <v>5861.5</v>
      </c>
      <c r="Q19" s="44">
        <f t="shared" si="4"/>
        <v>5861.5</v>
      </c>
      <c r="R19" s="52">
        <v>5646</v>
      </c>
      <c r="S19" s="51">
        <v>1.2546999999999999</v>
      </c>
      <c r="T19" s="51">
        <v>1.1256999999999999</v>
      </c>
      <c r="U19" s="50">
        <v>107.37</v>
      </c>
      <c r="V19" s="43">
        <v>4499.88</v>
      </c>
      <c r="W19" s="43">
        <v>4519.28</v>
      </c>
      <c r="X19" s="49">
        <f t="shared" si="5"/>
        <v>5015.5458825619617</v>
      </c>
      <c r="Y19" s="48">
        <v>1.2554000000000001</v>
      </c>
    </row>
    <row r="20" spans="2:25" x14ac:dyDescent="0.2">
      <c r="B20" s="47">
        <v>43998</v>
      </c>
      <c r="C20" s="46">
        <v>5759.5</v>
      </c>
      <c r="D20" s="45">
        <v>5759.5</v>
      </c>
      <c r="E20" s="44">
        <f t="shared" si="0"/>
        <v>5759.5</v>
      </c>
      <c r="F20" s="46">
        <v>5787.5</v>
      </c>
      <c r="G20" s="45">
        <v>5787.5</v>
      </c>
      <c r="H20" s="44">
        <f t="shared" si="1"/>
        <v>5787.5</v>
      </c>
      <c r="I20" s="46">
        <v>5862.5</v>
      </c>
      <c r="J20" s="45">
        <v>5862.5</v>
      </c>
      <c r="K20" s="44">
        <f t="shared" si="2"/>
        <v>5862.5</v>
      </c>
      <c r="L20" s="46">
        <v>5912.5</v>
      </c>
      <c r="M20" s="45">
        <v>5912.5</v>
      </c>
      <c r="N20" s="44">
        <f t="shared" si="3"/>
        <v>5912.5</v>
      </c>
      <c r="O20" s="46">
        <v>5977.5</v>
      </c>
      <c r="P20" s="45">
        <v>5977.5</v>
      </c>
      <c r="Q20" s="44">
        <f t="shared" si="4"/>
        <v>5977.5</v>
      </c>
      <c r="R20" s="52">
        <v>5759.5</v>
      </c>
      <c r="S20" s="51">
        <v>1.2649999999999999</v>
      </c>
      <c r="T20" s="51">
        <v>1.1304000000000001</v>
      </c>
      <c r="U20" s="50">
        <v>107.33</v>
      </c>
      <c r="V20" s="43">
        <v>4552.96</v>
      </c>
      <c r="W20" s="43">
        <v>4572.57</v>
      </c>
      <c r="X20" s="49">
        <f t="shared" si="5"/>
        <v>5095.099079971691</v>
      </c>
      <c r="Y20" s="48">
        <v>1.2657</v>
      </c>
    </row>
    <row r="21" spans="2:25" x14ac:dyDescent="0.2">
      <c r="B21" s="47">
        <v>43999</v>
      </c>
      <c r="C21" s="46">
        <v>5734</v>
      </c>
      <c r="D21" s="45">
        <v>5734</v>
      </c>
      <c r="E21" s="44">
        <f t="shared" si="0"/>
        <v>5734</v>
      </c>
      <c r="F21" s="46">
        <v>5763</v>
      </c>
      <c r="G21" s="45">
        <v>5763</v>
      </c>
      <c r="H21" s="44">
        <f t="shared" si="1"/>
        <v>5763</v>
      </c>
      <c r="I21" s="46">
        <v>5835.5</v>
      </c>
      <c r="J21" s="45">
        <v>5835.5</v>
      </c>
      <c r="K21" s="44">
        <f t="shared" si="2"/>
        <v>5835.5</v>
      </c>
      <c r="L21" s="46">
        <v>5885.5</v>
      </c>
      <c r="M21" s="45">
        <v>5885.5</v>
      </c>
      <c r="N21" s="44">
        <f t="shared" si="3"/>
        <v>5885.5</v>
      </c>
      <c r="O21" s="46">
        <v>5950.5</v>
      </c>
      <c r="P21" s="45">
        <v>5950.5</v>
      </c>
      <c r="Q21" s="44">
        <f t="shared" si="4"/>
        <v>5950.5</v>
      </c>
      <c r="R21" s="52">
        <v>5734</v>
      </c>
      <c r="S21" s="51">
        <v>1.2563</v>
      </c>
      <c r="T21" s="51">
        <v>1.1232</v>
      </c>
      <c r="U21" s="50">
        <v>107.38</v>
      </c>
      <c r="V21" s="43">
        <v>4564.2</v>
      </c>
      <c r="W21" s="43">
        <v>4584.7299999999996</v>
      </c>
      <c r="X21" s="49">
        <f t="shared" si="5"/>
        <v>5105.0569800569801</v>
      </c>
      <c r="Y21" s="48">
        <v>1.2569999999999999</v>
      </c>
    </row>
    <row r="22" spans="2:25" x14ac:dyDescent="0.2">
      <c r="B22" s="47">
        <v>44000</v>
      </c>
      <c r="C22" s="46">
        <v>5799</v>
      </c>
      <c r="D22" s="45">
        <v>5799</v>
      </c>
      <c r="E22" s="44">
        <f t="shared" si="0"/>
        <v>5799</v>
      </c>
      <c r="F22" s="46">
        <v>5825</v>
      </c>
      <c r="G22" s="45">
        <v>5825</v>
      </c>
      <c r="H22" s="44">
        <f t="shared" si="1"/>
        <v>5825</v>
      </c>
      <c r="I22" s="46">
        <v>5886.5</v>
      </c>
      <c r="J22" s="45">
        <v>5886.5</v>
      </c>
      <c r="K22" s="44">
        <f t="shared" si="2"/>
        <v>5886.5</v>
      </c>
      <c r="L22" s="46">
        <v>5931.5</v>
      </c>
      <c r="M22" s="45">
        <v>5931.5</v>
      </c>
      <c r="N22" s="44">
        <f t="shared" si="3"/>
        <v>5931.5</v>
      </c>
      <c r="O22" s="46">
        <v>5991.5</v>
      </c>
      <c r="P22" s="45">
        <v>5991.5</v>
      </c>
      <c r="Q22" s="44">
        <f t="shared" si="4"/>
        <v>5991.5</v>
      </c>
      <c r="R22" s="52">
        <v>5799</v>
      </c>
      <c r="S22" s="51">
        <v>1.2485999999999999</v>
      </c>
      <c r="T22" s="51">
        <v>1.1234999999999999</v>
      </c>
      <c r="U22" s="50">
        <v>106.91</v>
      </c>
      <c r="V22" s="43">
        <v>4644.3999999999996</v>
      </c>
      <c r="W22" s="43">
        <v>4662.9799999999996</v>
      </c>
      <c r="X22" s="49">
        <f t="shared" si="5"/>
        <v>5161.5487316421895</v>
      </c>
      <c r="Y22" s="48">
        <v>1.2492000000000001</v>
      </c>
    </row>
    <row r="23" spans="2:25" x14ac:dyDescent="0.2">
      <c r="B23" s="47">
        <v>44001</v>
      </c>
      <c r="C23" s="46">
        <v>5835.5</v>
      </c>
      <c r="D23" s="45">
        <v>5835.5</v>
      </c>
      <c r="E23" s="44">
        <f t="shared" si="0"/>
        <v>5835.5</v>
      </c>
      <c r="F23" s="46">
        <v>5855</v>
      </c>
      <c r="G23" s="45">
        <v>5855</v>
      </c>
      <c r="H23" s="44">
        <f t="shared" si="1"/>
        <v>5855</v>
      </c>
      <c r="I23" s="46">
        <v>5912</v>
      </c>
      <c r="J23" s="45">
        <v>5912</v>
      </c>
      <c r="K23" s="44">
        <f t="shared" si="2"/>
        <v>5912</v>
      </c>
      <c r="L23" s="46">
        <v>5955</v>
      </c>
      <c r="M23" s="45">
        <v>5955</v>
      </c>
      <c r="N23" s="44">
        <f t="shared" si="3"/>
        <v>5955</v>
      </c>
      <c r="O23" s="46">
        <v>6005</v>
      </c>
      <c r="P23" s="45">
        <v>6005</v>
      </c>
      <c r="Q23" s="44">
        <f t="shared" si="4"/>
        <v>6005</v>
      </c>
      <c r="R23" s="52">
        <v>5835.5</v>
      </c>
      <c r="S23" s="51">
        <v>1.2372000000000001</v>
      </c>
      <c r="T23" s="51">
        <v>1.1211</v>
      </c>
      <c r="U23" s="50">
        <v>106.86</v>
      </c>
      <c r="V23" s="43">
        <v>4716.7</v>
      </c>
      <c r="W23" s="43">
        <v>4730.17</v>
      </c>
      <c r="X23" s="49">
        <f t="shared" si="5"/>
        <v>5205.1556507002051</v>
      </c>
      <c r="Y23" s="48">
        <v>1.2378</v>
      </c>
    </row>
    <row r="24" spans="2:25" x14ac:dyDescent="0.2">
      <c r="B24" s="47">
        <v>44004</v>
      </c>
      <c r="C24" s="46">
        <v>5825</v>
      </c>
      <c r="D24" s="45">
        <v>5825</v>
      </c>
      <c r="E24" s="44">
        <f t="shared" si="0"/>
        <v>5825</v>
      </c>
      <c r="F24" s="46">
        <v>5846</v>
      </c>
      <c r="G24" s="45">
        <v>5846</v>
      </c>
      <c r="H24" s="44">
        <f t="shared" si="1"/>
        <v>5846</v>
      </c>
      <c r="I24" s="46">
        <v>5904.5</v>
      </c>
      <c r="J24" s="45">
        <v>5904.5</v>
      </c>
      <c r="K24" s="44">
        <f t="shared" si="2"/>
        <v>5904.5</v>
      </c>
      <c r="L24" s="46">
        <v>5945.5</v>
      </c>
      <c r="M24" s="45">
        <v>5945.5</v>
      </c>
      <c r="N24" s="44">
        <f t="shared" si="3"/>
        <v>5945.5</v>
      </c>
      <c r="O24" s="46">
        <v>5995.5</v>
      </c>
      <c r="P24" s="45">
        <v>5995.5</v>
      </c>
      <c r="Q24" s="44">
        <f t="shared" si="4"/>
        <v>5995.5</v>
      </c>
      <c r="R24" s="52">
        <v>5825</v>
      </c>
      <c r="S24" s="51">
        <v>1.2404999999999999</v>
      </c>
      <c r="T24" s="51">
        <v>1.1213</v>
      </c>
      <c r="U24" s="50">
        <v>106.94</v>
      </c>
      <c r="V24" s="43">
        <v>4695.6899999999996</v>
      </c>
      <c r="W24" s="43">
        <v>4712.62</v>
      </c>
      <c r="X24" s="49">
        <f t="shared" si="5"/>
        <v>5194.863105324177</v>
      </c>
      <c r="Y24" s="48">
        <v>1.2404999999999999</v>
      </c>
    </row>
    <row r="25" spans="2:25" x14ac:dyDescent="0.2">
      <c r="B25" s="47">
        <v>44005</v>
      </c>
      <c r="C25" s="46">
        <v>5895</v>
      </c>
      <c r="D25" s="45">
        <v>5895</v>
      </c>
      <c r="E25" s="44">
        <f t="shared" si="0"/>
        <v>5895</v>
      </c>
      <c r="F25" s="46">
        <v>5909</v>
      </c>
      <c r="G25" s="45">
        <v>5909</v>
      </c>
      <c r="H25" s="44">
        <f t="shared" si="1"/>
        <v>5909</v>
      </c>
      <c r="I25" s="46">
        <v>5964</v>
      </c>
      <c r="J25" s="45">
        <v>5964</v>
      </c>
      <c r="K25" s="44">
        <f t="shared" si="2"/>
        <v>5964</v>
      </c>
      <c r="L25" s="46">
        <v>6005.5</v>
      </c>
      <c r="M25" s="45">
        <v>6005.5</v>
      </c>
      <c r="N25" s="44">
        <f t="shared" si="3"/>
        <v>6005.5</v>
      </c>
      <c r="O25" s="46">
        <v>6055.5</v>
      </c>
      <c r="P25" s="45">
        <v>6055.5</v>
      </c>
      <c r="Q25" s="44">
        <f t="shared" si="4"/>
        <v>6055.5</v>
      </c>
      <c r="R25" s="52">
        <v>5895</v>
      </c>
      <c r="S25" s="51">
        <v>1.2470000000000001</v>
      </c>
      <c r="T25" s="51">
        <v>1.1306</v>
      </c>
      <c r="U25" s="50">
        <v>106.99</v>
      </c>
      <c r="V25" s="43">
        <v>4727.3500000000004</v>
      </c>
      <c r="W25" s="43">
        <v>4738.57</v>
      </c>
      <c r="X25" s="49">
        <f t="shared" si="5"/>
        <v>5214.04563948346</v>
      </c>
      <c r="Y25" s="48">
        <v>1.2470000000000001</v>
      </c>
    </row>
    <row r="26" spans="2:25" x14ac:dyDescent="0.2">
      <c r="B26" s="47">
        <v>44006</v>
      </c>
      <c r="C26" s="46">
        <v>5871</v>
      </c>
      <c r="D26" s="45">
        <v>5871</v>
      </c>
      <c r="E26" s="44">
        <f t="shared" si="0"/>
        <v>5871</v>
      </c>
      <c r="F26" s="46">
        <v>5882.5</v>
      </c>
      <c r="G26" s="45">
        <v>5882.5</v>
      </c>
      <c r="H26" s="44">
        <f t="shared" si="1"/>
        <v>5882.5</v>
      </c>
      <c r="I26" s="46">
        <v>5936.5</v>
      </c>
      <c r="J26" s="45">
        <v>5936.5</v>
      </c>
      <c r="K26" s="44">
        <f t="shared" si="2"/>
        <v>5936.5</v>
      </c>
      <c r="L26" s="46">
        <v>5978</v>
      </c>
      <c r="M26" s="45">
        <v>5978</v>
      </c>
      <c r="N26" s="44">
        <f t="shared" si="3"/>
        <v>5978</v>
      </c>
      <c r="O26" s="46">
        <v>6028</v>
      </c>
      <c r="P26" s="45">
        <v>6028</v>
      </c>
      <c r="Q26" s="44">
        <f t="shared" si="4"/>
        <v>6028</v>
      </c>
      <c r="R26" s="52">
        <v>5871</v>
      </c>
      <c r="S26" s="51">
        <v>1.2488999999999999</v>
      </c>
      <c r="T26" s="51">
        <v>1.1283000000000001</v>
      </c>
      <c r="U26" s="50">
        <v>106.59</v>
      </c>
      <c r="V26" s="43">
        <v>4700.9399999999996</v>
      </c>
      <c r="W26" s="43">
        <v>4710.1400000000003</v>
      </c>
      <c r="X26" s="49">
        <f t="shared" si="5"/>
        <v>5203.4033501728263</v>
      </c>
      <c r="Y26" s="48">
        <v>1.2488999999999999</v>
      </c>
    </row>
    <row r="27" spans="2:25" x14ac:dyDescent="0.2">
      <c r="B27" s="47">
        <v>44007</v>
      </c>
      <c r="C27" s="46">
        <v>5880.5</v>
      </c>
      <c r="D27" s="45">
        <v>5880.5</v>
      </c>
      <c r="E27" s="44">
        <f t="shared" si="0"/>
        <v>5880.5</v>
      </c>
      <c r="F27" s="46">
        <v>5888</v>
      </c>
      <c r="G27" s="45">
        <v>5888</v>
      </c>
      <c r="H27" s="44">
        <f t="shared" si="1"/>
        <v>5888</v>
      </c>
      <c r="I27" s="46">
        <v>5935.5</v>
      </c>
      <c r="J27" s="45">
        <v>5935.5</v>
      </c>
      <c r="K27" s="44">
        <f t="shared" si="2"/>
        <v>5935.5</v>
      </c>
      <c r="L27" s="46">
        <v>5974.5</v>
      </c>
      <c r="M27" s="45">
        <v>5974.5</v>
      </c>
      <c r="N27" s="44">
        <f t="shared" si="3"/>
        <v>5974.5</v>
      </c>
      <c r="O27" s="46">
        <v>6024.5</v>
      </c>
      <c r="P27" s="45">
        <v>6024.5</v>
      </c>
      <c r="Q27" s="44">
        <f t="shared" si="4"/>
        <v>6024.5</v>
      </c>
      <c r="R27" s="52">
        <v>5880.5</v>
      </c>
      <c r="S27" s="51">
        <v>1.2417</v>
      </c>
      <c r="T27" s="51">
        <v>1.1196999999999999</v>
      </c>
      <c r="U27" s="50">
        <v>107.41</v>
      </c>
      <c r="V27" s="43">
        <v>4735.8500000000004</v>
      </c>
      <c r="W27" s="43">
        <v>4741.8900000000003</v>
      </c>
      <c r="X27" s="49">
        <f t="shared" si="5"/>
        <v>5251.8531749575786</v>
      </c>
      <c r="Y27" s="48">
        <v>1.2417</v>
      </c>
    </row>
    <row r="28" spans="2:25" x14ac:dyDescent="0.2">
      <c r="B28" s="47">
        <v>44008</v>
      </c>
      <c r="C28" s="46">
        <v>5985.5</v>
      </c>
      <c r="D28" s="45">
        <v>5985.5</v>
      </c>
      <c r="E28" s="44">
        <f t="shared" si="0"/>
        <v>5985.5</v>
      </c>
      <c r="F28" s="46">
        <v>5984.5</v>
      </c>
      <c r="G28" s="45">
        <v>5984.5</v>
      </c>
      <c r="H28" s="44">
        <f t="shared" si="1"/>
        <v>5984.5</v>
      </c>
      <c r="I28" s="46">
        <v>6017.5</v>
      </c>
      <c r="J28" s="45">
        <v>6017.5</v>
      </c>
      <c r="K28" s="44">
        <f t="shared" si="2"/>
        <v>6017.5</v>
      </c>
      <c r="L28" s="46">
        <v>6053.5</v>
      </c>
      <c r="M28" s="45">
        <v>6053.5</v>
      </c>
      <c r="N28" s="44">
        <f t="shared" si="3"/>
        <v>6053.5</v>
      </c>
      <c r="O28" s="46">
        <v>6103.5</v>
      </c>
      <c r="P28" s="45">
        <v>6103.5</v>
      </c>
      <c r="Q28" s="44">
        <f t="shared" si="4"/>
        <v>6103.5</v>
      </c>
      <c r="R28" s="52">
        <v>5985.5</v>
      </c>
      <c r="S28" s="51">
        <v>1.2390000000000001</v>
      </c>
      <c r="T28" s="51">
        <v>1.1212</v>
      </c>
      <c r="U28" s="50">
        <v>106</v>
      </c>
      <c r="V28" s="43">
        <v>4830.91</v>
      </c>
      <c r="W28" s="43">
        <v>4830.1000000000004</v>
      </c>
      <c r="X28" s="49">
        <f t="shared" si="5"/>
        <v>5338.4766321798079</v>
      </c>
      <c r="Y28" s="48">
        <v>1.2390000000000001</v>
      </c>
    </row>
    <row r="29" spans="2:25" x14ac:dyDescent="0.2">
      <c r="B29" s="47">
        <v>44011</v>
      </c>
      <c r="C29" s="46">
        <v>5957</v>
      </c>
      <c r="D29" s="45">
        <v>5957</v>
      </c>
      <c r="E29" s="44">
        <f t="shared" si="0"/>
        <v>5957</v>
      </c>
      <c r="F29" s="46">
        <v>5966.5</v>
      </c>
      <c r="G29" s="45">
        <v>5966.5</v>
      </c>
      <c r="H29" s="44">
        <f t="shared" si="1"/>
        <v>5966.5</v>
      </c>
      <c r="I29" s="46">
        <v>6006.5</v>
      </c>
      <c r="J29" s="45">
        <v>6006.5</v>
      </c>
      <c r="K29" s="44">
        <f t="shared" si="2"/>
        <v>6006.5</v>
      </c>
      <c r="L29" s="46">
        <v>6044.5</v>
      </c>
      <c r="M29" s="45">
        <v>6044.5</v>
      </c>
      <c r="N29" s="44">
        <f t="shared" si="3"/>
        <v>6044.5</v>
      </c>
      <c r="O29" s="46">
        <v>6094.5</v>
      </c>
      <c r="P29" s="45">
        <v>6094.5</v>
      </c>
      <c r="Q29" s="44">
        <f t="shared" si="4"/>
        <v>6094.5</v>
      </c>
      <c r="R29" s="52">
        <v>5957</v>
      </c>
      <c r="S29" s="51">
        <v>1.2317</v>
      </c>
      <c r="T29" s="51">
        <v>1.1278999999999999</v>
      </c>
      <c r="U29" s="50">
        <v>107.27</v>
      </c>
      <c r="V29" s="43">
        <v>4836.3999999999996</v>
      </c>
      <c r="W29" s="43">
        <v>4841.76</v>
      </c>
      <c r="X29" s="49">
        <f t="shared" si="5"/>
        <v>5281.4965865768245</v>
      </c>
      <c r="Y29" s="48">
        <v>1.2323</v>
      </c>
    </row>
    <row r="30" spans="2:25" x14ac:dyDescent="0.2">
      <c r="B30" s="47">
        <v>44012</v>
      </c>
      <c r="C30" s="46">
        <v>6038</v>
      </c>
      <c r="D30" s="45">
        <v>6038</v>
      </c>
      <c r="E30" s="44">
        <f t="shared" si="0"/>
        <v>6038</v>
      </c>
      <c r="F30" s="46">
        <v>6043.5</v>
      </c>
      <c r="G30" s="45">
        <v>6043.5</v>
      </c>
      <c r="H30" s="44">
        <f t="shared" si="1"/>
        <v>6043.5</v>
      </c>
      <c r="I30" s="46">
        <v>6084.5</v>
      </c>
      <c r="J30" s="45">
        <v>6084.5</v>
      </c>
      <c r="K30" s="44">
        <f t="shared" si="2"/>
        <v>6084.5</v>
      </c>
      <c r="L30" s="46">
        <v>6125.5</v>
      </c>
      <c r="M30" s="45">
        <v>6125.5</v>
      </c>
      <c r="N30" s="44">
        <f t="shared" si="3"/>
        <v>6125.5</v>
      </c>
      <c r="O30" s="46">
        <v>6180.5</v>
      </c>
      <c r="P30" s="45">
        <v>6180.5</v>
      </c>
      <c r="Q30" s="44">
        <f t="shared" si="4"/>
        <v>6180.5</v>
      </c>
      <c r="R30" s="52">
        <v>6038</v>
      </c>
      <c r="S30" s="51">
        <v>1.2272000000000001</v>
      </c>
      <c r="T30" s="51">
        <v>1.1194</v>
      </c>
      <c r="U30" s="50">
        <v>107.77</v>
      </c>
      <c r="V30" s="43">
        <v>4920.1400000000003</v>
      </c>
      <c r="W30" s="43">
        <v>4922.22</v>
      </c>
      <c r="X30" s="49">
        <f t="shared" si="5"/>
        <v>5393.9610505628016</v>
      </c>
      <c r="Y30" s="48">
        <v>1.2278</v>
      </c>
    </row>
    <row r="31" spans="2:25" s="10" customFormat="1" x14ac:dyDescent="0.2">
      <c r="B31" s="42" t="s">
        <v>11</v>
      </c>
      <c r="C31" s="41">
        <f>ROUND(AVERAGE(C9:C30),2)</f>
        <v>5742.39</v>
      </c>
      <c r="D31" s="40">
        <f>ROUND(AVERAGE(D9:D30),2)</f>
        <v>5742.39</v>
      </c>
      <c r="E31" s="39">
        <f>ROUND(AVERAGE(C31:D31),2)</f>
        <v>5742.39</v>
      </c>
      <c r="F31" s="41">
        <f>ROUND(AVERAGE(F9:F30),2)</f>
        <v>5761.89</v>
      </c>
      <c r="G31" s="40">
        <f>ROUND(AVERAGE(G9:G30),2)</f>
        <v>5761.89</v>
      </c>
      <c r="H31" s="39">
        <f>ROUND(AVERAGE(F31:G31),2)</f>
        <v>5761.89</v>
      </c>
      <c r="I31" s="41">
        <f>ROUND(AVERAGE(I9:I30),2)</f>
        <v>5828.86</v>
      </c>
      <c r="J31" s="40">
        <f>ROUND(AVERAGE(J9:J30),2)</f>
        <v>5828.86</v>
      </c>
      <c r="K31" s="39">
        <f>ROUND(AVERAGE(I31:J31),2)</f>
        <v>5828.86</v>
      </c>
      <c r="L31" s="41">
        <f>ROUND(AVERAGE(L9:L30),2)</f>
        <v>5876.55</v>
      </c>
      <c r="M31" s="40">
        <f>ROUND(AVERAGE(M9:M30),2)</f>
        <v>5876.55</v>
      </c>
      <c r="N31" s="39">
        <f>ROUND(AVERAGE(L31:M31),2)</f>
        <v>5876.55</v>
      </c>
      <c r="O31" s="41">
        <f>ROUND(AVERAGE(O9:O30),2)</f>
        <v>5936.09</v>
      </c>
      <c r="P31" s="40">
        <f>ROUND(AVERAGE(P9:P30),2)</f>
        <v>5936.09</v>
      </c>
      <c r="Q31" s="39">
        <f>ROUND(AVERAGE(O31:P31),2)</f>
        <v>5936.09</v>
      </c>
      <c r="R31" s="38">
        <f>ROUND(AVERAGE(R9:R30),2)</f>
        <v>5742.39</v>
      </c>
      <c r="S31" s="37">
        <f>ROUND(AVERAGE(S9:S30),4)</f>
        <v>1.2522</v>
      </c>
      <c r="T31" s="36">
        <f>ROUND(AVERAGE(T9:T30),4)</f>
        <v>1.1254999999999999</v>
      </c>
      <c r="U31" s="175">
        <f>ROUND(AVERAGE(U9:U30),2)</f>
        <v>107.57</v>
      </c>
      <c r="V31" s="35">
        <f>AVERAGE(V9:V30)</f>
        <v>4586.7490909090911</v>
      </c>
      <c r="W31" s="35">
        <f>AVERAGE(W9:W30)</f>
        <v>4600.5822727272716</v>
      </c>
      <c r="X31" s="35">
        <f>AVERAGE(X9:X30)</f>
        <v>5101.9231472686761</v>
      </c>
      <c r="Y31" s="34">
        <f>AVERAGE(Y9:Y30)</f>
        <v>1.2527136363636364</v>
      </c>
    </row>
    <row r="32" spans="2:25" s="5" customFormat="1" x14ac:dyDescent="0.2">
      <c r="B32" s="33" t="s">
        <v>12</v>
      </c>
      <c r="C32" s="32">
        <f t="shared" ref="C32:Y32" si="6">MAX(C9:C30)</f>
        <v>6038</v>
      </c>
      <c r="D32" s="31">
        <f t="shared" si="6"/>
        <v>6038</v>
      </c>
      <c r="E32" s="30">
        <f t="shared" si="6"/>
        <v>6038</v>
      </c>
      <c r="F32" s="32">
        <f t="shared" si="6"/>
        <v>6043.5</v>
      </c>
      <c r="G32" s="31">
        <f t="shared" si="6"/>
        <v>6043.5</v>
      </c>
      <c r="H32" s="30">
        <f t="shared" si="6"/>
        <v>6043.5</v>
      </c>
      <c r="I32" s="32">
        <f t="shared" si="6"/>
        <v>6084.5</v>
      </c>
      <c r="J32" s="31">
        <f t="shared" si="6"/>
        <v>6084.5</v>
      </c>
      <c r="K32" s="30">
        <f t="shared" si="6"/>
        <v>6084.5</v>
      </c>
      <c r="L32" s="32">
        <f t="shared" si="6"/>
        <v>6125.5</v>
      </c>
      <c r="M32" s="31">
        <f t="shared" si="6"/>
        <v>6125.5</v>
      </c>
      <c r="N32" s="30">
        <f t="shared" si="6"/>
        <v>6125.5</v>
      </c>
      <c r="O32" s="32">
        <f t="shared" si="6"/>
        <v>6180.5</v>
      </c>
      <c r="P32" s="31">
        <f t="shared" si="6"/>
        <v>6180.5</v>
      </c>
      <c r="Q32" s="30">
        <f t="shared" si="6"/>
        <v>6180.5</v>
      </c>
      <c r="R32" s="29">
        <f t="shared" si="6"/>
        <v>6038</v>
      </c>
      <c r="S32" s="28">
        <f t="shared" si="6"/>
        <v>1.2793000000000001</v>
      </c>
      <c r="T32" s="27">
        <f t="shared" si="6"/>
        <v>1.1387</v>
      </c>
      <c r="U32" s="26">
        <f t="shared" si="6"/>
        <v>109.42</v>
      </c>
      <c r="V32" s="25">
        <f t="shared" si="6"/>
        <v>4920.1400000000003</v>
      </c>
      <c r="W32" s="25">
        <f t="shared" si="6"/>
        <v>4922.22</v>
      </c>
      <c r="X32" s="25">
        <f t="shared" si="6"/>
        <v>5393.9610505628016</v>
      </c>
      <c r="Y32" s="24">
        <f t="shared" si="6"/>
        <v>1.2799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5376.5</v>
      </c>
      <c r="D33" s="21">
        <f t="shared" si="7"/>
        <v>5376.5</v>
      </c>
      <c r="E33" s="20">
        <f t="shared" si="7"/>
        <v>5376.5</v>
      </c>
      <c r="F33" s="22">
        <f t="shared" si="7"/>
        <v>5404</v>
      </c>
      <c r="G33" s="21">
        <f t="shared" si="7"/>
        <v>5404</v>
      </c>
      <c r="H33" s="20">
        <f t="shared" si="7"/>
        <v>5404</v>
      </c>
      <c r="I33" s="22">
        <f t="shared" si="7"/>
        <v>5493.5</v>
      </c>
      <c r="J33" s="21">
        <f t="shared" si="7"/>
        <v>5493.5</v>
      </c>
      <c r="K33" s="20">
        <f t="shared" si="7"/>
        <v>5493.5</v>
      </c>
      <c r="L33" s="22">
        <f t="shared" si="7"/>
        <v>5553.5</v>
      </c>
      <c r="M33" s="21">
        <f t="shared" si="7"/>
        <v>5553.5</v>
      </c>
      <c r="N33" s="20">
        <f t="shared" si="7"/>
        <v>5553.5</v>
      </c>
      <c r="O33" s="22">
        <f t="shared" si="7"/>
        <v>5618.5</v>
      </c>
      <c r="P33" s="21">
        <f t="shared" si="7"/>
        <v>5618.5</v>
      </c>
      <c r="Q33" s="20">
        <f t="shared" si="7"/>
        <v>5618.5</v>
      </c>
      <c r="R33" s="19">
        <f t="shared" si="7"/>
        <v>5376.5</v>
      </c>
      <c r="S33" s="18">
        <f t="shared" si="7"/>
        <v>1.2272000000000001</v>
      </c>
      <c r="T33" s="17">
        <f t="shared" si="7"/>
        <v>1.1112</v>
      </c>
      <c r="U33" s="16">
        <f t="shared" si="7"/>
        <v>106</v>
      </c>
      <c r="V33" s="15">
        <f t="shared" si="7"/>
        <v>4338.05</v>
      </c>
      <c r="W33" s="15">
        <f t="shared" si="7"/>
        <v>4356.66</v>
      </c>
      <c r="X33" s="15">
        <f t="shared" si="7"/>
        <v>4838.4629229661632</v>
      </c>
      <c r="Y33" s="14">
        <f t="shared" si="7"/>
        <v>1.2278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53" orientation="landscape" horizontalDpi="204" verticalDpi="1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43983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43983</v>
      </c>
      <c r="C9" s="46">
        <v>1225</v>
      </c>
      <c r="D9" s="45">
        <v>1225</v>
      </c>
      <c r="E9" s="44">
        <f t="shared" ref="E9:E30" si="0">AVERAGE(C9:D9)</f>
        <v>1225</v>
      </c>
      <c r="F9" s="46">
        <v>1215</v>
      </c>
      <c r="G9" s="45">
        <v>1215</v>
      </c>
      <c r="H9" s="44">
        <f t="shared" ref="H9:H30" si="1">AVERAGE(F9:G9)</f>
        <v>1215</v>
      </c>
      <c r="I9" s="46">
        <v>1215</v>
      </c>
      <c r="J9" s="45">
        <v>1215</v>
      </c>
      <c r="K9" s="44">
        <f t="shared" ref="K9:K30" si="2">AVERAGE(I9:J9)</f>
        <v>1215</v>
      </c>
      <c r="L9" s="52">
        <v>1225</v>
      </c>
      <c r="M9" s="51">
        <v>1.2388999999999999</v>
      </c>
      <c r="N9" s="53">
        <v>1.1112</v>
      </c>
      <c r="O9" s="50">
        <v>107.74</v>
      </c>
      <c r="P9" s="43">
        <v>988.78</v>
      </c>
      <c r="Q9" s="43">
        <v>980.31</v>
      </c>
      <c r="R9" s="49">
        <f t="shared" ref="R9:R30" si="3">L9/N9</f>
        <v>1102.4118070554357</v>
      </c>
      <c r="S9" s="48">
        <v>1.2394000000000001</v>
      </c>
    </row>
    <row r="10" spans="1:19" x14ac:dyDescent="0.2">
      <c r="B10" s="47">
        <v>43984</v>
      </c>
      <c r="C10" s="46">
        <v>1160</v>
      </c>
      <c r="D10" s="45">
        <v>1160</v>
      </c>
      <c r="E10" s="44">
        <f t="shared" si="0"/>
        <v>1160</v>
      </c>
      <c r="F10" s="46">
        <v>1210</v>
      </c>
      <c r="G10" s="45">
        <v>1210</v>
      </c>
      <c r="H10" s="44">
        <f t="shared" si="1"/>
        <v>1210</v>
      </c>
      <c r="I10" s="46">
        <v>1210</v>
      </c>
      <c r="J10" s="45">
        <v>1210</v>
      </c>
      <c r="K10" s="44">
        <f t="shared" si="2"/>
        <v>1210</v>
      </c>
      <c r="L10" s="52">
        <v>1160</v>
      </c>
      <c r="M10" s="51">
        <v>1.254</v>
      </c>
      <c r="N10" s="51">
        <v>1.1169</v>
      </c>
      <c r="O10" s="50">
        <v>107.91</v>
      </c>
      <c r="P10" s="43">
        <v>925.04</v>
      </c>
      <c r="Q10" s="43">
        <v>964.53</v>
      </c>
      <c r="R10" s="49">
        <f t="shared" si="3"/>
        <v>1038.5889515623601</v>
      </c>
      <c r="S10" s="48">
        <v>1.2544999999999999</v>
      </c>
    </row>
    <row r="11" spans="1:19" x14ac:dyDescent="0.2">
      <c r="B11" s="47">
        <v>43985</v>
      </c>
      <c r="C11" s="46">
        <v>1210</v>
      </c>
      <c r="D11" s="45">
        <v>1210</v>
      </c>
      <c r="E11" s="44">
        <f t="shared" si="0"/>
        <v>1210</v>
      </c>
      <c r="F11" s="46">
        <v>1210</v>
      </c>
      <c r="G11" s="45">
        <v>1210</v>
      </c>
      <c r="H11" s="44">
        <f t="shared" si="1"/>
        <v>1210</v>
      </c>
      <c r="I11" s="46">
        <v>1210.5</v>
      </c>
      <c r="J11" s="45">
        <v>1210.5</v>
      </c>
      <c r="K11" s="44">
        <f t="shared" si="2"/>
        <v>1210.5</v>
      </c>
      <c r="L11" s="52">
        <v>1210</v>
      </c>
      <c r="M11" s="51">
        <v>1.2563</v>
      </c>
      <c r="N11" s="51">
        <v>1.1194999999999999</v>
      </c>
      <c r="O11" s="50">
        <v>108.59</v>
      </c>
      <c r="P11" s="43">
        <v>963.15</v>
      </c>
      <c r="Q11" s="43">
        <v>962.69</v>
      </c>
      <c r="R11" s="49">
        <f t="shared" si="3"/>
        <v>1080.8396605627513</v>
      </c>
      <c r="S11" s="48">
        <v>1.2568999999999999</v>
      </c>
    </row>
    <row r="12" spans="1:19" x14ac:dyDescent="0.2">
      <c r="B12" s="47">
        <v>43986</v>
      </c>
      <c r="C12" s="46">
        <v>1185</v>
      </c>
      <c r="D12" s="45">
        <v>1185</v>
      </c>
      <c r="E12" s="44">
        <f t="shared" si="0"/>
        <v>1185</v>
      </c>
      <c r="F12" s="46">
        <v>1190</v>
      </c>
      <c r="G12" s="45">
        <v>1190</v>
      </c>
      <c r="H12" s="44">
        <f t="shared" si="1"/>
        <v>1190</v>
      </c>
      <c r="I12" s="46">
        <v>1189.5</v>
      </c>
      <c r="J12" s="45">
        <v>1189.5</v>
      </c>
      <c r="K12" s="44">
        <f t="shared" si="2"/>
        <v>1189.5</v>
      </c>
      <c r="L12" s="52">
        <v>1185</v>
      </c>
      <c r="M12" s="51">
        <v>1.2568999999999999</v>
      </c>
      <c r="N12" s="51">
        <v>1.1269</v>
      </c>
      <c r="O12" s="50">
        <v>108.9</v>
      </c>
      <c r="P12" s="43">
        <v>942.8</v>
      </c>
      <c r="Q12" s="43">
        <v>946.32</v>
      </c>
      <c r="R12" s="49">
        <f t="shared" si="3"/>
        <v>1051.5573697754903</v>
      </c>
      <c r="S12" s="48">
        <v>1.2575000000000001</v>
      </c>
    </row>
    <row r="13" spans="1:19" x14ac:dyDescent="0.2">
      <c r="B13" s="47">
        <v>43987</v>
      </c>
      <c r="C13" s="46">
        <v>1210</v>
      </c>
      <c r="D13" s="45">
        <v>1210</v>
      </c>
      <c r="E13" s="44">
        <f t="shared" si="0"/>
        <v>1210</v>
      </c>
      <c r="F13" s="46">
        <v>1210</v>
      </c>
      <c r="G13" s="45">
        <v>1210</v>
      </c>
      <c r="H13" s="44">
        <f t="shared" si="1"/>
        <v>1210</v>
      </c>
      <c r="I13" s="46">
        <v>1206.5</v>
      </c>
      <c r="J13" s="45">
        <v>1206.5</v>
      </c>
      <c r="K13" s="44">
        <f t="shared" si="2"/>
        <v>1206.5</v>
      </c>
      <c r="L13" s="52">
        <v>1210</v>
      </c>
      <c r="M13" s="51">
        <v>1.2663</v>
      </c>
      <c r="N13" s="51">
        <v>1.1335999999999999</v>
      </c>
      <c r="O13" s="50">
        <v>109.24</v>
      </c>
      <c r="P13" s="43">
        <v>955.54</v>
      </c>
      <c r="Q13" s="43">
        <v>955.16</v>
      </c>
      <c r="R13" s="49">
        <f t="shared" si="3"/>
        <v>1067.3959068454483</v>
      </c>
      <c r="S13" s="48">
        <v>1.2667999999999999</v>
      </c>
    </row>
    <row r="14" spans="1:19" x14ac:dyDescent="0.2">
      <c r="B14" s="47">
        <v>43990</v>
      </c>
      <c r="C14" s="46">
        <v>1210</v>
      </c>
      <c r="D14" s="45">
        <v>1210</v>
      </c>
      <c r="E14" s="44">
        <f t="shared" si="0"/>
        <v>1210</v>
      </c>
      <c r="F14" s="46">
        <v>1210</v>
      </c>
      <c r="G14" s="45">
        <v>1210</v>
      </c>
      <c r="H14" s="44">
        <f t="shared" si="1"/>
        <v>1210</v>
      </c>
      <c r="I14" s="46">
        <v>1206.5</v>
      </c>
      <c r="J14" s="45">
        <v>1206.5</v>
      </c>
      <c r="K14" s="44">
        <f t="shared" si="2"/>
        <v>1206.5</v>
      </c>
      <c r="L14" s="52">
        <v>1210</v>
      </c>
      <c r="M14" s="51">
        <v>1.2656000000000001</v>
      </c>
      <c r="N14" s="51">
        <v>1.1276999999999999</v>
      </c>
      <c r="O14" s="50">
        <v>109.42</v>
      </c>
      <c r="P14" s="43">
        <v>956.07</v>
      </c>
      <c r="Q14" s="43">
        <v>955.62</v>
      </c>
      <c r="R14" s="49">
        <f t="shared" si="3"/>
        <v>1072.9804025893411</v>
      </c>
      <c r="S14" s="48">
        <v>1.2662</v>
      </c>
    </row>
    <row r="15" spans="1:19" x14ac:dyDescent="0.2">
      <c r="B15" s="47">
        <v>43991</v>
      </c>
      <c r="C15" s="46">
        <v>1213</v>
      </c>
      <c r="D15" s="45">
        <v>1213</v>
      </c>
      <c r="E15" s="44">
        <f t="shared" si="0"/>
        <v>1213</v>
      </c>
      <c r="F15" s="46">
        <v>1210</v>
      </c>
      <c r="G15" s="45">
        <v>1210</v>
      </c>
      <c r="H15" s="44">
        <f t="shared" si="1"/>
        <v>1210</v>
      </c>
      <c r="I15" s="46">
        <v>1205.5</v>
      </c>
      <c r="J15" s="45">
        <v>1205.5</v>
      </c>
      <c r="K15" s="44">
        <f t="shared" si="2"/>
        <v>1205.5</v>
      </c>
      <c r="L15" s="52">
        <v>1213</v>
      </c>
      <c r="M15" s="51">
        <v>1.2669999999999999</v>
      </c>
      <c r="N15" s="51">
        <v>1.1282000000000001</v>
      </c>
      <c r="O15" s="50">
        <v>108.14</v>
      </c>
      <c r="P15" s="43">
        <v>957.38</v>
      </c>
      <c r="Q15" s="43">
        <v>954.56</v>
      </c>
      <c r="R15" s="49">
        <f t="shared" si="3"/>
        <v>1075.1639780180817</v>
      </c>
      <c r="S15" s="48">
        <v>1.2676000000000001</v>
      </c>
    </row>
    <row r="16" spans="1:19" x14ac:dyDescent="0.2">
      <c r="B16" s="47">
        <v>43992</v>
      </c>
      <c r="C16" s="46">
        <v>1200</v>
      </c>
      <c r="D16" s="45">
        <v>1200</v>
      </c>
      <c r="E16" s="44">
        <f t="shared" si="0"/>
        <v>1200</v>
      </c>
      <c r="F16" s="46">
        <v>1210</v>
      </c>
      <c r="G16" s="45">
        <v>1210</v>
      </c>
      <c r="H16" s="44">
        <f t="shared" si="1"/>
        <v>1210</v>
      </c>
      <c r="I16" s="46">
        <v>1205.5</v>
      </c>
      <c r="J16" s="45">
        <v>1205.5</v>
      </c>
      <c r="K16" s="44">
        <f t="shared" si="2"/>
        <v>1205.5</v>
      </c>
      <c r="L16" s="52">
        <v>1200</v>
      </c>
      <c r="M16" s="51">
        <v>1.2793000000000001</v>
      </c>
      <c r="N16" s="51">
        <v>1.1387</v>
      </c>
      <c r="O16" s="50">
        <v>107.37</v>
      </c>
      <c r="P16" s="43">
        <v>938.01</v>
      </c>
      <c r="Q16" s="43">
        <v>945.39</v>
      </c>
      <c r="R16" s="49">
        <f t="shared" si="3"/>
        <v>1053.8333186967595</v>
      </c>
      <c r="S16" s="48">
        <v>1.2799</v>
      </c>
    </row>
    <row r="17" spans="2:19" x14ac:dyDescent="0.2">
      <c r="B17" s="47">
        <v>43993</v>
      </c>
      <c r="C17" s="46">
        <v>1214</v>
      </c>
      <c r="D17" s="45">
        <v>1214</v>
      </c>
      <c r="E17" s="44">
        <f t="shared" si="0"/>
        <v>1214</v>
      </c>
      <c r="F17" s="46">
        <v>1210</v>
      </c>
      <c r="G17" s="45">
        <v>1210</v>
      </c>
      <c r="H17" s="44">
        <f t="shared" si="1"/>
        <v>1210</v>
      </c>
      <c r="I17" s="46">
        <v>1206</v>
      </c>
      <c r="J17" s="45">
        <v>1206</v>
      </c>
      <c r="K17" s="44">
        <f t="shared" si="2"/>
        <v>1206</v>
      </c>
      <c r="L17" s="52">
        <v>1214</v>
      </c>
      <c r="M17" s="51">
        <v>1.2653000000000001</v>
      </c>
      <c r="N17" s="51">
        <v>1.1355999999999999</v>
      </c>
      <c r="O17" s="50">
        <v>107.09</v>
      </c>
      <c r="P17" s="43">
        <v>959.46</v>
      </c>
      <c r="Q17" s="43">
        <v>955.84</v>
      </c>
      <c r="R17" s="49">
        <f t="shared" si="3"/>
        <v>1069.0383938006341</v>
      </c>
      <c r="S17" s="48">
        <v>1.2659</v>
      </c>
    </row>
    <row r="18" spans="2:19" x14ac:dyDescent="0.2">
      <c r="B18" s="47">
        <v>43994</v>
      </c>
      <c r="C18" s="46">
        <v>1214</v>
      </c>
      <c r="D18" s="45">
        <v>1214</v>
      </c>
      <c r="E18" s="44">
        <f t="shared" si="0"/>
        <v>1214</v>
      </c>
      <c r="F18" s="46">
        <v>1210</v>
      </c>
      <c r="G18" s="45">
        <v>1210</v>
      </c>
      <c r="H18" s="44">
        <f t="shared" si="1"/>
        <v>1210</v>
      </c>
      <c r="I18" s="46">
        <v>1208.5</v>
      </c>
      <c r="J18" s="45">
        <v>1208.5</v>
      </c>
      <c r="K18" s="44">
        <f t="shared" si="2"/>
        <v>1208.5</v>
      </c>
      <c r="L18" s="52">
        <v>1214</v>
      </c>
      <c r="M18" s="51">
        <v>1.262</v>
      </c>
      <c r="N18" s="51">
        <v>1.1309</v>
      </c>
      <c r="O18" s="50">
        <v>107.36</v>
      </c>
      <c r="P18" s="43">
        <v>961.97</v>
      </c>
      <c r="Q18" s="43">
        <v>958.26</v>
      </c>
      <c r="R18" s="49">
        <f t="shared" si="3"/>
        <v>1073.4812980811744</v>
      </c>
      <c r="S18" s="48">
        <v>1.2626999999999999</v>
      </c>
    </row>
    <row r="19" spans="2:19" x14ac:dyDescent="0.2">
      <c r="B19" s="47">
        <v>43997</v>
      </c>
      <c r="C19" s="46">
        <v>1214.5</v>
      </c>
      <c r="D19" s="45">
        <v>1214.5</v>
      </c>
      <c r="E19" s="44">
        <f t="shared" si="0"/>
        <v>1214.5</v>
      </c>
      <c r="F19" s="46">
        <v>1210</v>
      </c>
      <c r="G19" s="45">
        <v>1210</v>
      </c>
      <c r="H19" s="44">
        <f t="shared" si="1"/>
        <v>1210</v>
      </c>
      <c r="I19" s="46">
        <v>1209</v>
      </c>
      <c r="J19" s="45">
        <v>1209</v>
      </c>
      <c r="K19" s="44">
        <f t="shared" si="2"/>
        <v>1209</v>
      </c>
      <c r="L19" s="52">
        <v>1214.5</v>
      </c>
      <c r="M19" s="51">
        <v>1.2546999999999999</v>
      </c>
      <c r="N19" s="51">
        <v>1.1256999999999999</v>
      </c>
      <c r="O19" s="50">
        <v>107.37</v>
      </c>
      <c r="P19" s="43">
        <v>967.96</v>
      </c>
      <c r="Q19" s="43">
        <v>963.84</v>
      </c>
      <c r="R19" s="49">
        <f t="shared" si="3"/>
        <v>1078.8842498001245</v>
      </c>
      <c r="S19" s="48">
        <v>1.2554000000000001</v>
      </c>
    </row>
    <row r="20" spans="2:19" x14ac:dyDescent="0.2">
      <c r="B20" s="47">
        <v>43998</v>
      </c>
      <c r="C20" s="46">
        <v>1215</v>
      </c>
      <c r="D20" s="45">
        <v>1215</v>
      </c>
      <c r="E20" s="44">
        <f t="shared" si="0"/>
        <v>1215</v>
      </c>
      <c r="F20" s="46">
        <v>1210</v>
      </c>
      <c r="G20" s="45">
        <v>1210</v>
      </c>
      <c r="H20" s="44">
        <f t="shared" si="1"/>
        <v>1210</v>
      </c>
      <c r="I20" s="46">
        <v>1209</v>
      </c>
      <c r="J20" s="45">
        <v>1209</v>
      </c>
      <c r="K20" s="44">
        <f t="shared" si="2"/>
        <v>1209</v>
      </c>
      <c r="L20" s="52">
        <v>1215</v>
      </c>
      <c r="M20" s="51">
        <v>1.2649999999999999</v>
      </c>
      <c r="N20" s="51">
        <v>1.1304000000000001</v>
      </c>
      <c r="O20" s="50">
        <v>107.33</v>
      </c>
      <c r="P20" s="43">
        <v>960.47</v>
      </c>
      <c r="Q20" s="43">
        <v>955.99</v>
      </c>
      <c r="R20" s="49">
        <f t="shared" si="3"/>
        <v>1074.84076433121</v>
      </c>
      <c r="S20" s="48">
        <v>1.2657</v>
      </c>
    </row>
    <row r="21" spans="2:19" x14ac:dyDescent="0.2">
      <c r="B21" s="47">
        <v>43999</v>
      </c>
      <c r="C21" s="46">
        <v>1214</v>
      </c>
      <c r="D21" s="45">
        <v>1214</v>
      </c>
      <c r="E21" s="44">
        <f t="shared" si="0"/>
        <v>1214</v>
      </c>
      <c r="F21" s="46">
        <v>1210</v>
      </c>
      <c r="G21" s="45">
        <v>1210</v>
      </c>
      <c r="H21" s="44">
        <f t="shared" si="1"/>
        <v>1210</v>
      </c>
      <c r="I21" s="46">
        <v>1209</v>
      </c>
      <c r="J21" s="45">
        <v>1209</v>
      </c>
      <c r="K21" s="44">
        <f t="shared" si="2"/>
        <v>1209</v>
      </c>
      <c r="L21" s="52">
        <v>1214</v>
      </c>
      <c r="M21" s="51">
        <v>1.2563</v>
      </c>
      <c r="N21" s="51">
        <v>1.1232</v>
      </c>
      <c r="O21" s="50">
        <v>107.38</v>
      </c>
      <c r="P21" s="43">
        <v>966.33</v>
      </c>
      <c r="Q21" s="43">
        <v>962.61</v>
      </c>
      <c r="R21" s="49">
        <f t="shared" si="3"/>
        <v>1080.8404558404559</v>
      </c>
      <c r="S21" s="48">
        <v>1.2569999999999999</v>
      </c>
    </row>
    <row r="22" spans="2:19" x14ac:dyDescent="0.2">
      <c r="B22" s="47">
        <v>44000</v>
      </c>
      <c r="C22" s="46">
        <v>1214</v>
      </c>
      <c r="D22" s="45">
        <v>1214</v>
      </c>
      <c r="E22" s="44">
        <f t="shared" si="0"/>
        <v>1214</v>
      </c>
      <c r="F22" s="46">
        <v>1210</v>
      </c>
      <c r="G22" s="45">
        <v>1210</v>
      </c>
      <c r="H22" s="44">
        <f t="shared" si="1"/>
        <v>1210</v>
      </c>
      <c r="I22" s="46">
        <v>1209</v>
      </c>
      <c r="J22" s="45">
        <v>1209</v>
      </c>
      <c r="K22" s="44">
        <f t="shared" si="2"/>
        <v>1209</v>
      </c>
      <c r="L22" s="52">
        <v>1214</v>
      </c>
      <c r="M22" s="51">
        <v>1.2485999999999999</v>
      </c>
      <c r="N22" s="51">
        <v>1.1234999999999999</v>
      </c>
      <c r="O22" s="50">
        <v>106.91</v>
      </c>
      <c r="P22" s="43">
        <v>972.29</v>
      </c>
      <c r="Q22" s="43">
        <v>968.62</v>
      </c>
      <c r="R22" s="49">
        <f t="shared" si="3"/>
        <v>1080.5518469069871</v>
      </c>
      <c r="S22" s="48">
        <v>1.2492000000000001</v>
      </c>
    </row>
    <row r="23" spans="2:19" x14ac:dyDescent="0.2">
      <c r="B23" s="47">
        <v>44001</v>
      </c>
      <c r="C23" s="46">
        <v>1214</v>
      </c>
      <c r="D23" s="45">
        <v>1214</v>
      </c>
      <c r="E23" s="44">
        <f t="shared" si="0"/>
        <v>1214</v>
      </c>
      <c r="F23" s="46">
        <v>1210</v>
      </c>
      <c r="G23" s="45">
        <v>1210</v>
      </c>
      <c r="H23" s="44">
        <f t="shared" si="1"/>
        <v>1210</v>
      </c>
      <c r="I23" s="46">
        <v>1209</v>
      </c>
      <c r="J23" s="45">
        <v>1209</v>
      </c>
      <c r="K23" s="44">
        <f t="shared" si="2"/>
        <v>1209</v>
      </c>
      <c r="L23" s="52">
        <v>1214</v>
      </c>
      <c r="M23" s="51">
        <v>1.2372000000000001</v>
      </c>
      <c r="N23" s="51">
        <v>1.1211</v>
      </c>
      <c r="O23" s="50">
        <v>106.86</v>
      </c>
      <c r="P23" s="43">
        <v>981.25</v>
      </c>
      <c r="Q23" s="43">
        <v>977.54</v>
      </c>
      <c r="R23" s="49">
        <f t="shared" si="3"/>
        <v>1082.865043261083</v>
      </c>
      <c r="S23" s="48">
        <v>1.2378</v>
      </c>
    </row>
    <row r="24" spans="2:19" x14ac:dyDescent="0.2">
      <c r="B24" s="47">
        <v>44004</v>
      </c>
      <c r="C24" s="46">
        <v>1214</v>
      </c>
      <c r="D24" s="45">
        <v>1214</v>
      </c>
      <c r="E24" s="44">
        <f t="shared" si="0"/>
        <v>1214</v>
      </c>
      <c r="F24" s="46">
        <v>1210</v>
      </c>
      <c r="G24" s="45">
        <v>1210</v>
      </c>
      <c r="H24" s="44">
        <f t="shared" si="1"/>
        <v>1210</v>
      </c>
      <c r="I24" s="46">
        <v>1209</v>
      </c>
      <c r="J24" s="45">
        <v>1209</v>
      </c>
      <c r="K24" s="44">
        <f t="shared" si="2"/>
        <v>1209</v>
      </c>
      <c r="L24" s="52">
        <v>1214</v>
      </c>
      <c r="M24" s="51">
        <v>1.2404999999999999</v>
      </c>
      <c r="N24" s="51">
        <v>1.1213</v>
      </c>
      <c r="O24" s="50">
        <v>106.94</v>
      </c>
      <c r="P24" s="43">
        <v>978.64</v>
      </c>
      <c r="Q24" s="43">
        <v>975.41</v>
      </c>
      <c r="R24" s="49">
        <f t="shared" si="3"/>
        <v>1082.6718986890216</v>
      </c>
      <c r="S24" s="48">
        <v>1.2404999999999999</v>
      </c>
    </row>
    <row r="25" spans="2:19" x14ac:dyDescent="0.2">
      <c r="B25" s="47">
        <v>44005</v>
      </c>
      <c r="C25" s="46">
        <v>1214</v>
      </c>
      <c r="D25" s="45">
        <v>1214</v>
      </c>
      <c r="E25" s="44">
        <f t="shared" si="0"/>
        <v>1214</v>
      </c>
      <c r="F25" s="46">
        <v>1210</v>
      </c>
      <c r="G25" s="45">
        <v>1210</v>
      </c>
      <c r="H25" s="44">
        <f t="shared" si="1"/>
        <v>1210</v>
      </c>
      <c r="I25" s="46">
        <v>1209</v>
      </c>
      <c r="J25" s="45">
        <v>1209</v>
      </c>
      <c r="K25" s="44">
        <f t="shared" si="2"/>
        <v>1209</v>
      </c>
      <c r="L25" s="52">
        <v>1214</v>
      </c>
      <c r="M25" s="51">
        <v>1.2470000000000001</v>
      </c>
      <c r="N25" s="51">
        <v>1.1306</v>
      </c>
      <c r="O25" s="50">
        <v>106.99</v>
      </c>
      <c r="P25" s="43">
        <v>973.54</v>
      </c>
      <c r="Q25" s="43">
        <v>970.33</v>
      </c>
      <c r="R25" s="49">
        <f t="shared" si="3"/>
        <v>1073.7661418715725</v>
      </c>
      <c r="S25" s="48">
        <v>1.2470000000000001</v>
      </c>
    </row>
    <row r="26" spans="2:19" x14ac:dyDescent="0.2">
      <c r="B26" s="47">
        <v>44006</v>
      </c>
      <c r="C26" s="46">
        <v>1214</v>
      </c>
      <c r="D26" s="45">
        <v>1214</v>
      </c>
      <c r="E26" s="44">
        <f t="shared" si="0"/>
        <v>1214</v>
      </c>
      <c r="F26" s="46">
        <v>1210</v>
      </c>
      <c r="G26" s="45">
        <v>1210</v>
      </c>
      <c r="H26" s="44">
        <f t="shared" si="1"/>
        <v>1210</v>
      </c>
      <c r="I26" s="46">
        <v>1209</v>
      </c>
      <c r="J26" s="45">
        <v>1209</v>
      </c>
      <c r="K26" s="44">
        <f t="shared" si="2"/>
        <v>1209</v>
      </c>
      <c r="L26" s="52">
        <v>1214</v>
      </c>
      <c r="M26" s="51">
        <v>1.2488999999999999</v>
      </c>
      <c r="N26" s="51">
        <v>1.1283000000000001</v>
      </c>
      <c r="O26" s="50">
        <v>106.59</v>
      </c>
      <c r="P26" s="43">
        <v>972.06</v>
      </c>
      <c r="Q26" s="43">
        <v>968.85</v>
      </c>
      <c r="R26" s="49">
        <f t="shared" si="3"/>
        <v>1075.9549765133386</v>
      </c>
      <c r="S26" s="48">
        <v>1.2488999999999999</v>
      </c>
    </row>
    <row r="27" spans="2:19" x14ac:dyDescent="0.2">
      <c r="B27" s="47">
        <v>44007</v>
      </c>
      <c r="C27" s="46">
        <v>1214</v>
      </c>
      <c r="D27" s="45">
        <v>1214</v>
      </c>
      <c r="E27" s="44">
        <f t="shared" si="0"/>
        <v>1214</v>
      </c>
      <c r="F27" s="46">
        <v>1210</v>
      </c>
      <c r="G27" s="45">
        <v>1210</v>
      </c>
      <c r="H27" s="44">
        <f t="shared" si="1"/>
        <v>1210</v>
      </c>
      <c r="I27" s="46">
        <v>1209</v>
      </c>
      <c r="J27" s="45">
        <v>1209</v>
      </c>
      <c r="K27" s="44">
        <f t="shared" si="2"/>
        <v>1209</v>
      </c>
      <c r="L27" s="52">
        <v>1214</v>
      </c>
      <c r="M27" s="51">
        <v>1.2417</v>
      </c>
      <c r="N27" s="51">
        <v>1.1196999999999999</v>
      </c>
      <c r="O27" s="50">
        <v>107.41</v>
      </c>
      <c r="P27" s="43">
        <v>977.69</v>
      </c>
      <c r="Q27" s="43">
        <v>974.47</v>
      </c>
      <c r="R27" s="49">
        <f t="shared" si="3"/>
        <v>1084.218987228722</v>
      </c>
      <c r="S27" s="48">
        <v>1.2417</v>
      </c>
    </row>
    <row r="28" spans="2:19" x14ac:dyDescent="0.2">
      <c r="B28" s="47">
        <v>44008</v>
      </c>
      <c r="C28" s="46">
        <v>1214</v>
      </c>
      <c r="D28" s="45">
        <v>1214</v>
      </c>
      <c r="E28" s="44">
        <f t="shared" si="0"/>
        <v>1214</v>
      </c>
      <c r="F28" s="46">
        <v>1210</v>
      </c>
      <c r="G28" s="45">
        <v>1210</v>
      </c>
      <c r="H28" s="44">
        <f t="shared" si="1"/>
        <v>1210</v>
      </c>
      <c r="I28" s="46">
        <v>1209</v>
      </c>
      <c r="J28" s="45">
        <v>1209</v>
      </c>
      <c r="K28" s="44">
        <f t="shared" si="2"/>
        <v>1209</v>
      </c>
      <c r="L28" s="52">
        <v>1214</v>
      </c>
      <c r="M28" s="51">
        <v>1.2390000000000001</v>
      </c>
      <c r="N28" s="51">
        <v>1.1212</v>
      </c>
      <c r="O28" s="50">
        <v>106</v>
      </c>
      <c r="P28" s="43">
        <v>979.82</v>
      </c>
      <c r="Q28" s="43">
        <v>976.59</v>
      </c>
      <c r="R28" s="49">
        <f t="shared" si="3"/>
        <v>1082.7684623617554</v>
      </c>
      <c r="S28" s="48">
        <v>1.2390000000000001</v>
      </c>
    </row>
    <row r="29" spans="2:19" x14ac:dyDescent="0.2">
      <c r="B29" s="47">
        <v>44011</v>
      </c>
      <c r="C29" s="46">
        <v>1214</v>
      </c>
      <c r="D29" s="45">
        <v>1214</v>
      </c>
      <c r="E29" s="44">
        <f t="shared" si="0"/>
        <v>1214</v>
      </c>
      <c r="F29" s="46">
        <v>1210</v>
      </c>
      <c r="G29" s="45">
        <v>1210</v>
      </c>
      <c r="H29" s="44">
        <f t="shared" si="1"/>
        <v>1210</v>
      </c>
      <c r="I29" s="46">
        <v>1209</v>
      </c>
      <c r="J29" s="45">
        <v>1209</v>
      </c>
      <c r="K29" s="44">
        <f t="shared" si="2"/>
        <v>1209</v>
      </c>
      <c r="L29" s="52">
        <v>1214</v>
      </c>
      <c r="M29" s="51">
        <v>1.2317</v>
      </c>
      <c r="N29" s="51">
        <v>1.1278999999999999</v>
      </c>
      <c r="O29" s="50">
        <v>107.27</v>
      </c>
      <c r="P29" s="43">
        <v>985.63</v>
      </c>
      <c r="Q29" s="43">
        <v>981.9</v>
      </c>
      <c r="R29" s="49">
        <f t="shared" si="3"/>
        <v>1076.336554659101</v>
      </c>
      <c r="S29" s="48">
        <v>1.2323</v>
      </c>
    </row>
    <row r="30" spans="2:19" x14ac:dyDescent="0.2">
      <c r="B30" s="47">
        <v>44012</v>
      </c>
      <c r="C30" s="46">
        <v>1215</v>
      </c>
      <c r="D30" s="45">
        <v>1215</v>
      </c>
      <c r="E30" s="44">
        <f t="shared" si="0"/>
        <v>1215</v>
      </c>
      <c r="F30" s="46">
        <v>1210</v>
      </c>
      <c r="G30" s="45">
        <v>1210</v>
      </c>
      <c r="H30" s="44">
        <f t="shared" si="1"/>
        <v>1210</v>
      </c>
      <c r="I30" s="46">
        <v>1209</v>
      </c>
      <c r="J30" s="45">
        <v>1209</v>
      </c>
      <c r="K30" s="44">
        <f t="shared" si="2"/>
        <v>1209</v>
      </c>
      <c r="L30" s="52">
        <v>1215</v>
      </c>
      <c r="M30" s="51">
        <v>1.2272000000000001</v>
      </c>
      <c r="N30" s="51">
        <v>1.1194</v>
      </c>
      <c r="O30" s="50">
        <v>107.77</v>
      </c>
      <c r="P30" s="43">
        <v>990.06</v>
      </c>
      <c r="Q30" s="43">
        <v>985.5</v>
      </c>
      <c r="R30" s="49">
        <f t="shared" si="3"/>
        <v>1085.4028944077186</v>
      </c>
      <c r="S30" s="48">
        <v>1.2278</v>
      </c>
    </row>
    <row r="31" spans="2:19" s="10" customFormat="1" x14ac:dyDescent="0.2">
      <c r="B31" s="42" t="s">
        <v>11</v>
      </c>
      <c r="C31" s="41">
        <f>ROUND(AVERAGE(C9:C30),2)</f>
        <v>1209.6099999999999</v>
      </c>
      <c r="D31" s="40">
        <f>ROUND(AVERAGE(D9:D30),2)</f>
        <v>1209.6099999999999</v>
      </c>
      <c r="E31" s="39">
        <f>ROUND(AVERAGE(C31:D31),2)</f>
        <v>1209.6099999999999</v>
      </c>
      <c r="F31" s="41">
        <f>ROUND(AVERAGE(F9:F30),2)</f>
        <v>1209.32</v>
      </c>
      <c r="G31" s="40">
        <f>ROUND(AVERAGE(G9:G30),2)</f>
        <v>1209.32</v>
      </c>
      <c r="H31" s="39">
        <f>ROUND(AVERAGE(F31:G31),2)</f>
        <v>1209.32</v>
      </c>
      <c r="I31" s="41">
        <f>ROUND(AVERAGE(I9:I30),2)</f>
        <v>1207.8</v>
      </c>
      <c r="J31" s="40">
        <f>ROUND(AVERAGE(J9:J30),2)</f>
        <v>1207.8</v>
      </c>
      <c r="K31" s="39">
        <f>ROUND(AVERAGE(I31:J31),2)</f>
        <v>1207.8</v>
      </c>
      <c r="L31" s="38">
        <f>ROUND(AVERAGE(L9:L30),2)</f>
        <v>1209.6099999999999</v>
      </c>
      <c r="M31" s="37">
        <f>ROUND(AVERAGE(M9:M30),4)</f>
        <v>1.2522</v>
      </c>
      <c r="N31" s="36">
        <f>ROUND(AVERAGE(N9:N30),4)</f>
        <v>1.1254999999999999</v>
      </c>
      <c r="O31" s="175">
        <f>ROUND(AVERAGE(O9:O30),2)</f>
        <v>107.57</v>
      </c>
      <c r="P31" s="35">
        <f>AVERAGE(P9:P30)</f>
        <v>966.08818181818197</v>
      </c>
      <c r="Q31" s="35">
        <f>AVERAGE(Q9:Q30)</f>
        <v>965.46954545454571</v>
      </c>
      <c r="R31" s="35">
        <f>AVERAGE(R9:R30)</f>
        <v>1074.7451528572076</v>
      </c>
      <c r="S31" s="34">
        <f>AVERAGE(S9:S30)</f>
        <v>1.2527136363636364</v>
      </c>
    </row>
    <row r="32" spans="2:19" s="5" customFormat="1" x14ac:dyDescent="0.2">
      <c r="B32" s="33" t="s">
        <v>12</v>
      </c>
      <c r="C32" s="32">
        <f t="shared" ref="C32:S32" si="4">MAX(C9:C30)</f>
        <v>1225</v>
      </c>
      <c r="D32" s="31">
        <f t="shared" si="4"/>
        <v>1225</v>
      </c>
      <c r="E32" s="30">
        <f t="shared" si="4"/>
        <v>1225</v>
      </c>
      <c r="F32" s="32">
        <f t="shared" si="4"/>
        <v>1215</v>
      </c>
      <c r="G32" s="31">
        <f t="shared" si="4"/>
        <v>1215</v>
      </c>
      <c r="H32" s="30">
        <f t="shared" si="4"/>
        <v>1215</v>
      </c>
      <c r="I32" s="32">
        <f t="shared" si="4"/>
        <v>1215</v>
      </c>
      <c r="J32" s="31">
        <f t="shared" si="4"/>
        <v>1215</v>
      </c>
      <c r="K32" s="30">
        <f t="shared" si="4"/>
        <v>1215</v>
      </c>
      <c r="L32" s="29">
        <f t="shared" si="4"/>
        <v>1225</v>
      </c>
      <c r="M32" s="28">
        <f t="shared" si="4"/>
        <v>1.2793000000000001</v>
      </c>
      <c r="N32" s="27">
        <f t="shared" si="4"/>
        <v>1.1387</v>
      </c>
      <c r="O32" s="26">
        <f t="shared" si="4"/>
        <v>109.42</v>
      </c>
      <c r="P32" s="25">
        <f t="shared" si="4"/>
        <v>990.06</v>
      </c>
      <c r="Q32" s="25">
        <f t="shared" si="4"/>
        <v>985.5</v>
      </c>
      <c r="R32" s="25">
        <f t="shared" si="4"/>
        <v>1102.4118070554357</v>
      </c>
      <c r="S32" s="24">
        <f t="shared" si="4"/>
        <v>1.2799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1160</v>
      </c>
      <c r="D33" s="21">
        <f t="shared" si="5"/>
        <v>1160</v>
      </c>
      <c r="E33" s="20">
        <f t="shared" si="5"/>
        <v>1160</v>
      </c>
      <c r="F33" s="22">
        <f t="shared" si="5"/>
        <v>1190</v>
      </c>
      <c r="G33" s="21">
        <f t="shared" si="5"/>
        <v>1190</v>
      </c>
      <c r="H33" s="20">
        <f t="shared" si="5"/>
        <v>1190</v>
      </c>
      <c r="I33" s="22">
        <f t="shared" si="5"/>
        <v>1189.5</v>
      </c>
      <c r="J33" s="21">
        <f t="shared" si="5"/>
        <v>1189.5</v>
      </c>
      <c r="K33" s="20">
        <f t="shared" si="5"/>
        <v>1189.5</v>
      </c>
      <c r="L33" s="19">
        <f t="shared" si="5"/>
        <v>1160</v>
      </c>
      <c r="M33" s="18">
        <f t="shared" si="5"/>
        <v>1.2272000000000001</v>
      </c>
      <c r="N33" s="17">
        <f t="shared" si="5"/>
        <v>1.1112</v>
      </c>
      <c r="O33" s="16">
        <f t="shared" si="5"/>
        <v>106</v>
      </c>
      <c r="P33" s="15">
        <f t="shared" si="5"/>
        <v>925.04</v>
      </c>
      <c r="Q33" s="15">
        <f t="shared" si="5"/>
        <v>945.39</v>
      </c>
      <c r="R33" s="15">
        <f t="shared" si="5"/>
        <v>1038.5889515623601</v>
      </c>
      <c r="S33" s="14">
        <f t="shared" si="5"/>
        <v>1.2278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43983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43983</v>
      </c>
      <c r="C9" s="46">
        <v>1143</v>
      </c>
      <c r="D9" s="45">
        <v>1143</v>
      </c>
      <c r="E9" s="44">
        <f t="shared" ref="E9:E30" si="0">AVERAGE(C9:D9)</f>
        <v>1143</v>
      </c>
      <c r="F9" s="46">
        <v>1155</v>
      </c>
      <c r="G9" s="45">
        <v>1155</v>
      </c>
      <c r="H9" s="44">
        <f t="shared" ref="H9:H30" si="1">AVERAGE(F9:G9)</f>
        <v>1155</v>
      </c>
      <c r="I9" s="46">
        <v>1173.5</v>
      </c>
      <c r="J9" s="45">
        <v>1173.5</v>
      </c>
      <c r="K9" s="44">
        <f t="shared" ref="K9:K30" si="2">AVERAGE(I9:J9)</f>
        <v>1173.5</v>
      </c>
      <c r="L9" s="52">
        <v>1143</v>
      </c>
      <c r="M9" s="51">
        <v>1.2388999999999999</v>
      </c>
      <c r="N9" s="53">
        <v>1.1112</v>
      </c>
      <c r="O9" s="50">
        <v>107.74</v>
      </c>
      <c r="P9" s="43">
        <v>922.59</v>
      </c>
      <c r="Q9" s="43">
        <v>931.9</v>
      </c>
      <c r="R9" s="49">
        <f t="shared" ref="R9:R30" si="3">L9/N9</f>
        <v>1028.6177105831534</v>
      </c>
      <c r="S9" s="48">
        <v>1.2394000000000001</v>
      </c>
    </row>
    <row r="10" spans="1:19" x14ac:dyDescent="0.2">
      <c r="B10" s="47">
        <v>43984</v>
      </c>
      <c r="C10" s="46">
        <v>1120</v>
      </c>
      <c r="D10" s="45">
        <v>1120</v>
      </c>
      <c r="E10" s="44">
        <f t="shared" si="0"/>
        <v>1120</v>
      </c>
      <c r="F10" s="46">
        <v>1133</v>
      </c>
      <c r="G10" s="45">
        <v>1133</v>
      </c>
      <c r="H10" s="44">
        <f t="shared" si="1"/>
        <v>1133</v>
      </c>
      <c r="I10" s="46">
        <v>1151.5</v>
      </c>
      <c r="J10" s="45">
        <v>1151.5</v>
      </c>
      <c r="K10" s="44">
        <f t="shared" si="2"/>
        <v>1151.5</v>
      </c>
      <c r="L10" s="52">
        <v>1120</v>
      </c>
      <c r="M10" s="51">
        <v>1.254</v>
      </c>
      <c r="N10" s="51">
        <v>1.1169</v>
      </c>
      <c r="O10" s="50">
        <v>107.91</v>
      </c>
      <c r="P10" s="43">
        <v>893.14</v>
      </c>
      <c r="Q10" s="43">
        <v>903.15</v>
      </c>
      <c r="R10" s="49">
        <f t="shared" si="3"/>
        <v>1002.7755394395201</v>
      </c>
      <c r="S10" s="48">
        <v>1.2544999999999999</v>
      </c>
    </row>
    <row r="11" spans="1:19" x14ac:dyDescent="0.2">
      <c r="B11" s="47">
        <v>43985</v>
      </c>
      <c r="C11" s="46">
        <v>1135</v>
      </c>
      <c r="D11" s="45">
        <v>1135</v>
      </c>
      <c r="E11" s="44">
        <f t="shared" si="0"/>
        <v>1135</v>
      </c>
      <c r="F11" s="46">
        <v>1150</v>
      </c>
      <c r="G11" s="45">
        <v>1150</v>
      </c>
      <c r="H11" s="44">
        <f t="shared" si="1"/>
        <v>1150</v>
      </c>
      <c r="I11" s="46">
        <v>1168.5</v>
      </c>
      <c r="J11" s="45">
        <v>1168.5</v>
      </c>
      <c r="K11" s="44">
        <f t="shared" si="2"/>
        <v>1168.5</v>
      </c>
      <c r="L11" s="52">
        <v>1135</v>
      </c>
      <c r="M11" s="51">
        <v>1.2563</v>
      </c>
      <c r="N11" s="51">
        <v>1.1194999999999999</v>
      </c>
      <c r="O11" s="50">
        <v>108.59</v>
      </c>
      <c r="P11" s="43">
        <v>903.45</v>
      </c>
      <c r="Q11" s="43">
        <v>914.95</v>
      </c>
      <c r="R11" s="49">
        <f t="shared" si="3"/>
        <v>1013.8454667262171</v>
      </c>
      <c r="S11" s="48">
        <v>1.2568999999999999</v>
      </c>
    </row>
    <row r="12" spans="1:19" x14ac:dyDescent="0.2">
      <c r="B12" s="47">
        <v>43986</v>
      </c>
      <c r="C12" s="46">
        <v>1130</v>
      </c>
      <c r="D12" s="45">
        <v>1130</v>
      </c>
      <c r="E12" s="44">
        <f t="shared" si="0"/>
        <v>1130</v>
      </c>
      <c r="F12" s="46">
        <v>1150</v>
      </c>
      <c r="G12" s="45">
        <v>1150</v>
      </c>
      <c r="H12" s="44">
        <f t="shared" si="1"/>
        <v>1150</v>
      </c>
      <c r="I12" s="46">
        <v>1168</v>
      </c>
      <c r="J12" s="45">
        <v>1168</v>
      </c>
      <c r="K12" s="44">
        <f t="shared" si="2"/>
        <v>1168</v>
      </c>
      <c r="L12" s="52">
        <v>1130</v>
      </c>
      <c r="M12" s="51">
        <v>1.2568999999999999</v>
      </c>
      <c r="N12" s="51">
        <v>1.1269</v>
      </c>
      <c r="O12" s="50">
        <v>108.9</v>
      </c>
      <c r="P12" s="43">
        <v>899.04</v>
      </c>
      <c r="Q12" s="43">
        <v>914.51</v>
      </c>
      <c r="R12" s="49">
        <f t="shared" si="3"/>
        <v>1002.7509095749401</v>
      </c>
      <c r="S12" s="48">
        <v>1.2575000000000001</v>
      </c>
    </row>
    <row r="13" spans="1:19" x14ac:dyDescent="0.2">
      <c r="B13" s="47">
        <v>43987</v>
      </c>
      <c r="C13" s="46">
        <v>1180</v>
      </c>
      <c r="D13" s="45">
        <v>1180</v>
      </c>
      <c r="E13" s="44">
        <f t="shared" si="0"/>
        <v>1180</v>
      </c>
      <c r="F13" s="46">
        <v>1193</v>
      </c>
      <c r="G13" s="45">
        <v>1193</v>
      </c>
      <c r="H13" s="44">
        <f t="shared" si="1"/>
        <v>1193</v>
      </c>
      <c r="I13" s="46">
        <v>1211</v>
      </c>
      <c r="J13" s="45">
        <v>1211</v>
      </c>
      <c r="K13" s="44">
        <f t="shared" si="2"/>
        <v>1211</v>
      </c>
      <c r="L13" s="52">
        <v>1180</v>
      </c>
      <c r="M13" s="51">
        <v>1.2663</v>
      </c>
      <c r="N13" s="51">
        <v>1.1335999999999999</v>
      </c>
      <c r="O13" s="50">
        <v>109.24</v>
      </c>
      <c r="P13" s="43">
        <v>931.85</v>
      </c>
      <c r="Q13" s="43">
        <v>941.74</v>
      </c>
      <c r="R13" s="49">
        <f t="shared" si="3"/>
        <v>1040.9315455187016</v>
      </c>
      <c r="S13" s="48">
        <v>1.2667999999999999</v>
      </c>
    </row>
    <row r="14" spans="1:19" x14ac:dyDescent="0.2">
      <c r="B14" s="47">
        <v>43990</v>
      </c>
      <c r="C14" s="46">
        <v>1176.5</v>
      </c>
      <c r="D14" s="45">
        <v>1176.5</v>
      </c>
      <c r="E14" s="44">
        <f t="shared" si="0"/>
        <v>1176.5</v>
      </c>
      <c r="F14" s="46">
        <v>1190</v>
      </c>
      <c r="G14" s="45">
        <v>1190</v>
      </c>
      <c r="H14" s="44">
        <f t="shared" si="1"/>
        <v>1190</v>
      </c>
      <c r="I14" s="46">
        <v>1208</v>
      </c>
      <c r="J14" s="45">
        <v>1208</v>
      </c>
      <c r="K14" s="44">
        <f t="shared" si="2"/>
        <v>1208</v>
      </c>
      <c r="L14" s="52">
        <v>1176.5</v>
      </c>
      <c r="M14" s="51">
        <v>1.2656000000000001</v>
      </c>
      <c r="N14" s="51">
        <v>1.1276999999999999</v>
      </c>
      <c r="O14" s="50">
        <v>109.42</v>
      </c>
      <c r="P14" s="43">
        <v>929.6</v>
      </c>
      <c r="Q14" s="43">
        <v>939.82</v>
      </c>
      <c r="R14" s="49">
        <f t="shared" si="3"/>
        <v>1043.2739203688925</v>
      </c>
      <c r="S14" s="48">
        <v>1.2662</v>
      </c>
    </row>
    <row r="15" spans="1:19" x14ac:dyDescent="0.2">
      <c r="B15" s="47">
        <v>43991</v>
      </c>
      <c r="C15" s="46">
        <v>1190</v>
      </c>
      <c r="D15" s="45">
        <v>1190</v>
      </c>
      <c r="E15" s="44">
        <f t="shared" si="0"/>
        <v>1190</v>
      </c>
      <c r="F15" s="46">
        <v>1200</v>
      </c>
      <c r="G15" s="45">
        <v>1200</v>
      </c>
      <c r="H15" s="44">
        <f t="shared" si="1"/>
        <v>1200</v>
      </c>
      <c r="I15" s="46">
        <v>1217.5</v>
      </c>
      <c r="J15" s="45">
        <v>1217.5</v>
      </c>
      <c r="K15" s="44">
        <f t="shared" si="2"/>
        <v>1217.5</v>
      </c>
      <c r="L15" s="52">
        <v>1190</v>
      </c>
      <c r="M15" s="51">
        <v>1.2669999999999999</v>
      </c>
      <c r="N15" s="51">
        <v>1.1282000000000001</v>
      </c>
      <c r="O15" s="50">
        <v>108.14</v>
      </c>
      <c r="P15" s="43">
        <v>939.23</v>
      </c>
      <c r="Q15" s="43">
        <v>946.67</v>
      </c>
      <c r="R15" s="49">
        <f t="shared" si="3"/>
        <v>1054.7775217160076</v>
      </c>
      <c r="S15" s="48">
        <v>1.2676000000000001</v>
      </c>
    </row>
    <row r="16" spans="1:19" x14ac:dyDescent="0.2">
      <c r="B16" s="47">
        <v>43992</v>
      </c>
      <c r="C16" s="46">
        <v>1190</v>
      </c>
      <c r="D16" s="45">
        <v>1190</v>
      </c>
      <c r="E16" s="44">
        <f t="shared" si="0"/>
        <v>1190</v>
      </c>
      <c r="F16" s="46">
        <v>1200</v>
      </c>
      <c r="G16" s="45">
        <v>1200</v>
      </c>
      <c r="H16" s="44">
        <f t="shared" si="1"/>
        <v>1200</v>
      </c>
      <c r="I16" s="46">
        <v>1217.5</v>
      </c>
      <c r="J16" s="45">
        <v>1217.5</v>
      </c>
      <c r="K16" s="44">
        <f t="shared" si="2"/>
        <v>1217.5</v>
      </c>
      <c r="L16" s="52">
        <v>1190</v>
      </c>
      <c r="M16" s="51">
        <v>1.2793000000000001</v>
      </c>
      <c r="N16" s="51">
        <v>1.1387</v>
      </c>
      <c r="O16" s="50">
        <v>107.37</v>
      </c>
      <c r="P16" s="43">
        <v>930.2</v>
      </c>
      <c r="Q16" s="43">
        <v>937.57</v>
      </c>
      <c r="R16" s="49">
        <f t="shared" si="3"/>
        <v>1045.0513743742865</v>
      </c>
      <c r="S16" s="48">
        <v>1.2799</v>
      </c>
    </row>
    <row r="17" spans="2:19" x14ac:dyDescent="0.2">
      <c r="B17" s="47">
        <v>43993</v>
      </c>
      <c r="C17" s="46">
        <v>1190</v>
      </c>
      <c r="D17" s="45">
        <v>1190</v>
      </c>
      <c r="E17" s="44">
        <f t="shared" si="0"/>
        <v>1190</v>
      </c>
      <c r="F17" s="46">
        <v>1200</v>
      </c>
      <c r="G17" s="45">
        <v>1200</v>
      </c>
      <c r="H17" s="44">
        <f t="shared" si="1"/>
        <v>1200</v>
      </c>
      <c r="I17" s="46">
        <v>1217.5</v>
      </c>
      <c r="J17" s="45">
        <v>1217.5</v>
      </c>
      <c r="K17" s="44">
        <f t="shared" si="2"/>
        <v>1217.5</v>
      </c>
      <c r="L17" s="52">
        <v>1190</v>
      </c>
      <c r="M17" s="51">
        <v>1.2653000000000001</v>
      </c>
      <c r="N17" s="51">
        <v>1.1355999999999999</v>
      </c>
      <c r="O17" s="50">
        <v>107.09</v>
      </c>
      <c r="P17" s="43">
        <v>940.49</v>
      </c>
      <c r="Q17" s="43">
        <v>947.94</v>
      </c>
      <c r="R17" s="49">
        <f t="shared" si="3"/>
        <v>1047.9041916167664</v>
      </c>
      <c r="S17" s="48">
        <v>1.2659</v>
      </c>
    </row>
    <row r="18" spans="2:19" x14ac:dyDescent="0.2">
      <c r="B18" s="47">
        <v>43994</v>
      </c>
      <c r="C18" s="46">
        <v>1190.5</v>
      </c>
      <c r="D18" s="45">
        <v>1190.5</v>
      </c>
      <c r="E18" s="44">
        <f t="shared" si="0"/>
        <v>1190.5</v>
      </c>
      <c r="F18" s="46">
        <v>1200</v>
      </c>
      <c r="G18" s="45">
        <v>1200</v>
      </c>
      <c r="H18" s="44">
        <f t="shared" si="1"/>
        <v>1200</v>
      </c>
      <c r="I18" s="46">
        <v>1217.5</v>
      </c>
      <c r="J18" s="45">
        <v>1217.5</v>
      </c>
      <c r="K18" s="44">
        <f t="shared" si="2"/>
        <v>1217.5</v>
      </c>
      <c r="L18" s="52">
        <v>1190.5</v>
      </c>
      <c r="M18" s="51">
        <v>1.262</v>
      </c>
      <c r="N18" s="51">
        <v>1.1309</v>
      </c>
      <c r="O18" s="50">
        <v>107.36</v>
      </c>
      <c r="P18" s="43">
        <v>943.34</v>
      </c>
      <c r="Q18" s="43">
        <v>950.34</v>
      </c>
      <c r="R18" s="49">
        <f t="shared" si="3"/>
        <v>1052.7013882748254</v>
      </c>
      <c r="S18" s="48">
        <v>1.2626999999999999</v>
      </c>
    </row>
    <row r="19" spans="2:19" x14ac:dyDescent="0.2">
      <c r="B19" s="47">
        <v>43997</v>
      </c>
      <c r="C19" s="46">
        <v>1180.5</v>
      </c>
      <c r="D19" s="45">
        <v>1180.5</v>
      </c>
      <c r="E19" s="44">
        <f t="shared" si="0"/>
        <v>1180.5</v>
      </c>
      <c r="F19" s="46">
        <v>1190</v>
      </c>
      <c r="G19" s="45">
        <v>1190</v>
      </c>
      <c r="H19" s="44">
        <f t="shared" si="1"/>
        <v>1190</v>
      </c>
      <c r="I19" s="46">
        <v>1207</v>
      </c>
      <c r="J19" s="45">
        <v>1207</v>
      </c>
      <c r="K19" s="44">
        <f t="shared" si="2"/>
        <v>1207</v>
      </c>
      <c r="L19" s="52">
        <v>1180.5</v>
      </c>
      <c r="M19" s="51">
        <v>1.2546999999999999</v>
      </c>
      <c r="N19" s="51">
        <v>1.1256999999999999</v>
      </c>
      <c r="O19" s="50">
        <v>107.37</v>
      </c>
      <c r="P19" s="43">
        <v>940.86</v>
      </c>
      <c r="Q19" s="43">
        <v>947.91</v>
      </c>
      <c r="R19" s="49">
        <f t="shared" si="3"/>
        <v>1048.6808208225993</v>
      </c>
      <c r="S19" s="48">
        <v>1.2554000000000001</v>
      </c>
    </row>
    <row r="20" spans="2:19" x14ac:dyDescent="0.2">
      <c r="B20" s="47">
        <v>43998</v>
      </c>
      <c r="C20" s="46">
        <v>1180</v>
      </c>
      <c r="D20" s="45">
        <v>1180</v>
      </c>
      <c r="E20" s="44">
        <f t="shared" si="0"/>
        <v>1180</v>
      </c>
      <c r="F20" s="46">
        <v>1190</v>
      </c>
      <c r="G20" s="45">
        <v>1190</v>
      </c>
      <c r="H20" s="44">
        <f t="shared" si="1"/>
        <v>1190</v>
      </c>
      <c r="I20" s="46">
        <v>1207</v>
      </c>
      <c r="J20" s="45">
        <v>1207</v>
      </c>
      <c r="K20" s="44">
        <f t="shared" si="2"/>
        <v>1207</v>
      </c>
      <c r="L20" s="52">
        <v>1180</v>
      </c>
      <c r="M20" s="51">
        <v>1.2649999999999999</v>
      </c>
      <c r="N20" s="51">
        <v>1.1304000000000001</v>
      </c>
      <c r="O20" s="50">
        <v>107.33</v>
      </c>
      <c r="P20" s="43">
        <v>932.81</v>
      </c>
      <c r="Q20" s="43">
        <v>940.19</v>
      </c>
      <c r="R20" s="49">
        <f t="shared" si="3"/>
        <v>1043.8782731776362</v>
      </c>
      <c r="S20" s="48">
        <v>1.2657</v>
      </c>
    </row>
    <row r="21" spans="2:19" x14ac:dyDescent="0.2">
      <c r="B21" s="47">
        <v>43999</v>
      </c>
      <c r="C21" s="46">
        <v>1180</v>
      </c>
      <c r="D21" s="45">
        <v>1180</v>
      </c>
      <c r="E21" s="44">
        <f t="shared" si="0"/>
        <v>1180</v>
      </c>
      <c r="F21" s="46">
        <v>1190</v>
      </c>
      <c r="G21" s="45">
        <v>1190</v>
      </c>
      <c r="H21" s="44">
        <f t="shared" si="1"/>
        <v>1190</v>
      </c>
      <c r="I21" s="46">
        <v>1207</v>
      </c>
      <c r="J21" s="45">
        <v>1207</v>
      </c>
      <c r="K21" s="44">
        <f t="shared" si="2"/>
        <v>1207</v>
      </c>
      <c r="L21" s="52">
        <v>1180</v>
      </c>
      <c r="M21" s="51">
        <v>1.2563</v>
      </c>
      <c r="N21" s="51">
        <v>1.1232</v>
      </c>
      <c r="O21" s="50">
        <v>107.38</v>
      </c>
      <c r="P21" s="43">
        <v>939.27</v>
      </c>
      <c r="Q21" s="43">
        <v>946.7</v>
      </c>
      <c r="R21" s="49">
        <f t="shared" si="3"/>
        <v>1050.5698005698007</v>
      </c>
      <c r="S21" s="48">
        <v>1.2569999999999999</v>
      </c>
    </row>
    <row r="22" spans="2:19" x14ac:dyDescent="0.2">
      <c r="B22" s="47">
        <v>44000</v>
      </c>
      <c r="C22" s="46">
        <v>1180</v>
      </c>
      <c r="D22" s="45">
        <v>1180</v>
      </c>
      <c r="E22" s="44">
        <f t="shared" si="0"/>
        <v>1180</v>
      </c>
      <c r="F22" s="46">
        <v>1190</v>
      </c>
      <c r="G22" s="45">
        <v>1190</v>
      </c>
      <c r="H22" s="44">
        <f t="shared" si="1"/>
        <v>1190</v>
      </c>
      <c r="I22" s="46">
        <v>1207</v>
      </c>
      <c r="J22" s="45">
        <v>1207</v>
      </c>
      <c r="K22" s="44">
        <f t="shared" si="2"/>
        <v>1207</v>
      </c>
      <c r="L22" s="52">
        <v>1180</v>
      </c>
      <c r="M22" s="51">
        <v>1.2485999999999999</v>
      </c>
      <c r="N22" s="51">
        <v>1.1234999999999999</v>
      </c>
      <c r="O22" s="50">
        <v>106.91</v>
      </c>
      <c r="P22" s="43">
        <v>945.06</v>
      </c>
      <c r="Q22" s="43">
        <v>952.61</v>
      </c>
      <c r="R22" s="49">
        <f t="shared" si="3"/>
        <v>1050.28927458834</v>
      </c>
      <c r="S22" s="48">
        <v>1.2492000000000001</v>
      </c>
    </row>
    <row r="23" spans="2:19" x14ac:dyDescent="0.2">
      <c r="B23" s="47">
        <v>44001</v>
      </c>
      <c r="C23" s="46">
        <v>1180</v>
      </c>
      <c r="D23" s="45">
        <v>1180</v>
      </c>
      <c r="E23" s="44">
        <f t="shared" si="0"/>
        <v>1180</v>
      </c>
      <c r="F23" s="46">
        <v>1190</v>
      </c>
      <c r="G23" s="45">
        <v>1190</v>
      </c>
      <c r="H23" s="44">
        <f t="shared" si="1"/>
        <v>1190</v>
      </c>
      <c r="I23" s="46">
        <v>1207</v>
      </c>
      <c r="J23" s="45">
        <v>1207</v>
      </c>
      <c r="K23" s="44">
        <f t="shared" si="2"/>
        <v>1207</v>
      </c>
      <c r="L23" s="52">
        <v>1180</v>
      </c>
      <c r="M23" s="51">
        <v>1.2372000000000001</v>
      </c>
      <c r="N23" s="51">
        <v>1.1211</v>
      </c>
      <c r="O23" s="50">
        <v>106.86</v>
      </c>
      <c r="P23" s="43">
        <v>953.77</v>
      </c>
      <c r="Q23" s="43">
        <v>961.38</v>
      </c>
      <c r="R23" s="49">
        <f t="shared" si="3"/>
        <v>1052.5376862010526</v>
      </c>
      <c r="S23" s="48">
        <v>1.2378</v>
      </c>
    </row>
    <row r="24" spans="2:19" x14ac:dyDescent="0.2">
      <c r="B24" s="47">
        <v>44004</v>
      </c>
      <c r="C24" s="46">
        <v>1180</v>
      </c>
      <c r="D24" s="45">
        <v>1180</v>
      </c>
      <c r="E24" s="44">
        <f t="shared" si="0"/>
        <v>1180</v>
      </c>
      <c r="F24" s="46">
        <v>1190</v>
      </c>
      <c r="G24" s="45">
        <v>1190</v>
      </c>
      <c r="H24" s="44">
        <f t="shared" si="1"/>
        <v>1190</v>
      </c>
      <c r="I24" s="46">
        <v>1206.5</v>
      </c>
      <c r="J24" s="45">
        <v>1206.5</v>
      </c>
      <c r="K24" s="44">
        <f t="shared" si="2"/>
        <v>1206.5</v>
      </c>
      <c r="L24" s="52">
        <v>1180</v>
      </c>
      <c r="M24" s="51">
        <v>1.2404999999999999</v>
      </c>
      <c r="N24" s="51">
        <v>1.1213</v>
      </c>
      <c r="O24" s="50">
        <v>106.94</v>
      </c>
      <c r="P24" s="43">
        <v>951.23</v>
      </c>
      <c r="Q24" s="43">
        <v>959.29</v>
      </c>
      <c r="R24" s="49">
        <f t="shared" si="3"/>
        <v>1052.3499509497904</v>
      </c>
      <c r="S24" s="48">
        <v>1.2404999999999999</v>
      </c>
    </row>
    <row r="25" spans="2:19" x14ac:dyDescent="0.2">
      <c r="B25" s="47">
        <v>44005</v>
      </c>
      <c r="C25" s="46">
        <v>1179.5</v>
      </c>
      <c r="D25" s="45">
        <v>1179.5</v>
      </c>
      <c r="E25" s="44">
        <f t="shared" si="0"/>
        <v>1179.5</v>
      </c>
      <c r="F25" s="46">
        <v>1190</v>
      </c>
      <c r="G25" s="45">
        <v>1190</v>
      </c>
      <c r="H25" s="44">
        <f t="shared" si="1"/>
        <v>1190</v>
      </c>
      <c r="I25" s="46">
        <v>1206</v>
      </c>
      <c r="J25" s="45">
        <v>1206</v>
      </c>
      <c r="K25" s="44">
        <f t="shared" si="2"/>
        <v>1206</v>
      </c>
      <c r="L25" s="52">
        <v>1179.5</v>
      </c>
      <c r="M25" s="51">
        <v>1.2470000000000001</v>
      </c>
      <c r="N25" s="51">
        <v>1.1306</v>
      </c>
      <c r="O25" s="50">
        <v>106.99</v>
      </c>
      <c r="P25" s="43">
        <v>945.87</v>
      </c>
      <c r="Q25" s="43">
        <v>954.29</v>
      </c>
      <c r="R25" s="49">
        <f t="shared" si="3"/>
        <v>1043.251370953476</v>
      </c>
      <c r="S25" s="48">
        <v>1.2470000000000001</v>
      </c>
    </row>
    <row r="26" spans="2:19" x14ac:dyDescent="0.2">
      <c r="B26" s="47">
        <v>44006</v>
      </c>
      <c r="C26" s="46">
        <v>1180</v>
      </c>
      <c r="D26" s="45">
        <v>1180</v>
      </c>
      <c r="E26" s="44">
        <f t="shared" si="0"/>
        <v>1180</v>
      </c>
      <c r="F26" s="46">
        <v>1190</v>
      </c>
      <c r="G26" s="45">
        <v>1190</v>
      </c>
      <c r="H26" s="44">
        <f t="shared" si="1"/>
        <v>1190</v>
      </c>
      <c r="I26" s="46">
        <v>1206</v>
      </c>
      <c r="J26" s="45">
        <v>1206</v>
      </c>
      <c r="K26" s="44">
        <f t="shared" si="2"/>
        <v>1206</v>
      </c>
      <c r="L26" s="52">
        <v>1180</v>
      </c>
      <c r="M26" s="51">
        <v>1.2488999999999999</v>
      </c>
      <c r="N26" s="51">
        <v>1.1283000000000001</v>
      </c>
      <c r="O26" s="50">
        <v>106.59</v>
      </c>
      <c r="P26" s="43">
        <v>944.83</v>
      </c>
      <c r="Q26" s="43">
        <v>952.84</v>
      </c>
      <c r="R26" s="49">
        <f t="shared" si="3"/>
        <v>1045.8211468581051</v>
      </c>
      <c r="S26" s="48">
        <v>1.2488999999999999</v>
      </c>
    </row>
    <row r="27" spans="2:19" x14ac:dyDescent="0.2">
      <c r="B27" s="47">
        <v>44007</v>
      </c>
      <c r="C27" s="46">
        <v>1180</v>
      </c>
      <c r="D27" s="45">
        <v>1180</v>
      </c>
      <c r="E27" s="44">
        <f t="shared" si="0"/>
        <v>1180</v>
      </c>
      <c r="F27" s="46">
        <v>1190</v>
      </c>
      <c r="G27" s="45">
        <v>1190</v>
      </c>
      <c r="H27" s="44">
        <f t="shared" si="1"/>
        <v>1190</v>
      </c>
      <c r="I27" s="46">
        <v>1206</v>
      </c>
      <c r="J27" s="45">
        <v>1206</v>
      </c>
      <c r="K27" s="44">
        <f t="shared" si="2"/>
        <v>1206</v>
      </c>
      <c r="L27" s="52">
        <v>1180</v>
      </c>
      <c r="M27" s="51">
        <v>1.2417</v>
      </c>
      <c r="N27" s="51">
        <v>1.1196999999999999</v>
      </c>
      <c r="O27" s="50">
        <v>107.41</v>
      </c>
      <c r="P27" s="43">
        <v>950.31</v>
      </c>
      <c r="Q27" s="43">
        <v>958.36</v>
      </c>
      <c r="R27" s="49">
        <f t="shared" si="3"/>
        <v>1053.8537108153971</v>
      </c>
      <c r="S27" s="48">
        <v>1.2417</v>
      </c>
    </row>
    <row r="28" spans="2:19" x14ac:dyDescent="0.2">
      <c r="B28" s="47">
        <v>44008</v>
      </c>
      <c r="C28" s="46">
        <v>1190</v>
      </c>
      <c r="D28" s="45">
        <v>1190</v>
      </c>
      <c r="E28" s="44">
        <f t="shared" si="0"/>
        <v>1190</v>
      </c>
      <c r="F28" s="46">
        <v>1200</v>
      </c>
      <c r="G28" s="45">
        <v>1200</v>
      </c>
      <c r="H28" s="44">
        <f t="shared" si="1"/>
        <v>1200</v>
      </c>
      <c r="I28" s="46">
        <v>1216</v>
      </c>
      <c r="J28" s="45">
        <v>1216</v>
      </c>
      <c r="K28" s="44">
        <f t="shared" si="2"/>
        <v>1216</v>
      </c>
      <c r="L28" s="52">
        <v>1190</v>
      </c>
      <c r="M28" s="51">
        <v>1.2390000000000001</v>
      </c>
      <c r="N28" s="51">
        <v>1.1212</v>
      </c>
      <c r="O28" s="50">
        <v>106</v>
      </c>
      <c r="P28" s="43">
        <v>960.45</v>
      </c>
      <c r="Q28" s="43">
        <v>968.52</v>
      </c>
      <c r="R28" s="49">
        <f t="shared" si="3"/>
        <v>1061.3628255440599</v>
      </c>
      <c r="S28" s="48">
        <v>1.2390000000000001</v>
      </c>
    </row>
    <row r="29" spans="2:19" x14ac:dyDescent="0.2">
      <c r="B29" s="47">
        <v>44011</v>
      </c>
      <c r="C29" s="46">
        <v>1190.5</v>
      </c>
      <c r="D29" s="45">
        <v>1190.5</v>
      </c>
      <c r="E29" s="44">
        <f t="shared" si="0"/>
        <v>1190.5</v>
      </c>
      <c r="F29" s="46">
        <v>1200</v>
      </c>
      <c r="G29" s="45">
        <v>1200</v>
      </c>
      <c r="H29" s="44">
        <f t="shared" si="1"/>
        <v>1200</v>
      </c>
      <c r="I29" s="46">
        <v>1215.5</v>
      </c>
      <c r="J29" s="45">
        <v>1215.5</v>
      </c>
      <c r="K29" s="44">
        <f t="shared" si="2"/>
        <v>1215.5</v>
      </c>
      <c r="L29" s="52">
        <v>1190.5</v>
      </c>
      <c r="M29" s="51">
        <v>1.2317</v>
      </c>
      <c r="N29" s="51">
        <v>1.1278999999999999</v>
      </c>
      <c r="O29" s="50">
        <v>107.27</v>
      </c>
      <c r="P29" s="43">
        <v>966.55</v>
      </c>
      <c r="Q29" s="43">
        <v>973.79</v>
      </c>
      <c r="R29" s="49">
        <f t="shared" si="3"/>
        <v>1055.5013742353046</v>
      </c>
      <c r="S29" s="48">
        <v>1.2323</v>
      </c>
    </row>
    <row r="30" spans="2:19" x14ac:dyDescent="0.2">
      <c r="B30" s="47">
        <v>44012</v>
      </c>
      <c r="C30" s="46">
        <v>1210</v>
      </c>
      <c r="D30" s="45">
        <v>1210</v>
      </c>
      <c r="E30" s="44">
        <f t="shared" si="0"/>
        <v>1210</v>
      </c>
      <c r="F30" s="46">
        <v>1210</v>
      </c>
      <c r="G30" s="45">
        <v>1210</v>
      </c>
      <c r="H30" s="44">
        <f t="shared" si="1"/>
        <v>1210</v>
      </c>
      <c r="I30" s="46">
        <v>1225.5</v>
      </c>
      <c r="J30" s="45">
        <v>1225.5</v>
      </c>
      <c r="K30" s="44">
        <f t="shared" si="2"/>
        <v>1225.5</v>
      </c>
      <c r="L30" s="52">
        <v>1210</v>
      </c>
      <c r="M30" s="51">
        <v>1.2272000000000001</v>
      </c>
      <c r="N30" s="51">
        <v>1.1194</v>
      </c>
      <c r="O30" s="50">
        <v>107.77</v>
      </c>
      <c r="P30" s="43">
        <v>985.98</v>
      </c>
      <c r="Q30" s="43">
        <v>985.5</v>
      </c>
      <c r="R30" s="49">
        <f t="shared" si="3"/>
        <v>1080.9362158299089</v>
      </c>
      <c r="S30" s="48">
        <v>1.2278</v>
      </c>
    </row>
    <row r="31" spans="2:19" s="10" customFormat="1" x14ac:dyDescent="0.2">
      <c r="B31" s="42" t="s">
        <v>11</v>
      </c>
      <c r="C31" s="41">
        <f>ROUND(AVERAGE(C9:C30),2)</f>
        <v>1175.25</v>
      </c>
      <c r="D31" s="40">
        <f>ROUND(AVERAGE(D9:D30),2)</f>
        <v>1175.25</v>
      </c>
      <c r="E31" s="39">
        <f>ROUND(AVERAGE(C31:D31),2)</f>
        <v>1175.25</v>
      </c>
      <c r="F31" s="41">
        <f>ROUND(AVERAGE(F9:F30),2)</f>
        <v>1185.95</v>
      </c>
      <c r="G31" s="40">
        <f>ROUND(AVERAGE(G9:G30),2)</f>
        <v>1185.95</v>
      </c>
      <c r="H31" s="39">
        <f>ROUND(AVERAGE(F31:G31),2)</f>
        <v>1185.95</v>
      </c>
      <c r="I31" s="41">
        <f>ROUND(AVERAGE(I9:I30),2)</f>
        <v>1203.05</v>
      </c>
      <c r="J31" s="40">
        <f>ROUND(AVERAGE(J9:J30),2)</f>
        <v>1203.05</v>
      </c>
      <c r="K31" s="39">
        <f>ROUND(AVERAGE(I31:J31),2)</f>
        <v>1203.05</v>
      </c>
      <c r="L31" s="38">
        <f>ROUND(AVERAGE(L9:L30),2)</f>
        <v>1175.25</v>
      </c>
      <c r="M31" s="37">
        <f>ROUND(AVERAGE(M9:M30),4)</f>
        <v>1.2522</v>
      </c>
      <c r="N31" s="36">
        <f>ROUND(AVERAGE(N9:N30),4)</f>
        <v>1.1254999999999999</v>
      </c>
      <c r="O31" s="175">
        <f>ROUND(AVERAGE(O9:O30),2)</f>
        <v>107.57</v>
      </c>
      <c r="P31" s="35">
        <f>AVERAGE(P9:P30)</f>
        <v>938.63272727272749</v>
      </c>
      <c r="Q31" s="35">
        <f>AVERAGE(Q9:Q30)</f>
        <v>946.81681818181835</v>
      </c>
      <c r="R31" s="35">
        <f>AVERAGE(R9:R30)</f>
        <v>1044.1664553972173</v>
      </c>
      <c r="S31" s="34">
        <f>AVERAGE(S9:S30)</f>
        <v>1.2527136363636364</v>
      </c>
    </row>
    <row r="32" spans="2:19" s="5" customFormat="1" x14ac:dyDescent="0.2">
      <c r="B32" s="33" t="s">
        <v>12</v>
      </c>
      <c r="C32" s="32">
        <f t="shared" ref="C32:S32" si="4">MAX(C9:C30)</f>
        <v>1210</v>
      </c>
      <c r="D32" s="31">
        <f t="shared" si="4"/>
        <v>1210</v>
      </c>
      <c r="E32" s="30">
        <f t="shared" si="4"/>
        <v>1210</v>
      </c>
      <c r="F32" s="32">
        <f t="shared" si="4"/>
        <v>1210</v>
      </c>
      <c r="G32" s="31">
        <f t="shared" si="4"/>
        <v>1210</v>
      </c>
      <c r="H32" s="30">
        <f t="shared" si="4"/>
        <v>1210</v>
      </c>
      <c r="I32" s="32">
        <f t="shared" si="4"/>
        <v>1225.5</v>
      </c>
      <c r="J32" s="31">
        <f t="shared" si="4"/>
        <v>1225.5</v>
      </c>
      <c r="K32" s="30">
        <f t="shared" si="4"/>
        <v>1225.5</v>
      </c>
      <c r="L32" s="29">
        <f t="shared" si="4"/>
        <v>1210</v>
      </c>
      <c r="M32" s="28">
        <f t="shared" si="4"/>
        <v>1.2793000000000001</v>
      </c>
      <c r="N32" s="27">
        <f t="shared" si="4"/>
        <v>1.1387</v>
      </c>
      <c r="O32" s="26">
        <f t="shared" si="4"/>
        <v>109.42</v>
      </c>
      <c r="P32" s="25">
        <f t="shared" si="4"/>
        <v>985.98</v>
      </c>
      <c r="Q32" s="25">
        <f t="shared" si="4"/>
        <v>985.5</v>
      </c>
      <c r="R32" s="25">
        <f t="shared" si="4"/>
        <v>1080.9362158299089</v>
      </c>
      <c r="S32" s="24">
        <f t="shared" si="4"/>
        <v>1.2799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1120</v>
      </c>
      <c r="D33" s="21">
        <f t="shared" si="5"/>
        <v>1120</v>
      </c>
      <c r="E33" s="20">
        <f t="shared" si="5"/>
        <v>1120</v>
      </c>
      <c r="F33" s="22">
        <f t="shared" si="5"/>
        <v>1133</v>
      </c>
      <c r="G33" s="21">
        <f t="shared" si="5"/>
        <v>1133</v>
      </c>
      <c r="H33" s="20">
        <f t="shared" si="5"/>
        <v>1133</v>
      </c>
      <c r="I33" s="22">
        <f t="shared" si="5"/>
        <v>1151.5</v>
      </c>
      <c r="J33" s="21">
        <f t="shared" si="5"/>
        <v>1151.5</v>
      </c>
      <c r="K33" s="20">
        <f t="shared" si="5"/>
        <v>1151.5</v>
      </c>
      <c r="L33" s="19">
        <f t="shared" si="5"/>
        <v>1120</v>
      </c>
      <c r="M33" s="18">
        <f t="shared" si="5"/>
        <v>1.2272000000000001</v>
      </c>
      <c r="N33" s="17">
        <f t="shared" si="5"/>
        <v>1.1112</v>
      </c>
      <c r="O33" s="16">
        <f t="shared" si="5"/>
        <v>106</v>
      </c>
      <c r="P33" s="15">
        <f t="shared" si="5"/>
        <v>893.14</v>
      </c>
      <c r="Q33" s="15">
        <f t="shared" si="5"/>
        <v>903.15</v>
      </c>
      <c r="R33" s="15">
        <f t="shared" si="5"/>
        <v>1002.7509095749401</v>
      </c>
      <c r="S33" s="14">
        <f t="shared" si="5"/>
        <v>1.2278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43983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43983</v>
      </c>
      <c r="C9" s="46">
        <v>1511.5</v>
      </c>
      <c r="D9" s="45">
        <v>1511.5</v>
      </c>
      <c r="E9" s="44">
        <f t="shared" ref="E9:E30" si="0">AVERAGE(C9:D9)</f>
        <v>1511.5</v>
      </c>
      <c r="F9" s="46">
        <v>1540</v>
      </c>
      <c r="G9" s="45">
        <v>1540</v>
      </c>
      <c r="H9" s="44">
        <f t="shared" ref="H9:H30" si="1">AVERAGE(F9:G9)</f>
        <v>1540</v>
      </c>
      <c r="I9" s="46">
        <v>1654.5</v>
      </c>
      <c r="J9" s="45">
        <v>1654.5</v>
      </c>
      <c r="K9" s="44">
        <f t="shared" ref="K9:K30" si="2">AVERAGE(I9:J9)</f>
        <v>1654.5</v>
      </c>
      <c r="L9" s="46">
        <v>1736.5</v>
      </c>
      <c r="M9" s="45">
        <v>1736.5</v>
      </c>
      <c r="N9" s="44">
        <f t="shared" ref="N9:N30" si="3">AVERAGE(L9:M9)</f>
        <v>1736.5</v>
      </c>
      <c r="O9" s="46">
        <v>1819</v>
      </c>
      <c r="P9" s="45">
        <v>1819</v>
      </c>
      <c r="Q9" s="44">
        <f t="shared" ref="Q9:Q30" si="4">AVERAGE(O9:P9)</f>
        <v>1819</v>
      </c>
      <c r="R9" s="52">
        <v>1511.5</v>
      </c>
      <c r="S9" s="51">
        <v>1.2388999999999999</v>
      </c>
      <c r="T9" s="53">
        <v>1.1112</v>
      </c>
      <c r="U9" s="50">
        <v>107.74</v>
      </c>
      <c r="V9" s="43">
        <v>1220.03</v>
      </c>
      <c r="W9" s="43">
        <v>1242.54</v>
      </c>
      <c r="X9" s="49">
        <f t="shared" ref="X9:X30" si="5">R9/T9</f>
        <v>1360.2411807055437</v>
      </c>
      <c r="Y9" s="48">
        <v>1.2394000000000001</v>
      </c>
    </row>
    <row r="10" spans="1:25" x14ac:dyDescent="0.2">
      <c r="B10" s="47">
        <v>43984</v>
      </c>
      <c r="C10" s="46">
        <v>1499.5</v>
      </c>
      <c r="D10" s="45">
        <v>1499.5</v>
      </c>
      <c r="E10" s="44">
        <f t="shared" si="0"/>
        <v>1499.5</v>
      </c>
      <c r="F10" s="46">
        <v>1529</v>
      </c>
      <c r="G10" s="45">
        <v>1529</v>
      </c>
      <c r="H10" s="44">
        <f t="shared" si="1"/>
        <v>1529</v>
      </c>
      <c r="I10" s="46">
        <v>1645</v>
      </c>
      <c r="J10" s="45">
        <v>1645</v>
      </c>
      <c r="K10" s="44">
        <f t="shared" si="2"/>
        <v>1645</v>
      </c>
      <c r="L10" s="46">
        <v>1727</v>
      </c>
      <c r="M10" s="45">
        <v>1727</v>
      </c>
      <c r="N10" s="44">
        <f t="shared" si="3"/>
        <v>1727</v>
      </c>
      <c r="O10" s="46">
        <v>1809.5</v>
      </c>
      <c r="P10" s="45">
        <v>1809.5</v>
      </c>
      <c r="Q10" s="44">
        <f t="shared" si="4"/>
        <v>1809.5</v>
      </c>
      <c r="R10" s="52">
        <v>1499.5</v>
      </c>
      <c r="S10" s="51">
        <v>1.254</v>
      </c>
      <c r="T10" s="51">
        <v>1.1169</v>
      </c>
      <c r="U10" s="50">
        <v>107.91</v>
      </c>
      <c r="V10" s="43">
        <v>1195.77</v>
      </c>
      <c r="W10" s="43">
        <v>1218.81</v>
      </c>
      <c r="X10" s="49">
        <f t="shared" si="5"/>
        <v>1342.5552869549647</v>
      </c>
      <c r="Y10" s="48">
        <v>1.2544999999999999</v>
      </c>
    </row>
    <row r="11" spans="1:25" x14ac:dyDescent="0.2">
      <c r="B11" s="47">
        <v>43985</v>
      </c>
      <c r="C11" s="46">
        <v>1526</v>
      </c>
      <c r="D11" s="45">
        <v>1526</v>
      </c>
      <c r="E11" s="44">
        <f t="shared" si="0"/>
        <v>1526</v>
      </c>
      <c r="F11" s="46">
        <v>1555.5</v>
      </c>
      <c r="G11" s="45">
        <v>1555.5</v>
      </c>
      <c r="H11" s="44">
        <f t="shared" si="1"/>
        <v>1555.5</v>
      </c>
      <c r="I11" s="46">
        <v>1669.5</v>
      </c>
      <c r="J11" s="45">
        <v>1669.5</v>
      </c>
      <c r="K11" s="44">
        <f t="shared" si="2"/>
        <v>1669.5</v>
      </c>
      <c r="L11" s="46">
        <v>1750.5</v>
      </c>
      <c r="M11" s="45">
        <v>1750.5</v>
      </c>
      <c r="N11" s="44">
        <f t="shared" si="3"/>
        <v>1750.5</v>
      </c>
      <c r="O11" s="46">
        <v>1833.5</v>
      </c>
      <c r="P11" s="45">
        <v>1833.5</v>
      </c>
      <c r="Q11" s="44">
        <f t="shared" si="4"/>
        <v>1833.5</v>
      </c>
      <c r="R11" s="52">
        <v>1526</v>
      </c>
      <c r="S11" s="51">
        <v>1.2563</v>
      </c>
      <c r="T11" s="51">
        <v>1.1194999999999999</v>
      </c>
      <c r="U11" s="50">
        <v>108.59</v>
      </c>
      <c r="V11" s="43">
        <v>1214.68</v>
      </c>
      <c r="W11" s="43">
        <v>1237.57</v>
      </c>
      <c r="X11" s="49">
        <f t="shared" si="5"/>
        <v>1363.1085305940153</v>
      </c>
      <c r="Y11" s="48">
        <v>1.2568999999999999</v>
      </c>
    </row>
    <row r="12" spans="1:25" x14ac:dyDescent="0.2">
      <c r="B12" s="47">
        <v>43986</v>
      </c>
      <c r="C12" s="46">
        <v>1535</v>
      </c>
      <c r="D12" s="45">
        <v>1535</v>
      </c>
      <c r="E12" s="44">
        <f t="shared" si="0"/>
        <v>1535</v>
      </c>
      <c r="F12" s="46">
        <v>1560.5</v>
      </c>
      <c r="G12" s="45">
        <v>1560.5</v>
      </c>
      <c r="H12" s="44">
        <f t="shared" si="1"/>
        <v>1560.5</v>
      </c>
      <c r="I12" s="46">
        <v>1672.5</v>
      </c>
      <c r="J12" s="45">
        <v>1672.5</v>
      </c>
      <c r="K12" s="44">
        <f t="shared" si="2"/>
        <v>1672.5</v>
      </c>
      <c r="L12" s="46">
        <v>1752.5</v>
      </c>
      <c r="M12" s="45">
        <v>1752.5</v>
      </c>
      <c r="N12" s="44">
        <f t="shared" si="3"/>
        <v>1752.5</v>
      </c>
      <c r="O12" s="46">
        <v>1835.5</v>
      </c>
      <c r="P12" s="45">
        <v>1835.5</v>
      </c>
      <c r="Q12" s="44">
        <f t="shared" si="4"/>
        <v>1835.5</v>
      </c>
      <c r="R12" s="52">
        <v>1535</v>
      </c>
      <c r="S12" s="51">
        <v>1.2568999999999999</v>
      </c>
      <c r="T12" s="51">
        <v>1.1269</v>
      </c>
      <c r="U12" s="50">
        <v>108.9</v>
      </c>
      <c r="V12" s="43">
        <v>1221.26</v>
      </c>
      <c r="W12" s="43">
        <v>1240.95</v>
      </c>
      <c r="X12" s="49">
        <f t="shared" si="5"/>
        <v>1362.1439346880823</v>
      </c>
      <c r="Y12" s="48">
        <v>1.2575000000000001</v>
      </c>
    </row>
    <row r="13" spans="1:25" x14ac:dyDescent="0.2">
      <c r="B13" s="47">
        <v>43987</v>
      </c>
      <c r="C13" s="46">
        <v>1553.5</v>
      </c>
      <c r="D13" s="45">
        <v>1553.5</v>
      </c>
      <c r="E13" s="44">
        <f t="shared" si="0"/>
        <v>1553.5</v>
      </c>
      <c r="F13" s="46">
        <v>1579</v>
      </c>
      <c r="G13" s="45">
        <v>1579</v>
      </c>
      <c r="H13" s="44">
        <f t="shared" si="1"/>
        <v>1579</v>
      </c>
      <c r="I13" s="46">
        <v>1689.5</v>
      </c>
      <c r="J13" s="45">
        <v>1689.5</v>
      </c>
      <c r="K13" s="44">
        <f t="shared" si="2"/>
        <v>1689.5</v>
      </c>
      <c r="L13" s="46">
        <v>1767.5</v>
      </c>
      <c r="M13" s="45">
        <v>1767.5</v>
      </c>
      <c r="N13" s="44">
        <f t="shared" si="3"/>
        <v>1767.5</v>
      </c>
      <c r="O13" s="46">
        <v>1850.5</v>
      </c>
      <c r="P13" s="45">
        <v>1850.5</v>
      </c>
      <c r="Q13" s="44">
        <f t="shared" si="4"/>
        <v>1850.5</v>
      </c>
      <c r="R13" s="52">
        <v>1553.5</v>
      </c>
      <c r="S13" s="51">
        <v>1.2663</v>
      </c>
      <c r="T13" s="51">
        <v>1.1335999999999999</v>
      </c>
      <c r="U13" s="50">
        <v>109.24</v>
      </c>
      <c r="V13" s="43">
        <v>1226.8</v>
      </c>
      <c r="W13" s="43">
        <v>1246.45</v>
      </c>
      <c r="X13" s="49">
        <f t="shared" si="5"/>
        <v>1370.4128440366974</v>
      </c>
      <c r="Y13" s="48">
        <v>1.2667999999999999</v>
      </c>
    </row>
    <row r="14" spans="1:25" x14ac:dyDescent="0.2">
      <c r="B14" s="47">
        <v>43990</v>
      </c>
      <c r="C14" s="46">
        <v>1569.5</v>
      </c>
      <c r="D14" s="45">
        <v>1569.5</v>
      </c>
      <c r="E14" s="44">
        <f t="shared" si="0"/>
        <v>1569.5</v>
      </c>
      <c r="F14" s="46">
        <v>1596</v>
      </c>
      <c r="G14" s="45">
        <v>1596</v>
      </c>
      <c r="H14" s="44">
        <f t="shared" si="1"/>
        <v>1596</v>
      </c>
      <c r="I14" s="46">
        <v>1700</v>
      </c>
      <c r="J14" s="45">
        <v>1700</v>
      </c>
      <c r="K14" s="44">
        <f t="shared" si="2"/>
        <v>1700</v>
      </c>
      <c r="L14" s="46">
        <v>1778</v>
      </c>
      <c r="M14" s="45">
        <v>1778</v>
      </c>
      <c r="N14" s="44">
        <f t="shared" si="3"/>
        <v>1778</v>
      </c>
      <c r="O14" s="46">
        <v>1858</v>
      </c>
      <c r="P14" s="45">
        <v>1858</v>
      </c>
      <c r="Q14" s="44">
        <f t="shared" si="4"/>
        <v>1858</v>
      </c>
      <c r="R14" s="52">
        <v>1569.5</v>
      </c>
      <c r="S14" s="51">
        <v>1.2656000000000001</v>
      </c>
      <c r="T14" s="51">
        <v>1.1276999999999999</v>
      </c>
      <c r="U14" s="50">
        <v>109.42</v>
      </c>
      <c r="V14" s="43">
        <v>1240.1199999999999</v>
      </c>
      <c r="W14" s="43">
        <v>1260.46</v>
      </c>
      <c r="X14" s="49">
        <f t="shared" si="5"/>
        <v>1391.7708610446041</v>
      </c>
      <c r="Y14" s="48">
        <v>1.2662</v>
      </c>
    </row>
    <row r="15" spans="1:25" x14ac:dyDescent="0.2">
      <c r="B15" s="47">
        <v>43991</v>
      </c>
      <c r="C15" s="46">
        <v>1565.5</v>
      </c>
      <c r="D15" s="45">
        <v>1565.5</v>
      </c>
      <c r="E15" s="44">
        <f t="shared" si="0"/>
        <v>1565.5</v>
      </c>
      <c r="F15" s="46">
        <v>1592.5</v>
      </c>
      <c r="G15" s="45">
        <v>1592.5</v>
      </c>
      <c r="H15" s="44">
        <f t="shared" si="1"/>
        <v>1592.5</v>
      </c>
      <c r="I15" s="46">
        <v>1695</v>
      </c>
      <c r="J15" s="45">
        <v>1695</v>
      </c>
      <c r="K15" s="44">
        <f t="shared" si="2"/>
        <v>1695</v>
      </c>
      <c r="L15" s="46">
        <v>1772</v>
      </c>
      <c r="M15" s="45">
        <v>1772</v>
      </c>
      <c r="N15" s="44">
        <f t="shared" si="3"/>
        <v>1772</v>
      </c>
      <c r="O15" s="46">
        <v>1850</v>
      </c>
      <c r="P15" s="45">
        <v>1850</v>
      </c>
      <c r="Q15" s="44">
        <f t="shared" si="4"/>
        <v>1850</v>
      </c>
      <c r="R15" s="52">
        <v>1565.5</v>
      </c>
      <c r="S15" s="51">
        <v>1.2669999999999999</v>
      </c>
      <c r="T15" s="51">
        <v>1.1282000000000001</v>
      </c>
      <c r="U15" s="50">
        <v>108.14</v>
      </c>
      <c r="V15" s="43">
        <v>1235.5999999999999</v>
      </c>
      <c r="W15" s="43">
        <v>1256.31</v>
      </c>
      <c r="X15" s="49">
        <f t="shared" si="5"/>
        <v>1387.6085800390001</v>
      </c>
      <c r="Y15" s="48">
        <v>1.2676000000000001</v>
      </c>
    </row>
    <row r="16" spans="1:25" x14ac:dyDescent="0.2">
      <c r="B16" s="47">
        <v>43992</v>
      </c>
      <c r="C16" s="46">
        <v>1613.5</v>
      </c>
      <c r="D16" s="45">
        <v>1613.5</v>
      </c>
      <c r="E16" s="44">
        <f t="shared" si="0"/>
        <v>1613.5</v>
      </c>
      <c r="F16" s="46">
        <v>1638</v>
      </c>
      <c r="G16" s="45">
        <v>1638</v>
      </c>
      <c r="H16" s="44">
        <f t="shared" si="1"/>
        <v>1638</v>
      </c>
      <c r="I16" s="46">
        <v>1735.5</v>
      </c>
      <c r="J16" s="45">
        <v>1735.5</v>
      </c>
      <c r="K16" s="44">
        <f t="shared" si="2"/>
        <v>1735.5</v>
      </c>
      <c r="L16" s="46">
        <v>1812.5</v>
      </c>
      <c r="M16" s="45">
        <v>1812.5</v>
      </c>
      <c r="N16" s="44">
        <f t="shared" si="3"/>
        <v>1812.5</v>
      </c>
      <c r="O16" s="46">
        <v>1890.5</v>
      </c>
      <c r="P16" s="45">
        <v>1890.5</v>
      </c>
      <c r="Q16" s="44">
        <f t="shared" si="4"/>
        <v>1890.5</v>
      </c>
      <c r="R16" s="52">
        <v>1613.5</v>
      </c>
      <c r="S16" s="51">
        <v>1.2793000000000001</v>
      </c>
      <c r="T16" s="51">
        <v>1.1387</v>
      </c>
      <c r="U16" s="50">
        <v>107.37</v>
      </c>
      <c r="V16" s="43">
        <v>1261.24</v>
      </c>
      <c r="W16" s="43">
        <v>1279.79</v>
      </c>
      <c r="X16" s="49">
        <f t="shared" si="5"/>
        <v>1416.9667164310179</v>
      </c>
      <c r="Y16" s="48">
        <v>1.2799</v>
      </c>
    </row>
    <row r="17" spans="2:25" x14ac:dyDescent="0.2">
      <c r="B17" s="47">
        <v>43993</v>
      </c>
      <c r="C17" s="46">
        <v>1582</v>
      </c>
      <c r="D17" s="45">
        <v>1582</v>
      </c>
      <c r="E17" s="44">
        <f t="shared" si="0"/>
        <v>1582</v>
      </c>
      <c r="F17" s="46">
        <v>1605.5</v>
      </c>
      <c r="G17" s="45">
        <v>1605.5</v>
      </c>
      <c r="H17" s="44">
        <f t="shared" si="1"/>
        <v>1605.5</v>
      </c>
      <c r="I17" s="46">
        <v>1705</v>
      </c>
      <c r="J17" s="45">
        <v>1705</v>
      </c>
      <c r="K17" s="44">
        <f t="shared" si="2"/>
        <v>1705</v>
      </c>
      <c r="L17" s="46">
        <v>1781.5</v>
      </c>
      <c r="M17" s="45">
        <v>1781.5</v>
      </c>
      <c r="N17" s="44">
        <f t="shared" si="3"/>
        <v>1781.5</v>
      </c>
      <c r="O17" s="46">
        <v>1859.5</v>
      </c>
      <c r="P17" s="45">
        <v>1859.5</v>
      </c>
      <c r="Q17" s="44">
        <f t="shared" si="4"/>
        <v>1859.5</v>
      </c>
      <c r="R17" s="52">
        <v>1582</v>
      </c>
      <c r="S17" s="51">
        <v>1.2653000000000001</v>
      </c>
      <c r="T17" s="51">
        <v>1.1355999999999999</v>
      </c>
      <c r="U17" s="50">
        <v>107.09</v>
      </c>
      <c r="V17" s="43">
        <v>1250.3</v>
      </c>
      <c r="W17" s="43">
        <v>1268.27</v>
      </c>
      <c r="X17" s="49">
        <f t="shared" si="5"/>
        <v>1393.0961606199367</v>
      </c>
      <c r="Y17" s="48">
        <v>1.2659</v>
      </c>
    </row>
    <row r="18" spans="2:25" x14ac:dyDescent="0.2">
      <c r="B18" s="47">
        <v>43994</v>
      </c>
      <c r="C18" s="46">
        <v>1560</v>
      </c>
      <c r="D18" s="45">
        <v>1560</v>
      </c>
      <c r="E18" s="44">
        <f t="shared" si="0"/>
        <v>1560</v>
      </c>
      <c r="F18" s="46">
        <v>1586.5</v>
      </c>
      <c r="G18" s="45">
        <v>1586.5</v>
      </c>
      <c r="H18" s="44">
        <f t="shared" si="1"/>
        <v>1586.5</v>
      </c>
      <c r="I18" s="46">
        <v>1696</v>
      </c>
      <c r="J18" s="45">
        <v>1696</v>
      </c>
      <c r="K18" s="44">
        <f t="shared" si="2"/>
        <v>1696</v>
      </c>
      <c r="L18" s="46">
        <v>1774</v>
      </c>
      <c r="M18" s="45">
        <v>1774</v>
      </c>
      <c r="N18" s="44">
        <f t="shared" si="3"/>
        <v>1774</v>
      </c>
      <c r="O18" s="46">
        <v>1852</v>
      </c>
      <c r="P18" s="45">
        <v>1852</v>
      </c>
      <c r="Q18" s="44">
        <f t="shared" si="4"/>
        <v>1852</v>
      </c>
      <c r="R18" s="52">
        <v>1560</v>
      </c>
      <c r="S18" s="51">
        <v>1.262</v>
      </c>
      <c r="T18" s="51">
        <v>1.1309</v>
      </c>
      <c r="U18" s="50">
        <v>107.36</v>
      </c>
      <c r="V18" s="43">
        <v>1236.1300000000001</v>
      </c>
      <c r="W18" s="43">
        <v>1256.43</v>
      </c>
      <c r="X18" s="49">
        <f t="shared" si="5"/>
        <v>1379.4323105491201</v>
      </c>
      <c r="Y18" s="48">
        <v>1.2626999999999999</v>
      </c>
    </row>
    <row r="19" spans="2:25" x14ac:dyDescent="0.2">
      <c r="B19" s="47">
        <v>43997</v>
      </c>
      <c r="C19" s="46">
        <v>1546</v>
      </c>
      <c r="D19" s="45">
        <v>1546</v>
      </c>
      <c r="E19" s="44">
        <f t="shared" si="0"/>
        <v>1546</v>
      </c>
      <c r="F19" s="46">
        <v>1570.5</v>
      </c>
      <c r="G19" s="45">
        <v>1570.5</v>
      </c>
      <c r="H19" s="44">
        <f t="shared" si="1"/>
        <v>1570.5</v>
      </c>
      <c r="I19" s="46">
        <v>1681</v>
      </c>
      <c r="J19" s="45">
        <v>1681</v>
      </c>
      <c r="K19" s="44">
        <f t="shared" si="2"/>
        <v>1681</v>
      </c>
      <c r="L19" s="46">
        <v>1761</v>
      </c>
      <c r="M19" s="45">
        <v>1761</v>
      </c>
      <c r="N19" s="44">
        <f t="shared" si="3"/>
        <v>1761</v>
      </c>
      <c r="O19" s="46">
        <v>1839</v>
      </c>
      <c r="P19" s="45">
        <v>1839</v>
      </c>
      <c r="Q19" s="44">
        <f t="shared" si="4"/>
        <v>1839</v>
      </c>
      <c r="R19" s="52">
        <v>1546</v>
      </c>
      <c r="S19" s="51">
        <v>1.2546999999999999</v>
      </c>
      <c r="T19" s="51">
        <v>1.1256999999999999</v>
      </c>
      <c r="U19" s="50">
        <v>107.37</v>
      </c>
      <c r="V19" s="43">
        <v>1232.17</v>
      </c>
      <c r="W19" s="43">
        <v>1251</v>
      </c>
      <c r="X19" s="49">
        <f t="shared" si="5"/>
        <v>1373.3676823309941</v>
      </c>
      <c r="Y19" s="48">
        <v>1.2554000000000001</v>
      </c>
    </row>
    <row r="20" spans="2:25" x14ac:dyDescent="0.2">
      <c r="B20" s="47">
        <v>43998</v>
      </c>
      <c r="C20" s="46">
        <v>1573.5</v>
      </c>
      <c r="D20" s="45">
        <v>1573.5</v>
      </c>
      <c r="E20" s="44">
        <f t="shared" si="0"/>
        <v>1573.5</v>
      </c>
      <c r="F20" s="46">
        <v>1595.5</v>
      </c>
      <c r="G20" s="45">
        <v>1595.5</v>
      </c>
      <c r="H20" s="44">
        <f t="shared" si="1"/>
        <v>1595.5</v>
      </c>
      <c r="I20" s="46">
        <v>1703</v>
      </c>
      <c r="J20" s="45">
        <v>1703</v>
      </c>
      <c r="K20" s="44">
        <f t="shared" si="2"/>
        <v>1703</v>
      </c>
      <c r="L20" s="46">
        <v>1784.5</v>
      </c>
      <c r="M20" s="45">
        <v>1784.5</v>
      </c>
      <c r="N20" s="44">
        <f t="shared" si="3"/>
        <v>1784.5</v>
      </c>
      <c r="O20" s="46">
        <v>1862.5</v>
      </c>
      <c r="P20" s="45">
        <v>1862.5</v>
      </c>
      <c r="Q20" s="44">
        <f t="shared" si="4"/>
        <v>1862.5</v>
      </c>
      <c r="R20" s="52">
        <v>1573.5</v>
      </c>
      <c r="S20" s="51">
        <v>1.2649999999999999</v>
      </c>
      <c r="T20" s="51">
        <v>1.1304000000000001</v>
      </c>
      <c r="U20" s="50">
        <v>107.33</v>
      </c>
      <c r="V20" s="43">
        <v>1243.8699999999999</v>
      </c>
      <c r="W20" s="43">
        <v>1260.57</v>
      </c>
      <c r="X20" s="49">
        <f t="shared" si="5"/>
        <v>1391.9851380042462</v>
      </c>
      <c r="Y20" s="48">
        <v>1.2657</v>
      </c>
    </row>
    <row r="21" spans="2:25" x14ac:dyDescent="0.2">
      <c r="B21" s="47">
        <v>43999</v>
      </c>
      <c r="C21" s="46">
        <v>1577.5</v>
      </c>
      <c r="D21" s="45">
        <v>1577.5</v>
      </c>
      <c r="E21" s="44">
        <f t="shared" si="0"/>
        <v>1577.5</v>
      </c>
      <c r="F21" s="46">
        <v>1600</v>
      </c>
      <c r="G21" s="45">
        <v>1600</v>
      </c>
      <c r="H21" s="44">
        <f t="shared" si="1"/>
        <v>1600</v>
      </c>
      <c r="I21" s="46">
        <v>1706</v>
      </c>
      <c r="J21" s="45">
        <v>1706</v>
      </c>
      <c r="K21" s="44">
        <f t="shared" si="2"/>
        <v>1706</v>
      </c>
      <c r="L21" s="46">
        <v>1786</v>
      </c>
      <c r="M21" s="45">
        <v>1786</v>
      </c>
      <c r="N21" s="44">
        <f t="shared" si="3"/>
        <v>1786</v>
      </c>
      <c r="O21" s="46">
        <v>1864</v>
      </c>
      <c r="P21" s="45">
        <v>1864</v>
      </c>
      <c r="Q21" s="44">
        <f t="shared" si="4"/>
        <v>1864</v>
      </c>
      <c r="R21" s="52">
        <v>1577.5</v>
      </c>
      <c r="S21" s="51">
        <v>1.2563</v>
      </c>
      <c r="T21" s="51">
        <v>1.1232</v>
      </c>
      <c r="U21" s="50">
        <v>107.38</v>
      </c>
      <c r="V21" s="43">
        <v>1255.67</v>
      </c>
      <c r="W21" s="43">
        <v>1272.8699999999999</v>
      </c>
      <c r="X21" s="49">
        <f t="shared" si="5"/>
        <v>1404.4693732193732</v>
      </c>
      <c r="Y21" s="48">
        <v>1.2569999999999999</v>
      </c>
    </row>
    <row r="22" spans="2:25" x14ac:dyDescent="0.2">
      <c r="B22" s="47">
        <v>44000</v>
      </c>
      <c r="C22" s="46">
        <v>1586.5</v>
      </c>
      <c r="D22" s="45">
        <v>1586.5</v>
      </c>
      <c r="E22" s="44">
        <f t="shared" si="0"/>
        <v>1586.5</v>
      </c>
      <c r="F22" s="46">
        <v>1608</v>
      </c>
      <c r="G22" s="45">
        <v>1608</v>
      </c>
      <c r="H22" s="44">
        <f t="shared" si="1"/>
        <v>1608</v>
      </c>
      <c r="I22" s="46">
        <v>1710</v>
      </c>
      <c r="J22" s="45">
        <v>1710</v>
      </c>
      <c r="K22" s="44">
        <f t="shared" si="2"/>
        <v>1710</v>
      </c>
      <c r="L22" s="46">
        <v>1787</v>
      </c>
      <c r="M22" s="45">
        <v>1787</v>
      </c>
      <c r="N22" s="44">
        <f t="shared" si="3"/>
        <v>1787</v>
      </c>
      <c r="O22" s="46">
        <v>1865</v>
      </c>
      <c r="P22" s="45">
        <v>1865</v>
      </c>
      <c r="Q22" s="44">
        <f t="shared" si="4"/>
        <v>1865</v>
      </c>
      <c r="R22" s="52">
        <v>1586.5</v>
      </c>
      <c r="S22" s="51">
        <v>1.2485999999999999</v>
      </c>
      <c r="T22" s="51">
        <v>1.1234999999999999</v>
      </c>
      <c r="U22" s="50">
        <v>106.91</v>
      </c>
      <c r="V22" s="43">
        <v>1270.6199999999999</v>
      </c>
      <c r="W22" s="43">
        <v>1287.22</v>
      </c>
      <c r="X22" s="49">
        <f t="shared" si="5"/>
        <v>1412.105028927459</v>
      </c>
      <c r="Y22" s="48">
        <v>1.2492000000000001</v>
      </c>
    </row>
    <row r="23" spans="2:25" x14ac:dyDescent="0.2">
      <c r="B23" s="47">
        <v>44001</v>
      </c>
      <c r="C23" s="46">
        <v>1578</v>
      </c>
      <c r="D23" s="45">
        <v>1578</v>
      </c>
      <c r="E23" s="44">
        <f t="shared" si="0"/>
        <v>1578</v>
      </c>
      <c r="F23" s="46">
        <v>1599</v>
      </c>
      <c r="G23" s="45">
        <v>1599</v>
      </c>
      <c r="H23" s="44">
        <f t="shared" si="1"/>
        <v>1599</v>
      </c>
      <c r="I23" s="46">
        <v>1702.5</v>
      </c>
      <c r="J23" s="45">
        <v>1702.5</v>
      </c>
      <c r="K23" s="44">
        <f t="shared" si="2"/>
        <v>1702.5</v>
      </c>
      <c r="L23" s="46">
        <v>1781</v>
      </c>
      <c r="M23" s="45">
        <v>1781</v>
      </c>
      <c r="N23" s="44">
        <f t="shared" si="3"/>
        <v>1781</v>
      </c>
      <c r="O23" s="46">
        <v>1859</v>
      </c>
      <c r="P23" s="45">
        <v>1859</v>
      </c>
      <c r="Q23" s="44">
        <f t="shared" si="4"/>
        <v>1859</v>
      </c>
      <c r="R23" s="52">
        <v>1578</v>
      </c>
      <c r="S23" s="51">
        <v>1.2372000000000001</v>
      </c>
      <c r="T23" s="51">
        <v>1.1211</v>
      </c>
      <c r="U23" s="50">
        <v>106.86</v>
      </c>
      <c r="V23" s="43">
        <v>1275.46</v>
      </c>
      <c r="W23" s="43">
        <v>1291.81</v>
      </c>
      <c r="X23" s="49">
        <f t="shared" si="5"/>
        <v>1407.5461600214076</v>
      </c>
      <c r="Y23" s="48">
        <v>1.2378</v>
      </c>
    </row>
    <row r="24" spans="2:25" x14ac:dyDescent="0.2">
      <c r="B24" s="47">
        <v>44004</v>
      </c>
      <c r="C24" s="46">
        <v>1573</v>
      </c>
      <c r="D24" s="45">
        <v>1573</v>
      </c>
      <c r="E24" s="44">
        <f t="shared" si="0"/>
        <v>1573</v>
      </c>
      <c r="F24" s="46">
        <v>1590.5</v>
      </c>
      <c r="G24" s="45">
        <v>1590.5</v>
      </c>
      <c r="H24" s="44">
        <f t="shared" si="1"/>
        <v>1590.5</v>
      </c>
      <c r="I24" s="46">
        <v>1696</v>
      </c>
      <c r="J24" s="45">
        <v>1696</v>
      </c>
      <c r="K24" s="44">
        <f t="shared" si="2"/>
        <v>1696</v>
      </c>
      <c r="L24" s="46">
        <v>1774.5</v>
      </c>
      <c r="M24" s="45">
        <v>1774.5</v>
      </c>
      <c r="N24" s="44">
        <f t="shared" si="3"/>
        <v>1774.5</v>
      </c>
      <c r="O24" s="46">
        <v>1852.5</v>
      </c>
      <c r="P24" s="45">
        <v>1852.5</v>
      </c>
      <c r="Q24" s="44">
        <f t="shared" si="4"/>
        <v>1852.5</v>
      </c>
      <c r="R24" s="52">
        <v>1573</v>
      </c>
      <c r="S24" s="51">
        <v>1.2404999999999999</v>
      </c>
      <c r="T24" s="51">
        <v>1.1213</v>
      </c>
      <c r="U24" s="50">
        <v>106.94</v>
      </c>
      <c r="V24" s="43">
        <v>1268.04</v>
      </c>
      <c r="W24" s="43">
        <v>1282.1400000000001</v>
      </c>
      <c r="X24" s="49">
        <f t="shared" si="5"/>
        <v>1402.8359939356105</v>
      </c>
      <c r="Y24" s="48">
        <v>1.2404999999999999</v>
      </c>
    </row>
    <row r="25" spans="2:25" x14ac:dyDescent="0.2">
      <c r="B25" s="47">
        <v>44005</v>
      </c>
      <c r="C25" s="46">
        <v>1577.5</v>
      </c>
      <c r="D25" s="45">
        <v>1577.5</v>
      </c>
      <c r="E25" s="44">
        <f t="shared" si="0"/>
        <v>1577.5</v>
      </c>
      <c r="F25" s="46">
        <v>1598</v>
      </c>
      <c r="G25" s="45">
        <v>1598</v>
      </c>
      <c r="H25" s="44">
        <f t="shared" si="1"/>
        <v>1598</v>
      </c>
      <c r="I25" s="46">
        <v>1700.5</v>
      </c>
      <c r="J25" s="45">
        <v>1700.5</v>
      </c>
      <c r="K25" s="44">
        <f t="shared" si="2"/>
        <v>1700.5</v>
      </c>
      <c r="L25" s="46">
        <v>1778.5</v>
      </c>
      <c r="M25" s="45">
        <v>1778.5</v>
      </c>
      <c r="N25" s="44">
        <f t="shared" si="3"/>
        <v>1778.5</v>
      </c>
      <c r="O25" s="46">
        <v>1856.5</v>
      </c>
      <c r="P25" s="45">
        <v>1856.5</v>
      </c>
      <c r="Q25" s="44">
        <f t="shared" si="4"/>
        <v>1856.5</v>
      </c>
      <c r="R25" s="52">
        <v>1577.5</v>
      </c>
      <c r="S25" s="51">
        <v>1.2470000000000001</v>
      </c>
      <c r="T25" s="51">
        <v>1.1306</v>
      </c>
      <c r="U25" s="50">
        <v>106.99</v>
      </c>
      <c r="V25" s="43">
        <v>1265.04</v>
      </c>
      <c r="W25" s="43">
        <v>1281.48</v>
      </c>
      <c r="X25" s="49">
        <f t="shared" si="5"/>
        <v>1395.2768441535468</v>
      </c>
      <c r="Y25" s="48">
        <v>1.2470000000000001</v>
      </c>
    </row>
    <row r="26" spans="2:25" x14ac:dyDescent="0.2">
      <c r="B26" s="47">
        <v>44006</v>
      </c>
      <c r="C26" s="46">
        <v>1564</v>
      </c>
      <c r="D26" s="45">
        <v>1564</v>
      </c>
      <c r="E26" s="44">
        <f t="shared" si="0"/>
        <v>1564</v>
      </c>
      <c r="F26" s="46">
        <v>1586.5</v>
      </c>
      <c r="G26" s="45">
        <v>1586.5</v>
      </c>
      <c r="H26" s="44">
        <f t="shared" si="1"/>
        <v>1586.5</v>
      </c>
      <c r="I26" s="46">
        <v>1688.5</v>
      </c>
      <c r="J26" s="45">
        <v>1688.5</v>
      </c>
      <c r="K26" s="44">
        <f t="shared" si="2"/>
        <v>1688.5</v>
      </c>
      <c r="L26" s="46">
        <v>1768</v>
      </c>
      <c r="M26" s="45">
        <v>1768</v>
      </c>
      <c r="N26" s="44">
        <f t="shared" si="3"/>
        <v>1768</v>
      </c>
      <c r="O26" s="46">
        <v>1846</v>
      </c>
      <c r="P26" s="45">
        <v>1846</v>
      </c>
      <c r="Q26" s="44">
        <f t="shared" si="4"/>
        <v>1846</v>
      </c>
      <c r="R26" s="52">
        <v>1564</v>
      </c>
      <c r="S26" s="51">
        <v>1.2488999999999999</v>
      </c>
      <c r="T26" s="51">
        <v>1.1283000000000001</v>
      </c>
      <c r="U26" s="50">
        <v>106.59</v>
      </c>
      <c r="V26" s="43">
        <v>1252.3</v>
      </c>
      <c r="W26" s="43">
        <v>1270.32</v>
      </c>
      <c r="X26" s="49">
        <f t="shared" si="5"/>
        <v>1386.1561641407427</v>
      </c>
      <c r="Y26" s="48">
        <v>1.2488999999999999</v>
      </c>
    </row>
    <row r="27" spans="2:25" x14ac:dyDescent="0.2">
      <c r="B27" s="47">
        <v>44007</v>
      </c>
      <c r="C27" s="46">
        <v>1543.5</v>
      </c>
      <c r="D27" s="45">
        <v>1543.5</v>
      </c>
      <c r="E27" s="44">
        <f t="shared" si="0"/>
        <v>1543.5</v>
      </c>
      <c r="F27" s="46">
        <v>1563.5</v>
      </c>
      <c r="G27" s="45">
        <v>1563.5</v>
      </c>
      <c r="H27" s="44">
        <f t="shared" si="1"/>
        <v>1563.5</v>
      </c>
      <c r="I27" s="46">
        <v>1666</v>
      </c>
      <c r="J27" s="45">
        <v>1666</v>
      </c>
      <c r="K27" s="44">
        <f t="shared" si="2"/>
        <v>1666</v>
      </c>
      <c r="L27" s="46">
        <v>1745.5</v>
      </c>
      <c r="M27" s="45">
        <v>1745.5</v>
      </c>
      <c r="N27" s="44">
        <f t="shared" si="3"/>
        <v>1745.5</v>
      </c>
      <c r="O27" s="46">
        <v>1823.5</v>
      </c>
      <c r="P27" s="45">
        <v>1823.5</v>
      </c>
      <c r="Q27" s="44">
        <f t="shared" si="4"/>
        <v>1823.5</v>
      </c>
      <c r="R27" s="52">
        <v>1543.5</v>
      </c>
      <c r="S27" s="51">
        <v>1.2417</v>
      </c>
      <c r="T27" s="51">
        <v>1.1196999999999999</v>
      </c>
      <c r="U27" s="50">
        <v>107.41</v>
      </c>
      <c r="V27" s="43">
        <v>1243.05</v>
      </c>
      <c r="W27" s="43">
        <v>1259.1600000000001</v>
      </c>
      <c r="X27" s="49">
        <f t="shared" si="5"/>
        <v>1378.4942395284452</v>
      </c>
      <c r="Y27" s="48">
        <v>1.2417</v>
      </c>
    </row>
    <row r="28" spans="2:25" x14ac:dyDescent="0.2">
      <c r="B28" s="47">
        <v>44008</v>
      </c>
      <c r="C28" s="46">
        <v>1582</v>
      </c>
      <c r="D28" s="45">
        <v>1582</v>
      </c>
      <c r="E28" s="44">
        <f t="shared" si="0"/>
        <v>1582</v>
      </c>
      <c r="F28" s="46">
        <v>1597.5</v>
      </c>
      <c r="G28" s="45">
        <v>1597.5</v>
      </c>
      <c r="H28" s="44">
        <f t="shared" si="1"/>
        <v>1597.5</v>
      </c>
      <c r="I28" s="46">
        <v>1699</v>
      </c>
      <c r="J28" s="45">
        <v>1699</v>
      </c>
      <c r="K28" s="44">
        <f t="shared" si="2"/>
        <v>1699</v>
      </c>
      <c r="L28" s="46">
        <v>1778.5</v>
      </c>
      <c r="M28" s="45">
        <v>1778.5</v>
      </c>
      <c r="N28" s="44">
        <f t="shared" si="3"/>
        <v>1778.5</v>
      </c>
      <c r="O28" s="46">
        <v>1856.5</v>
      </c>
      <c r="P28" s="45">
        <v>1856.5</v>
      </c>
      <c r="Q28" s="44">
        <f t="shared" si="4"/>
        <v>1856.5</v>
      </c>
      <c r="R28" s="52">
        <v>1582</v>
      </c>
      <c r="S28" s="51">
        <v>1.2390000000000001</v>
      </c>
      <c r="T28" s="51">
        <v>1.1212</v>
      </c>
      <c r="U28" s="50">
        <v>106</v>
      </c>
      <c r="V28" s="43">
        <v>1276.8399999999999</v>
      </c>
      <c r="W28" s="43">
        <v>1289.3499999999999</v>
      </c>
      <c r="X28" s="49">
        <f t="shared" si="5"/>
        <v>1410.9882268997503</v>
      </c>
      <c r="Y28" s="48">
        <v>1.2390000000000001</v>
      </c>
    </row>
    <row r="29" spans="2:25" x14ac:dyDescent="0.2">
      <c r="B29" s="47">
        <v>44011</v>
      </c>
      <c r="C29" s="46">
        <v>1589</v>
      </c>
      <c r="D29" s="45">
        <v>1589</v>
      </c>
      <c r="E29" s="44">
        <f t="shared" si="0"/>
        <v>1589</v>
      </c>
      <c r="F29" s="46">
        <v>1607</v>
      </c>
      <c r="G29" s="45">
        <v>1607</v>
      </c>
      <c r="H29" s="44">
        <f t="shared" si="1"/>
        <v>1607</v>
      </c>
      <c r="I29" s="46">
        <v>1706.5</v>
      </c>
      <c r="J29" s="45">
        <v>1706.5</v>
      </c>
      <c r="K29" s="44">
        <f t="shared" si="2"/>
        <v>1706.5</v>
      </c>
      <c r="L29" s="46">
        <v>1786</v>
      </c>
      <c r="M29" s="45">
        <v>1786</v>
      </c>
      <c r="N29" s="44">
        <f t="shared" si="3"/>
        <v>1786</v>
      </c>
      <c r="O29" s="46">
        <v>1864</v>
      </c>
      <c r="P29" s="45">
        <v>1864</v>
      </c>
      <c r="Q29" s="44">
        <f t="shared" si="4"/>
        <v>1864</v>
      </c>
      <c r="R29" s="52">
        <v>1589</v>
      </c>
      <c r="S29" s="51">
        <v>1.2317</v>
      </c>
      <c r="T29" s="51">
        <v>1.1278999999999999</v>
      </c>
      <c r="U29" s="50">
        <v>107.27</v>
      </c>
      <c r="V29" s="43">
        <v>1290.0899999999999</v>
      </c>
      <c r="W29" s="43">
        <v>1304.07</v>
      </c>
      <c r="X29" s="49">
        <f t="shared" si="5"/>
        <v>1408.8128380175549</v>
      </c>
      <c r="Y29" s="48">
        <v>1.2323</v>
      </c>
    </row>
    <row r="30" spans="2:25" x14ac:dyDescent="0.2">
      <c r="B30" s="47">
        <v>44012</v>
      </c>
      <c r="C30" s="46">
        <v>1602</v>
      </c>
      <c r="D30" s="45">
        <v>1602</v>
      </c>
      <c r="E30" s="44">
        <f t="shared" si="0"/>
        <v>1602</v>
      </c>
      <c r="F30" s="46">
        <v>1621.5</v>
      </c>
      <c r="G30" s="45">
        <v>1621.5</v>
      </c>
      <c r="H30" s="44">
        <f t="shared" si="1"/>
        <v>1621.5</v>
      </c>
      <c r="I30" s="46">
        <v>1722</v>
      </c>
      <c r="J30" s="45">
        <v>1722</v>
      </c>
      <c r="K30" s="44">
        <f t="shared" si="2"/>
        <v>1722</v>
      </c>
      <c r="L30" s="46">
        <v>1802</v>
      </c>
      <c r="M30" s="45">
        <v>1802</v>
      </c>
      <c r="N30" s="44">
        <f t="shared" si="3"/>
        <v>1802</v>
      </c>
      <c r="O30" s="46">
        <v>1881</v>
      </c>
      <c r="P30" s="45">
        <v>1881</v>
      </c>
      <c r="Q30" s="44">
        <f t="shared" si="4"/>
        <v>1881</v>
      </c>
      <c r="R30" s="52">
        <v>1602</v>
      </c>
      <c r="S30" s="51">
        <v>1.2272000000000001</v>
      </c>
      <c r="T30" s="51">
        <v>1.1194</v>
      </c>
      <c r="U30" s="50">
        <v>107.77</v>
      </c>
      <c r="V30" s="43">
        <v>1305.4100000000001</v>
      </c>
      <c r="W30" s="43">
        <v>1320.65</v>
      </c>
      <c r="X30" s="49">
        <f t="shared" si="5"/>
        <v>1431.1238163301769</v>
      </c>
      <c r="Y30" s="48">
        <v>1.2278</v>
      </c>
    </row>
    <row r="31" spans="2:25" s="10" customFormat="1" x14ac:dyDescent="0.2">
      <c r="B31" s="42" t="s">
        <v>11</v>
      </c>
      <c r="C31" s="41">
        <f>ROUND(AVERAGE(C9:C30),2)</f>
        <v>1564.02</v>
      </c>
      <c r="D31" s="40">
        <f>ROUND(AVERAGE(D9:D30),2)</f>
        <v>1564.02</v>
      </c>
      <c r="E31" s="39">
        <f>ROUND(AVERAGE(C31:D31),2)</f>
        <v>1564.02</v>
      </c>
      <c r="F31" s="41">
        <f>ROUND(AVERAGE(F9:F30),2)</f>
        <v>1587.27</v>
      </c>
      <c r="G31" s="40">
        <f>ROUND(AVERAGE(G9:G30),2)</f>
        <v>1587.27</v>
      </c>
      <c r="H31" s="39">
        <f>ROUND(AVERAGE(F31:G31),2)</f>
        <v>1587.27</v>
      </c>
      <c r="I31" s="41">
        <f>ROUND(AVERAGE(I9:I30),2)</f>
        <v>1692.89</v>
      </c>
      <c r="J31" s="40">
        <f>ROUND(AVERAGE(J9:J30),2)</f>
        <v>1692.89</v>
      </c>
      <c r="K31" s="39">
        <f>ROUND(AVERAGE(I31:J31),2)</f>
        <v>1692.89</v>
      </c>
      <c r="L31" s="41">
        <f>ROUND(AVERAGE(L9:L30),2)</f>
        <v>1772.02</v>
      </c>
      <c r="M31" s="40">
        <f>ROUND(AVERAGE(M9:M30),2)</f>
        <v>1772.02</v>
      </c>
      <c r="N31" s="39">
        <f>ROUND(AVERAGE(L31:M31),2)</f>
        <v>1772.02</v>
      </c>
      <c r="O31" s="41">
        <f>ROUND(AVERAGE(O9:O30),2)</f>
        <v>1851.25</v>
      </c>
      <c r="P31" s="40">
        <f>ROUND(AVERAGE(P9:P30),2)</f>
        <v>1851.25</v>
      </c>
      <c r="Q31" s="39">
        <f>ROUND(AVERAGE(O31:P31),2)</f>
        <v>1851.25</v>
      </c>
      <c r="R31" s="38">
        <f>ROUND(AVERAGE(R9:R30),2)</f>
        <v>1564.02</v>
      </c>
      <c r="S31" s="37">
        <f>ROUND(AVERAGE(S9:S30),4)</f>
        <v>1.2522</v>
      </c>
      <c r="T31" s="36">
        <f>ROUND(AVERAGE(T9:T30),4)</f>
        <v>1.1254999999999999</v>
      </c>
      <c r="U31" s="175">
        <f>ROUND(AVERAGE(U9:U30),2)</f>
        <v>107.57</v>
      </c>
      <c r="V31" s="35">
        <f>AVERAGE(V9:V30)</f>
        <v>1249.1131818181818</v>
      </c>
      <c r="W31" s="35">
        <f>AVERAGE(W9:W30)</f>
        <v>1267.1918181818182</v>
      </c>
      <c r="X31" s="35">
        <f>AVERAGE(X9:X30)</f>
        <v>1389.5680868714678</v>
      </c>
      <c r="Y31" s="34">
        <f>AVERAGE(Y9:Y30)</f>
        <v>1.2527136363636364</v>
      </c>
    </row>
    <row r="32" spans="2:25" s="5" customFormat="1" x14ac:dyDescent="0.2">
      <c r="B32" s="33" t="s">
        <v>12</v>
      </c>
      <c r="C32" s="32">
        <f t="shared" ref="C32:Y32" si="6">MAX(C9:C30)</f>
        <v>1613.5</v>
      </c>
      <c r="D32" s="31">
        <f t="shared" si="6"/>
        <v>1613.5</v>
      </c>
      <c r="E32" s="30">
        <f t="shared" si="6"/>
        <v>1613.5</v>
      </c>
      <c r="F32" s="32">
        <f t="shared" si="6"/>
        <v>1638</v>
      </c>
      <c r="G32" s="31">
        <f t="shared" si="6"/>
        <v>1638</v>
      </c>
      <c r="H32" s="30">
        <f t="shared" si="6"/>
        <v>1638</v>
      </c>
      <c r="I32" s="32">
        <f t="shared" si="6"/>
        <v>1735.5</v>
      </c>
      <c r="J32" s="31">
        <f t="shared" si="6"/>
        <v>1735.5</v>
      </c>
      <c r="K32" s="30">
        <f t="shared" si="6"/>
        <v>1735.5</v>
      </c>
      <c r="L32" s="32">
        <f t="shared" si="6"/>
        <v>1812.5</v>
      </c>
      <c r="M32" s="31">
        <f t="shared" si="6"/>
        <v>1812.5</v>
      </c>
      <c r="N32" s="30">
        <f t="shared" si="6"/>
        <v>1812.5</v>
      </c>
      <c r="O32" s="32">
        <f t="shared" si="6"/>
        <v>1890.5</v>
      </c>
      <c r="P32" s="31">
        <f t="shared" si="6"/>
        <v>1890.5</v>
      </c>
      <c r="Q32" s="30">
        <f t="shared" si="6"/>
        <v>1890.5</v>
      </c>
      <c r="R32" s="29">
        <f t="shared" si="6"/>
        <v>1613.5</v>
      </c>
      <c r="S32" s="28">
        <f t="shared" si="6"/>
        <v>1.2793000000000001</v>
      </c>
      <c r="T32" s="27">
        <f t="shared" si="6"/>
        <v>1.1387</v>
      </c>
      <c r="U32" s="26">
        <f t="shared" si="6"/>
        <v>109.42</v>
      </c>
      <c r="V32" s="25">
        <f t="shared" si="6"/>
        <v>1305.4100000000001</v>
      </c>
      <c r="W32" s="25">
        <f t="shared" si="6"/>
        <v>1320.65</v>
      </c>
      <c r="X32" s="25">
        <f t="shared" si="6"/>
        <v>1431.1238163301769</v>
      </c>
      <c r="Y32" s="24">
        <f t="shared" si="6"/>
        <v>1.2799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1499.5</v>
      </c>
      <c r="D33" s="21">
        <f t="shared" si="7"/>
        <v>1499.5</v>
      </c>
      <c r="E33" s="20">
        <f t="shared" si="7"/>
        <v>1499.5</v>
      </c>
      <c r="F33" s="22">
        <f t="shared" si="7"/>
        <v>1529</v>
      </c>
      <c r="G33" s="21">
        <f t="shared" si="7"/>
        <v>1529</v>
      </c>
      <c r="H33" s="20">
        <f t="shared" si="7"/>
        <v>1529</v>
      </c>
      <c r="I33" s="22">
        <f t="shared" si="7"/>
        <v>1645</v>
      </c>
      <c r="J33" s="21">
        <f t="shared" si="7"/>
        <v>1645</v>
      </c>
      <c r="K33" s="20">
        <f t="shared" si="7"/>
        <v>1645</v>
      </c>
      <c r="L33" s="22">
        <f t="shared" si="7"/>
        <v>1727</v>
      </c>
      <c r="M33" s="21">
        <f t="shared" si="7"/>
        <v>1727</v>
      </c>
      <c r="N33" s="20">
        <f t="shared" si="7"/>
        <v>1727</v>
      </c>
      <c r="O33" s="22">
        <f t="shared" si="7"/>
        <v>1809.5</v>
      </c>
      <c r="P33" s="21">
        <f t="shared" si="7"/>
        <v>1809.5</v>
      </c>
      <c r="Q33" s="20">
        <f t="shared" si="7"/>
        <v>1809.5</v>
      </c>
      <c r="R33" s="19">
        <f t="shared" si="7"/>
        <v>1499.5</v>
      </c>
      <c r="S33" s="18">
        <f t="shared" si="7"/>
        <v>1.2272000000000001</v>
      </c>
      <c r="T33" s="17">
        <f t="shared" si="7"/>
        <v>1.1112</v>
      </c>
      <c r="U33" s="16">
        <f t="shared" si="7"/>
        <v>106</v>
      </c>
      <c r="V33" s="15">
        <f t="shared" si="7"/>
        <v>1195.77</v>
      </c>
      <c r="W33" s="15">
        <f t="shared" si="7"/>
        <v>1218.81</v>
      </c>
      <c r="X33" s="15">
        <f t="shared" si="7"/>
        <v>1342.5552869549647</v>
      </c>
      <c r="Y33" s="14">
        <f t="shared" si="7"/>
        <v>1.2278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43983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43983</v>
      </c>
      <c r="C9" s="46">
        <v>1987.5</v>
      </c>
      <c r="D9" s="45">
        <v>1987.5</v>
      </c>
      <c r="E9" s="44">
        <f t="shared" ref="E9:E30" si="0">AVERAGE(C9:D9)</f>
        <v>1987.5</v>
      </c>
      <c r="F9" s="46">
        <v>1987.5</v>
      </c>
      <c r="G9" s="45">
        <v>1987.5</v>
      </c>
      <c r="H9" s="44">
        <f t="shared" ref="H9:H30" si="1">AVERAGE(F9:G9)</f>
        <v>1987.5</v>
      </c>
      <c r="I9" s="46">
        <v>2040</v>
      </c>
      <c r="J9" s="45">
        <v>2040</v>
      </c>
      <c r="K9" s="44">
        <f t="shared" ref="K9:K30" si="2">AVERAGE(I9:J9)</f>
        <v>2040</v>
      </c>
      <c r="L9" s="46">
        <v>2075</v>
      </c>
      <c r="M9" s="45">
        <v>2075</v>
      </c>
      <c r="N9" s="44">
        <f t="shared" ref="N9:N30" si="3">AVERAGE(L9:M9)</f>
        <v>2075</v>
      </c>
      <c r="O9" s="46">
        <v>2080.5</v>
      </c>
      <c r="P9" s="45">
        <v>2080.5</v>
      </c>
      <c r="Q9" s="44">
        <f t="shared" ref="Q9:Q30" si="4">AVERAGE(O9:P9)</f>
        <v>2080.5</v>
      </c>
      <c r="R9" s="52">
        <v>1987.5</v>
      </c>
      <c r="S9" s="51">
        <v>1.2388999999999999</v>
      </c>
      <c r="T9" s="53">
        <v>1.1112</v>
      </c>
      <c r="U9" s="50">
        <v>107.74</v>
      </c>
      <c r="V9" s="43">
        <v>1604.25</v>
      </c>
      <c r="W9" s="43">
        <v>1603.6</v>
      </c>
      <c r="X9" s="49">
        <f t="shared" ref="X9:X30" si="5">R9/T9</f>
        <v>1788.6069114470843</v>
      </c>
      <c r="Y9" s="48">
        <v>1.2394000000000001</v>
      </c>
    </row>
    <row r="10" spans="1:25" x14ac:dyDescent="0.2">
      <c r="B10" s="47">
        <v>43984</v>
      </c>
      <c r="C10" s="46">
        <v>2025.5</v>
      </c>
      <c r="D10" s="45">
        <v>2025.5</v>
      </c>
      <c r="E10" s="44">
        <f t="shared" si="0"/>
        <v>2025.5</v>
      </c>
      <c r="F10" s="46">
        <v>2029.5</v>
      </c>
      <c r="G10" s="45">
        <v>2029.5</v>
      </c>
      <c r="H10" s="44">
        <f t="shared" si="1"/>
        <v>2029.5</v>
      </c>
      <c r="I10" s="46">
        <v>2083</v>
      </c>
      <c r="J10" s="45">
        <v>2083</v>
      </c>
      <c r="K10" s="44">
        <f t="shared" si="2"/>
        <v>2083</v>
      </c>
      <c r="L10" s="46">
        <v>2118</v>
      </c>
      <c r="M10" s="45">
        <v>2118</v>
      </c>
      <c r="N10" s="44">
        <f t="shared" si="3"/>
        <v>2118</v>
      </c>
      <c r="O10" s="46">
        <v>2123.5</v>
      </c>
      <c r="P10" s="45">
        <v>2123.5</v>
      </c>
      <c r="Q10" s="44">
        <f t="shared" si="4"/>
        <v>2123.5</v>
      </c>
      <c r="R10" s="52">
        <v>2025.5</v>
      </c>
      <c r="S10" s="51">
        <v>1.254</v>
      </c>
      <c r="T10" s="51">
        <v>1.1169</v>
      </c>
      <c r="U10" s="50">
        <v>107.91</v>
      </c>
      <c r="V10" s="43">
        <v>1615.23</v>
      </c>
      <c r="W10" s="43">
        <v>1617.78</v>
      </c>
      <c r="X10" s="49">
        <f t="shared" si="5"/>
        <v>1813.5016563703107</v>
      </c>
      <c r="Y10" s="48">
        <v>1.2544999999999999</v>
      </c>
    </row>
    <row r="11" spans="1:25" x14ac:dyDescent="0.2">
      <c r="B11" s="47">
        <v>43985</v>
      </c>
      <c r="C11" s="46">
        <v>2008.5</v>
      </c>
      <c r="D11" s="45">
        <v>2008.5</v>
      </c>
      <c r="E11" s="44">
        <f t="shared" si="0"/>
        <v>2008.5</v>
      </c>
      <c r="F11" s="46">
        <v>2010.5</v>
      </c>
      <c r="G11" s="45">
        <v>2010.5</v>
      </c>
      <c r="H11" s="44">
        <f t="shared" si="1"/>
        <v>2010.5</v>
      </c>
      <c r="I11" s="46">
        <v>2060.5</v>
      </c>
      <c r="J11" s="45">
        <v>2060.5</v>
      </c>
      <c r="K11" s="44">
        <f t="shared" si="2"/>
        <v>2060.5</v>
      </c>
      <c r="L11" s="46">
        <v>2095.5</v>
      </c>
      <c r="M11" s="45">
        <v>2095.5</v>
      </c>
      <c r="N11" s="44">
        <f t="shared" si="3"/>
        <v>2095.5</v>
      </c>
      <c r="O11" s="46">
        <v>2101</v>
      </c>
      <c r="P11" s="45">
        <v>2101</v>
      </c>
      <c r="Q11" s="44">
        <f t="shared" si="4"/>
        <v>2101</v>
      </c>
      <c r="R11" s="52">
        <v>2008.5</v>
      </c>
      <c r="S11" s="51">
        <v>1.2563</v>
      </c>
      <c r="T11" s="51">
        <v>1.1194999999999999</v>
      </c>
      <c r="U11" s="50">
        <v>108.59</v>
      </c>
      <c r="V11" s="43">
        <v>1598.74</v>
      </c>
      <c r="W11" s="43">
        <v>1599.57</v>
      </c>
      <c r="X11" s="49">
        <f t="shared" si="5"/>
        <v>1794.1045109423851</v>
      </c>
      <c r="Y11" s="48">
        <v>1.2568999999999999</v>
      </c>
    </row>
    <row r="12" spans="1:25" x14ac:dyDescent="0.2">
      <c r="B12" s="47">
        <v>43986</v>
      </c>
      <c r="C12" s="46">
        <v>1998.5</v>
      </c>
      <c r="D12" s="45">
        <v>1998.5</v>
      </c>
      <c r="E12" s="44">
        <f t="shared" si="0"/>
        <v>1998.5</v>
      </c>
      <c r="F12" s="46">
        <v>2000.5</v>
      </c>
      <c r="G12" s="45">
        <v>2000.5</v>
      </c>
      <c r="H12" s="44">
        <f t="shared" si="1"/>
        <v>2000.5</v>
      </c>
      <c r="I12" s="46">
        <v>2050</v>
      </c>
      <c r="J12" s="45">
        <v>2050</v>
      </c>
      <c r="K12" s="44">
        <f t="shared" si="2"/>
        <v>2050</v>
      </c>
      <c r="L12" s="46">
        <v>2085</v>
      </c>
      <c r="M12" s="45">
        <v>2085</v>
      </c>
      <c r="N12" s="44">
        <f t="shared" si="3"/>
        <v>2085</v>
      </c>
      <c r="O12" s="46">
        <v>2090.5</v>
      </c>
      <c r="P12" s="45">
        <v>2090.5</v>
      </c>
      <c r="Q12" s="44">
        <f t="shared" si="4"/>
        <v>2090.5</v>
      </c>
      <c r="R12" s="52">
        <v>1998.5</v>
      </c>
      <c r="S12" s="51">
        <v>1.2568999999999999</v>
      </c>
      <c r="T12" s="51">
        <v>1.1269</v>
      </c>
      <c r="U12" s="50">
        <v>108.9</v>
      </c>
      <c r="V12" s="43">
        <v>1590.02</v>
      </c>
      <c r="W12" s="43">
        <v>1590.85</v>
      </c>
      <c r="X12" s="49">
        <f t="shared" si="5"/>
        <v>1773.4492856509007</v>
      </c>
      <c r="Y12" s="48">
        <v>1.2575000000000001</v>
      </c>
    </row>
    <row r="13" spans="1:25" x14ac:dyDescent="0.2">
      <c r="B13" s="47">
        <v>43987</v>
      </c>
      <c r="C13" s="46">
        <v>2038.5</v>
      </c>
      <c r="D13" s="45">
        <v>2038.5</v>
      </c>
      <c r="E13" s="44">
        <f t="shared" si="0"/>
        <v>2038.5</v>
      </c>
      <c r="F13" s="46">
        <v>2042</v>
      </c>
      <c r="G13" s="45">
        <v>2042</v>
      </c>
      <c r="H13" s="44">
        <f t="shared" si="1"/>
        <v>2042</v>
      </c>
      <c r="I13" s="46">
        <v>2090</v>
      </c>
      <c r="J13" s="45">
        <v>2090</v>
      </c>
      <c r="K13" s="44">
        <f t="shared" si="2"/>
        <v>2090</v>
      </c>
      <c r="L13" s="46">
        <v>2125</v>
      </c>
      <c r="M13" s="45">
        <v>2125</v>
      </c>
      <c r="N13" s="44">
        <f t="shared" si="3"/>
        <v>2125</v>
      </c>
      <c r="O13" s="46">
        <v>2130.5</v>
      </c>
      <c r="P13" s="45">
        <v>2130.5</v>
      </c>
      <c r="Q13" s="44">
        <f t="shared" si="4"/>
        <v>2130.5</v>
      </c>
      <c r="R13" s="52">
        <v>2038.5</v>
      </c>
      <c r="S13" s="51">
        <v>1.2663</v>
      </c>
      <c r="T13" s="51">
        <v>1.1335999999999999</v>
      </c>
      <c r="U13" s="50">
        <v>109.24</v>
      </c>
      <c r="V13" s="43">
        <v>1609.81</v>
      </c>
      <c r="W13" s="43">
        <v>1611.94</v>
      </c>
      <c r="X13" s="49">
        <f t="shared" si="5"/>
        <v>1798.2533521524349</v>
      </c>
      <c r="Y13" s="48">
        <v>1.2667999999999999</v>
      </c>
    </row>
    <row r="14" spans="1:25" x14ac:dyDescent="0.2">
      <c r="B14" s="47">
        <v>43990</v>
      </c>
      <c r="C14" s="46">
        <v>2009.5</v>
      </c>
      <c r="D14" s="45">
        <v>2009.5</v>
      </c>
      <c r="E14" s="44">
        <f t="shared" si="0"/>
        <v>2009.5</v>
      </c>
      <c r="F14" s="46">
        <v>2015</v>
      </c>
      <c r="G14" s="45">
        <v>2015</v>
      </c>
      <c r="H14" s="44">
        <f t="shared" si="1"/>
        <v>2015</v>
      </c>
      <c r="I14" s="46">
        <v>2067.5</v>
      </c>
      <c r="J14" s="45">
        <v>2067.5</v>
      </c>
      <c r="K14" s="44">
        <f t="shared" si="2"/>
        <v>2067.5</v>
      </c>
      <c r="L14" s="46">
        <v>2102.5</v>
      </c>
      <c r="M14" s="45">
        <v>2102.5</v>
      </c>
      <c r="N14" s="44">
        <f t="shared" si="3"/>
        <v>2102.5</v>
      </c>
      <c r="O14" s="46">
        <v>2108</v>
      </c>
      <c r="P14" s="45">
        <v>2108</v>
      </c>
      <c r="Q14" s="44">
        <f t="shared" si="4"/>
        <v>2108</v>
      </c>
      <c r="R14" s="52">
        <v>2009.5</v>
      </c>
      <c r="S14" s="51">
        <v>1.2656000000000001</v>
      </c>
      <c r="T14" s="51">
        <v>1.1276999999999999</v>
      </c>
      <c r="U14" s="50">
        <v>109.42</v>
      </c>
      <c r="V14" s="43">
        <v>1587.78</v>
      </c>
      <c r="W14" s="43">
        <v>1591.38</v>
      </c>
      <c r="X14" s="49">
        <f t="shared" si="5"/>
        <v>1781.9455528952737</v>
      </c>
      <c r="Y14" s="48">
        <v>1.2662</v>
      </c>
    </row>
    <row r="15" spans="1:25" x14ac:dyDescent="0.2">
      <c r="B15" s="47">
        <v>43991</v>
      </c>
      <c r="C15" s="46">
        <v>2002</v>
      </c>
      <c r="D15" s="45">
        <v>2002</v>
      </c>
      <c r="E15" s="44">
        <f t="shared" si="0"/>
        <v>2002</v>
      </c>
      <c r="F15" s="46">
        <v>2012</v>
      </c>
      <c r="G15" s="45">
        <v>2012</v>
      </c>
      <c r="H15" s="44">
        <f t="shared" si="1"/>
        <v>2012</v>
      </c>
      <c r="I15" s="46">
        <v>2065.5</v>
      </c>
      <c r="J15" s="45">
        <v>2065.5</v>
      </c>
      <c r="K15" s="44">
        <f t="shared" si="2"/>
        <v>2065.5</v>
      </c>
      <c r="L15" s="46">
        <v>2100.5</v>
      </c>
      <c r="M15" s="45">
        <v>2100.5</v>
      </c>
      <c r="N15" s="44">
        <f t="shared" si="3"/>
        <v>2100.5</v>
      </c>
      <c r="O15" s="46">
        <v>2106</v>
      </c>
      <c r="P15" s="45">
        <v>2106</v>
      </c>
      <c r="Q15" s="44">
        <f t="shared" si="4"/>
        <v>2106</v>
      </c>
      <c r="R15" s="52">
        <v>2002</v>
      </c>
      <c r="S15" s="51">
        <v>1.2669999999999999</v>
      </c>
      <c r="T15" s="51">
        <v>1.1282000000000001</v>
      </c>
      <c r="U15" s="50">
        <v>108.14</v>
      </c>
      <c r="V15" s="43">
        <v>1580.11</v>
      </c>
      <c r="W15" s="43">
        <v>1587.25</v>
      </c>
      <c r="X15" s="49">
        <f t="shared" si="5"/>
        <v>1774.5080659457542</v>
      </c>
      <c r="Y15" s="48">
        <v>1.2676000000000001</v>
      </c>
    </row>
    <row r="16" spans="1:25" x14ac:dyDescent="0.2">
      <c r="B16" s="47">
        <v>43992</v>
      </c>
      <c r="C16" s="46">
        <v>2001</v>
      </c>
      <c r="D16" s="45">
        <v>2001</v>
      </c>
      <c r="E16" s="44">
        <f t="shared" si="0"/>
        <v>2001</v>
      </c>
      <c r="F16" s="46">
        <v>2012</v>
      </c>
      <c r="G16" s="45">
        <v>2012</v>
      </c>
      <c r="H16" s="44">
        <f t="shared" si="1"/>
        <v>2012</v>
      </c>
      <c r="I16" s="46">
        <v>2066</v>
      </c>
      <c r="J16" s="45">
        <v>2066</v>
      </c>
      <c r="K16" s="44">
        <f t="shared" si="2"/>
        <v>2066</v>
      </c>
      <c r="L16" s="46">
        <v>2101</v>
      </c>
      <c r="M16" s="45">
        <v>2101</v>
      </c>
      <c r="N16" s="44">
        <f t="shared" si="3"/>
        <v>2101</v>
      </c>
      <c r="O16" s="46">
        <v>2106.5</v>
      </c>
      <c r="P16" s="45">
        <v>2106.5</v>
      </c>
      <c r="Q16" s="44">
        <f t="shared" si="4"/>
        <v>2106.5</v>
      </c>
      <c r="R16" s="52">
        <v>2001</v>
      </c>
      <c r="S16" s="51">
        <v>1.2793000000000001</v>
      </c>
      <c r="T16" s="51">
        <v>1.1387</v>
      </c>
      <c r="U16" s="50">
        <v>107.37</v>
      </c>
      <c r="V16" s="43">
        <v>1564.14</v>
      </c>
      <c r="W16" s="43">
        <v>1572</v>
      </c>
      <c r="X16" s="49">
        <f t="shared" si="5"/>
        <v>1757.2670589268464</v>
      </c>
      <c r="Y16" s="48">
        <v>1.2799</v>
      </c>
    </row>
    <row r="17" spans="2:25" x14ac:dyDescent="0.2">
      <c r="B17" s="47">
        <v>43993</v>
      </c>
      <c r="C17" s="46">
        <v>2003.5</v>
      </c>
      <c r="D17" s="45">
        <v>2003.5</v>
      </c>
      <c r="E17" s="44">
        <f t="shared" si="0"/>
        <v>2003.5</v>
      </c>
      <c r="F17" s="46">
        <v>2014.5</v>
      </c>
      <c r="G17" s="45">
        <v>2014.5</v>
      </c>
      <c r="H17" s="44">
        <f t="shared" si="1"/>
        <v>2014.5</v>
      </c>
      <c r="I17" s="46">
        <v>2065</v>
      </c>
      <c r="J17" s="45">
        <v>2065</v>
      </c>
      <c r="K17" s="44">
        <f t="shared" si="2"/>
        <v>2065</v>
      </c>
      <c r="L17" s="46">
        <v>2100</v>
      </c>
      <c r="M17" s="45">
        <v>2100</v>
      </c>
      <c r="N17" s="44">
        <f t="shared" si="3"/>
        <v>2100</v>
      </c>
      <c r="O17" s="46">
        <v>2106</v>
      </c>
      <c r="P17" s="45">
        <v>2106</v>
      </c>
      <c r="Q17" s="44">
        <f t="shared" si="4"/>
        <v>2106</v>
      </c>
      <c r="R17" s="52">
        <v>2003.5</v>
      </c>
      <c r="S17" s="51">
        <v>1.2653000000000001</v>
      </c>
      <c r="T17" s="51">
        <v>1.1355999999999999</v>
      </c>
      <c r="U17" s="50">
        <v>107.09</v>
      </c>
      <c r="V17" s="43">
        <v>1583.42</v>
      </c>
      <c r="W17" s="43">
        <v>1591.36</v>
      </c>
      <c r="X17" s="49">
        <f t="shared" si="5"/>
        <v>1764.2655864741107</v>
      </c>
      <c r="Y17" s="48">
        <v>1.2659</v>
      </c>
    </row>
    <row r="18" spans="2:25" x14ac:dyDescent="0.2">
      <c r="B18" s="47">
        <v>43994</v>
      </c>
      <c r="C18" s="46">
        <v>1991</v>
      </c>
      <c r="D18" s="45">
        <v>1991</v>
      </c>
      <c r="E18" s="44">
        <f t="shared" si="0"/>
        <v>1991</v>
      </c>
      <c r="F18" s="46">
        <v>2003</v>
      </c>
      <c r="G18" s="45">
        <v>2003</v>
      </c>
      <c r="H18" s="44">
        <f t="shared" si="1"/>
        <v>2003</v>
      </c>
      <c r="I18" s="46">
        <v>2056.5</v>
      </c>
      <c r="J18" s="45">
        <v>2056.5</v>
      </c>
      <c r="K18" s="44">
        <f t="shared" si="2"/>
        <v>2056.5</v>
      </c>
      <c r="L18" s="46">
        <v>2091.5</v>
      </c>
      <c r="M18" s="45">
        <v>2091.5</v>
      </c>
      <c r="N18" s="44">
        <f t="shared" si="3"/>
        <v>2091.5</v>
      </c>
      <c r="O18" s="46">
        <v>2097</v>
      </c>
      <c r="P18" s="45">
        <v>2097</v>
      </c>
      <c r="Q18" s="44">
        <f t="shared" si="4"/>
        <v>2097</v>
      </c>
      <c r="R18" s="52">
        <v>1991</v>
      </c>
      <c r="S18" s="51">
        <v>1.262</v>
      </c>
      <c r="T18" s="51">
        <v>1.1309</v>
      </c>
      <c r="U18" s="50">
        <v>107.36</v>
      </c>
      <c r="V18" s="43">
        <v>1577.65</v>
      </c>
      <c r="W18" s="43">
        <v>1586.28</v>
      </c>
      <c r="X18" s="49">
        <f t="shared" si="5"/>
        <v>1760.5446989123707</v>
      </c>
      <c r="Y18" s="48">
        <v>1.2626999999999999</v>
      </c>
    </row>
    <row r="19" spans="2:25" x14ac:dyDescent="0.2">
      <c r="B19" s="47">
        <v>43997</v>
      </c>
      <c r="C19" s="46">
        <v>1955.5</v>
      </c>
      <c r="D19" s="45">
        <v>1955.5</v>
      </c>
      <c r="E19" s="44">
        <f t="shared" si="0"/>
        <v>1955.5</v>
      </c>
      <c r="F19" s="46">
        <v>1968</v>
      </c>
      <c r="G19" s="45">
        <v>1968</v>
      </c>
      <c r="H19" s="44">
        <f t="shared" si="1"/>
        <v>1968</v>
      </c>
      <c r="I19" s="46">
        <v>2019</v>
      </c>
      <c r="J19" s="45">
        <v>2019</v>
      </c>
      <c r="K19" s="44">
        <f t="shared" si="2"/>
        <v>2019</v>
      </c>
      <c r="L19" s="46">
        <v>2054</v>
      </c>
      <c r="M19" s="45">
        <v>2054</v>
      </c>
      <c r="N19" s="44">
        <f t="shared" si="3"/>
        <v>2054</v>
      </c>
      <c r="O19" s="46">
        <v>2059.5</v>
      </c>
      <c r="P19" s="45">
        <v>2059.5</v>
      </c>
      <c r="Q19" s="44">
        <f t="shared" si="4"/>
        <v>2059.5</v>
      </c>
      <c r="R19" s="52">
        <v>1955.5</v>
      </c>
      <c r="S19" s="51">
        <v>1.2546999999999999</v>
      </c>
      <c r="T19" s="51">
        <v>1.1256999999999999</v>
      </c>
      <c r="U19" s="50">
        <v>107.37</v>
      </c>
      <c r="V19" s="43">
        <v>1558.54</v>
      </c>
      <c r="W19" s="43">
        <v>1567.63</v>
      </c>
      <c r="X19" s="49">
        <f t="shared" si="5"/>
        <v>1737.1413342808919</v>
      </c>
      <c r="Y19" s="48">
        <v>1.2554000000000001</v>
      </c>
    </row>
    <row r="20" spans="2:25" x14ac:dyDescent="0.2">
      <c r="B20" s="47">
        <v>43998</v>
      </c>
      <c r="C20" s="46">
        <v>2007</v>
      </c>
      <c r="D20" s="45">
        <v>2007</v>
      </c>
      <c r="E20" s="44">
        <f t="shared" si="0"/>
        <v>2007</v>
      </c>
      <c r="F20" s="46">
        <v>2018.5</v>
      </c>
      <c r="G20" s="45">
        <v>2018.5</v>
      </c>
      <c r="H20" s="44">
        <f t="shared" si="1"/>
        <v>2018.5</v>
      </c>
      <c r="I20" s="46">
        <v>2068.5</v>
      </c>
      <c r="J20" s="45">
        <v>2068.5</v>
      </c>
      <c r="K20" s="44">
        <f t="shared" si="2"/>
        <v>2068.5</v>
      </c>
      <c r="L20" s="46">
        <v>2106</v>
      </c>
      <c r="M20" s="45">
        <v>2106</v>
      </c>
      <c r="N20" s="44">
        <f t="shared" si="3"/>
        <v>2106</v>
      </c>
      <c r="O20" s="46">
        <v>2113.5</v>
      </c>
      <c r="P20" s="45">
        <v>2113.5</v>
      </c>
      <c r="Q20" s="44">
        <f t="shared" si="4"/>
        <v>2113.5</v>
      </c>
      <c r="R20" s="52">
        <v>2007</v>
      </c>
      <c r="S20" s="51">
        <v>1.2649999999999999</v>
      </c>
      <c r="T20" s="51">
        <v>1.1304000000000001</v>
      </c>
      <c r="U20" s="50">
        <v>107.33</v>
      </c>
      <c r="V20" s="43">
        <v>1586.56</v>
      </c>
      <c r="W20" s="43">
        <v>1594.77</v>
      </c>
      <c r="X20" s="49">
        <f t="shared" si="5"/>
        <v>1775.4777070063694</v>
      </c>
      <c r="Y20" s="48">
        <v>1.2657</v>
      </c>
    </row>
    <row r="21" spans="2:25" x14ac:dyDescent="0.2">
      <c r="B21" s="47">
        <v>43999</v>
      </c>
      <c r="C21" s="46">
        <v>2014</v>
      </c>
      <c r="D21" s="45">
        <v>2014</v>
      </c>
      <c r="E21" s="44">
        <f t="shared" si="0"/>
        <v>2014</v>
      </c>
      <c r="F21" s="46">
        <v>2025.5</v>
      </c>
      <c r="G21" s="45">
        <v>2025.5</v>
      </c>
      <c r="H21" s="44">
        <f t="shared" si="1"/>
        <v>2025.5</v>
      </c>
      <c r="I21" s="46">
        <v>2076</v>
      </c>
      <c r="J21" s="45">
        <v>2076</v>
      </c>
      <c r="K21" s="44">
        <f t="shared" si="2"/>
        <v>2076</v>
      </c>
      <c r="L21" s="46">
        <v>2113.5</v>
      </c>
      <c r="M21" s="45">
        <v>2113.5</v>
      </c>
      <c r="N21" s="44">
        <f t="shared" si="3"/>
        <v>2113.5</v>
      </c>
      <c r="O21" s="46">
        <v>2120.5</v>
      </c>
      <c r="P21" s="45">
        <v>2120.5</v>
      </c>
      <c r="Q21" s="44">
        <f t="shared" si="4"/>
        <v>2120.5</v>
      </c>
      <c r="R21" s="52">
        <v>2014</v>
      </c>
      <c r="S21" s="51">
        <v>1.2563</v>
      </c>
      <c r="T21" s="51">
        <v>1.1232</v>
      </c>
      <c r="U21" s="50">
        <v>107.38</v>
      </c>
      <c r="V21" s="43">
        <v>1603.12</v>
      </c>
      <c r="W21" s="43">
        <v>1611.38</v>
      </c>
      <c r="X21" s="49">
        <f t="shared" si="5"/>
        <v>1793.0911680911681</v>
      </c>
      <c r="Y21" s="48">
        <v>1.2569999999999999</v>
      </c>
    </row>
    <row r="22" spans="2:25" x14ac:dyDescent="0.2">
      <c r="B22" s="47">
        <v>44000</v>
      </c>
      <c r="C22" s="46">
        <v>2037</v>
      </c>
      <c r="D22" s="45">
        <v>2037</v>
      </c>
      <c r="E22" s="44">
        <f t="shared" si="0"/>
        <v>2037</v>
      </c>
      <c r="F22" s="46">
        <v>2043</v>
      </c>
      <c r="G22" s="45">
        <v>2043</v>
      </c>
      <c r="H22" s="44">
        <f t="shared" si="1"/>
        <v>2043</v>
      </c>
      <c r="I22" s="46">
        <v>2093.5</v>
      </c>
      <c r="J22" s="45">
        <v>2093.5</v>
      </c>
      <c r="K22" s="44">
        <f t="shared" si="2"/>
        <v>2093.5</v>
      </c>
      <c r="L22" s="46">
        <v>2131</v>
      </c>
      <c r="M22" s="45">
        <v>2131</v>
      </c>
      <c r="N22" s="44">
        <f t="shared" si="3"/>
        <v>2131</v>
      </c>
      <c r="O22" s="46">
        <v>2138.5</v>
      </c>
      <c r="P22" s="45">
        <v>2138.5</v>
      </c>
      <c r="Q22" s="44">
        <f t="shared" si="4"/>
        <v>2138.5</v>
      </c>
      <c r="R22" s="52">
        <v>2037</v>
      </c>
      <c r="S22" s="51">
        <v>1.2485999999999999</v>
      </c>
      <c r="T22" s="51">
        <v>1.1234999999999999</v>
      </c>
      <c r="U22" s="50">
        <v>106.91</v>
      </c>
      <c r="V22" s="43">
        <v>1631.43</v>
      </c>
      <c r="W22" s="43">
        <v>1635.45</v>
      </c>
      <c r="X22" s="49">
        <f t="shared" si="5"/>
        <v>1813.0841121495328</v>
      </c>
      <c r="Y22" s="48">
        <v>1.2492000000000001</v>
      </c>
    </row>
    <row r="23" spans="2:25" x14ac:dyDescent="0.2">
      <c r="B23" s="47">
        <v>44001</v>
      </c>
      <c r="C23" s="46">
        <v>2073</v>
      </c>
      <c r="D23" s="45">
        <v>2073</v>
      </c>
      <c r="E23" s="44">
        <f t="shared" si="0"/>
        <v>2073</v>
      </c>
      <c r="F23" s="46">
        <v>2076.5</v>
      </c>
      <c r="G23" s="45">
        <v>2076.5</v>
      </c>
      <c r="H23" s="44">
        <f t="shared" si="1"/>
        <v>2076.5</v>
      </c>
      <c r="I23" s="46">
        <v>2120.5</v>
      </c>
      <c r="J23" s="45">
        <v>2120.5</v>
      </c>
      <c r="K23" s="44">
        <f t="shared" si="2"/>
        <v>2120.5</v>
      </c>
      <c r="L23" s="46">
        <v>2150.5</v>
      </c>
      <c r="M23" s="45">
        <v>2150.5</v>
      </c>
      <c r="N23" s="44">
        <f t="shared" si="3"/>
        <v>2150.5</v>
      </c>
      <c r="O23" s="46">
        <v>2158</v>
      </c>
      <c r="P23" s="45">
        <v>2158</v>
      </c>
      <c r="Q23" s="44">
        <f t="shared" si="4"/>
        <v>2158</v>
      </c>
      <c r="R23" s="52">
        <v>2073</v>
      </c>
      <c r="S23" s="51">
        <v>1.2372000000000001</v>
      </c>
      <c r="T23" s="51">
        <v>1.1211</v>
      </c>
      <c r="U23" s="50">
        <v>106.86</v>
      </c>
      <c r="V23" s="43">
        <v>1675.56</v>
      </c>
      <c r="W23" s="43">
        <v>1677.57</v>
      </c>
      <c r="X23" s="49">
        <f t="shared" si="5"/>
        <v>1849.0767995718491</v>
      </c>
      <c r="Y23" s="48">
        <v>1.2378</v>
      </c>
    </row>
    <row r="24" spans="2:25" x14ac:dyDescent="0.2">
      <c r="B24" s="47">
        <v>44004</v>
      </c>
      <c r="C24" s="46">
        <v>2070</v>
      </c>
      <c r="D24" s="45">
        <v>2070</v>
      </c>
      <c r="E24" s="44">
        <f t="shared" si="0"/>
        <v>2070</v>
      </c>
      <c r="F24" s="46">
        <v>2067</v>
      </c>
      <c r="G24" s="45">
        <v>2067</v>
      </c>
      <c r="H24" s="44">
        <f t="shared" si="1"/>
        <v>2067</v>
      </c>
      <c r="I24" s="46">
        <v>2109</v>
      </c>
      <c r="J24" s="45">
        <v>2109</v>
      </c>
      <c r="K24" s="44">
        <f t="shared" si="2"/>
        <v>2109</v>
      </c>
      <c r="L24" s="46">
        <v>2137</v>
      </c>
      <c r="M24" s="45">
        <v>2137</v>
      </c>
      <c r="N24" s="44">
        <f t="shared" si="3"/>
        <v>2137</v>
      </c>
      <c r="O24" s="46">
        <v>2144.5</v>
      </c>
      <c r="P24" s="45">
        <v>2144.5</v>
      </c>
      <c r="Q24" s="44">
        <f t="shared" si="4"/>
        <v>2144.5</v>
      </c>
      <c r="R24" s="52">
        <v>2070</v>
      </c>
      <c r="S24" s="51">
        <v>1.2404999999999999</v>
      </c>
      <c r="T24" s="51">
        <v>1.1213</v>
      </c>
      <c r="U24" s="50">
        <v>106.94</v>
      </c>
      <c r="V24" s="43">
        <v>1668.68</v>
      </c>
      <c r="W24" s="43">
        <v>1666.26</v>
      </c>
      <c r="X24" s="49">
        <f t="shared" si="5"/>
        <v>1846.0715241237849</v>
      </c>
      <c r="Y24" s="48">
        <v>1.2404999999999999</v>
      </c>
    </row>
    <row r="25" spans="2:25" x14ac:dyDescent="0.2">
      <c r="B25" s="47">
        <v>44005</v>
      </c>
      <c r="C25" s="46">
        <v>2052</v>
      </c>
      <c r="D25" s="45">
        <v>2052</v>
      </c>
      <c r="E25" s="44">
        <f t="shared" si="0"/>
        <v>2052</v>
      </c>
      <c r="F25" s="46">
        <v>2057.5</v>
      </c>
      <c r="G25" s="45">
        <v>2057.5</v>
      </c>
      <c r="H25" s="44">
        <f t="shared" si="1"/>
        <v>2057.5</v>
      </c>
      <c r="I25" s="46">
        <v>2103.5</v>
      </c>
      <c r="J25" s="45">
        <v>2103.5</v>
      </c>
      <c r="K25" s="44">
        <f t="shared" si="2"/>
        <v>2103.5</v>
      </c>
      <c r="L25" s="46">
        <v>2131.5</v>
      </c>
      <c r="M25" s="45">
        <v>2131.5</v>
      </c>
      <c r="N25" s="44">
        <f t="shared" si="3"/>
        <v>2131.5</v>
      </c>
      <c r="O25" s="46">
        <v>2139</v>
      </c>
      <c r="P25" s="45">
        <v>2139</v>
      </c>
      <c r="Q25" s="44">
        <f t="shared" si="4"/>
        <v>2139</v>
      </c>
      <c r="R25" s="52">
        <v>2052</v>
      </c>
      <c r="S25" s="51">
        <v>1.2470000000000001</v>
      </c>
      <c r="T25" s="51">
        <v>1.1306</v>
      </c>
      <c r="U25" s="50">
        <v>106.99</v>
      </c>
      <c r="V25" s="43">
        <v>1645.55</v>
      </c>
      <c r="W25" s="43">
        <v>1649.96</v>
      </c>
      <c r="X25" s="49">
        <f t="shared" si="5"/>
        <v>1814.9655050415709</v>
      </c>
      <c r="Y25" s="48">
        <v>1.2470000000000001</v>
      </c>
    </row>
    <row r="26" spans="2:25" x14ac:dyDescent="0.2">
      <c r="B26" s="47">
        <v>44006</v>
      </c>
      <c r="C26" s="46">
        <v>2014.5</v>
      </c>
      <c r="D26" s="45">
        <v>2014.5</v>
      </c>
      <c r="E26" s="44">
        <f t="shared" si="0"/>
        <v>2014.5</v>
      </c>
      <c r="F26" s="46">
        <v>2022.5</v>
      </c>
      <c r="G26" s="45">
        <v>2022.5</v>
      </c>
      <c r="H26" s="44">
        <f t="shared" si="1"/>
        <v>2022.5</v>
      </c>
      <c r="I26" s="46">
        <v>2068.5</v>
      </c>
      <c r="J26" s="45">
        <v>2068.5</v>
      </c>
      <c r="K26" s="44">
        <f t="shared" si="2"/>
        <v>2068.5</v>
      </c>
      <c r="L26" s="46">
        <v>2096.5</v>
      </c>
      <c r="M26" s="45">
        <v>2096.5</v>
      </c>
      <c r="N26" s="44">
        <f t="shared" si="3"/>
        <v>2096.5</v>
      </c>
      <c r="O26" s="46">
        <v>2104</v>
      </c>
      <c r="P26" s="45">
        <v>2104</v>
      </c>
      <c r="Q26" s="44">
        <f t="shared" si="4"/>
        <v>2104</v>
      </c>
      <c r="R26" s="52">
        <v>2014.5</v>
      </c>
      <c r="S26" s="51">
        <v>1.2488999999999999</v>
      </c>
      <c r="T26" s="51">
        <v>1.1283000000000001</v>
      </c>
      <c r="U26" s="50">
        <v>106.59</v>
      </c>
      <c r="V26" s="43">
        <v>1613.02</v>
      </c>
      <c r="W26" s="43">
        <v>1619.43</v>
      </c>
      <c r="X26" s="49">
        <f t="shared" si="5"/>
        <v>1785.4294070725869</v>
      </c>
      <c r="Y26" s="48">
        <v>1.2488999999999999</v>
      </c>
    </row>
    <row r="27" spans="2:25" x14ac:dyDescent="0.2">
      <c r="B27" s="47">
        <v>44007</v>
      </c>
      <c r="C27" s="46">
        <v>2029</v>
      </c>
      <c r="D27" s="45">
        <v>2029</v>
      </c>
      <c r="E27" s="44">
        <f t="shared" si="0"/>
        <v>2029</v>
      </c>
      <c r="F27" s="46">
        <v>2036.5</v>
      </c>
      <c r="G27" s="45">
        <v>2036.5</v>
      </c>
      <c r="H27" s="44">
        <f t="shared" si="1"/>
        <v>2036.5</v>
      </c>
      <c r="I27" s="46">
        <v>2080.5</v>
      </c>
      <c r="J27" s="45">
        <v>2080.5</v>
      </c>
      <c r="K27" s="44">
        <f t="shared" si="2"/>
        <v>2080.5</v>
      </c>
      <c r="L27" s="46">
        <v>2108.5</v>
      </c>
      <c r="M27" s="45">
        <v>2108.5</v>
      </c>
      <c r="N27" s="44">
        <f t="shared" si="3"/>
        <v>2108.5</v>
      </c>
      <c r="O27" s="46">
        <v>2116</v>
      </c>
      <c r="P27" s="45">
        <v>2116</v>
      </c>
      <c r="Q27" s="44">
        <f t="shared" si="4"/>
        <v>2116</v>
      </c>
      <c r="R27" s="52">
        <v>2029</v>
      </c>
      <c r="S27" s="51">
        <v>1.2417</v>
      </c>
      <c r="T27" s="51">
        <v>1.1196999999999999</v>
      </c>
      <c r="U27" s="50">
        <v>107.41</v>
      </c>
      <c r="V27" s="43">
        <v>1634.05</v>
      </c>
      <c r="W27" s="43">
        <v>1640.09</v>
      </c>
      <c r="X27" s="49">
        <f t="shared" si="5"/>
        <v>1812.0925247834243</v>
      </c>
      <c r="Y27" s="48">
        <v>1.2417</v>
      </c>
    </row>
    <row r="28" spans="2:25" x14ac:dyDescent="0.2">
      <c r="B28" s="47">
        <v>44008</v>
      </c>
      <c r="C28" s="46">
        <v>2057</v>
      </c>
      <c r="D28" s="45">
        <v>2057</v>
      </c>
      <c r="E28" s="44">
        <f t="shared" si="0"/>
        <v>2057</v>
      </c>
      <c r="F28" s="46">
        <v>2067.5</v>
      </c>
      <c r="G28" s="45">
        <v>2067.5</v>
      </c>
      <c r="H28" s="44">
        <f t="shared" si="1"/>
        <v>2067.5</v>
      </c>
      <c r="I28" s="46">
        <v>2111.5</v>
      </c>
      <c r="J28" s="45">
        <v>2111.5</v>
      </c>
      <c r="K28" s="44">
        <f t="shared" si="2"/>
        <v>2111.5</v>
      </c>
      <c r="L28" s="46">
        <v>2139.5</v>
      </c>
      <c r="M28" s="45">
        <v>2139.5</v>
      </c>
      <c r="N28" s="44">
        <f t="shared" si="3"/>
        <v>2139.5</v>
      </c>
      <c r="O28" s="46">
        <v>2147</v>
      </c>
      <c r="P28" s="45">
        <v>2147</v>
      </c>
      <c r="Q28" s="44">
        <f t="shared" si="4"/>
        <v>2147</v>
      </c>
      <c r="R28" s="52">
        <v>2057</v>
      </c>
      <c r="S28" s="51">
        <v>1.2390000000000001</v>
      </c>
      <c r="T28" s="51">
        <v>1.1212</v>
      </c>
      <c r="U28" s="50">
        <v>106</v>
      </c>
      <c r="V28" s="43">
        <v>1660.21</v>
      </c>
      <c r="W28" s="43">
        <v>1668.68</v>
      </c>
      <c r="X28" s="49">
        <f t="shared" si="5"/>
        <v>1834.6414555833037</v>
      </c>
      <c r="Y28" s="48">
        <v>1.2390000000000001</v>
      </c>
    </row>
    <row r="29" spans="2:25" x14ac:dyDescent="0.2">
      <c r="B29" s="47">
        <v>44011</v>
      </c>
      <c r="C29" s="46">
        <v>2022.5</v>
      </c>
      <c r="D29" s="45">
        <v>2022.5</v>
      </c>
      <c r="E29" s="44">
        <f t="shared" si="0"/>
        <v>2022.5</v>
      </c>
      <c r="F29" s="46">
        <v>2030.5</v>
      </c>
      <c r="G29" s="45">
        <v>2030.5</v>
      </c>
      <c r="H29" s="44">
        <f t="shared" si="1"/>
        <v>2030.5</v>
      </c>
      <c r="I29" s="46">
        <v>2075</v>
      </c>
      <c r="J29" s="45">
        <v>2075</v>
      </c>
      <c r="K29" s="44">
        <f t="shared" si="2"/>
        <v>2075</v>
      </c>
      <c r="L29" s="46">
        <v>2103</v>
      </c>
      <c r="M29" s="45">
        <v>2103</v>
      </c>
      <c r="N29" s="44">
        <f t="shared" si="3"/>
        <v>2103</v>
      </c>
      <c r="O29" s="46">
        <v>2110.5</v>
      </c>
      <c r="P29" s="45">
        <v>2110.5</v>
      </c>
      <c r="Q29" s="44">
        <f t="shared" si="4"/>
        <v>2110.5</v>
      </c>
      <c r="R29" s="52">
        <v>2022.5</v>
      </c>
      <c r="S29" s="51">
        <v>1.2317</v>
      </c>
      <c r="T29" s="51">
        <v>1.1278999999999999</v>
      </c>
      <c r="U29" s="50">
        <v>107.27</v>
      </c>
      <c r="V29" s="43">
        <v>1642.04</v>
      </c>
      <c r="W29" s="43">
        <v>1647.73</v>
      </c>
      <c r="X29" s="49">
        <f t="shared" si="5"/>
        <v>1793.1554215799274</v>
      </c>
      <c r="Y29" s="48">
        <v>1.2323</v>
      </c>
    </row>
    <row r="30" spans="2:25" x14ac:dyDescent="0.2">
      <c r="B30" s="47">
        <v>44012</v>
      </c>
      <c r="C30" s="46">
        <v>2056.5</v>
      </c>
      <c r="D30" s="45">
        <v>2056.5</v>
      </c>
      <c r="E30" s="44">
        <f t="shared" si="0"/>
        <v>2056.5</v>
      </c>
      <c r="F30" s="46">
        <v>2067</v>
      </c>
      <c r="G30" s="45">
        <v>2067</v>
      </c>
      <c r="H30" s="44">
        <f t="shared" si="1"/>
        <v>2067</v>
      </c>
      <c r="I30" s="46">
        <v>2112</v>
      </c>
      <c r="J30" s="45">
        <v>2112</v>
      </c>
      <c r="K30" s="44">
        <f t="shared" si="2"/>
        <v>2112</v>
      </c>
      <c r="L30" s="46">
        <v>2140</v>
      </c>
      <c r="M30" s="45">
        <v>2140</v>
      </c>
      <c r="N30" s="44">
        <f t="shared" si="3"/>
        <v>2140</v>
      </c>
      <c r="O30" s="46">
        <v>2147.5</v>
      </c>
      <c r="P30" s="45">
        <v>2147.5</v>
      </c>
      <c r="Q30" s="44">
        <f t="shared" si="4"/>
        <v>2147.5</v>
      </c>
      <c r="R30" s="52">
        <v>2056.5</v>
      </c>
      <c r="S30" s="51">
        <v>1.2272000000000001</v>
      </c>
      <c r="T30" s="51">
        <v>1.1194</v>
      </c>
      <c r="U30" s="50">
        <v>107.77</v>
      </c>
      <c r="V30" s="43">
        <v>1675.77</v>
      </c>
      <c r="W30" s="43">
        <v>1683.5</v>
      </c>
      <c r="X30" s="49">
        <f t="shared" si="5"/>
        <v>1837.1448990530641</v>
      </c>
      <c r="Y30" s="48">
        <v>1.2278</v>
      </c>
    </row>
    <row r="31" spans="2:25" s="10" customFormat="1" x14ac:dyDescent="0.2">
      <c r="B31" s="42" t="s">
        <v>11</v>
      </c>
      <c r="C31" s="41">
        <f>ROUND(AVERAGE(C9:C30),2)</f>
        <v>2020.61</v>
      </c>
      <c r="D31" s="40">
        <f>ROUND(AVERAGE(D9:D30),2)</f>
        <v>2020.61</v>
      </c>
      <c r="E31" s="39">
        <f>ROUND(AVERAGE(C31:D31),2)</f>
        <v>2020.61</v>
      </c>
      <c r="F31" s="41">
        <f>ROUND(AVERAGE(F9:F30),2)</f>
        <v>2027.57</v>
      </c>
      <c r="G31" s="40">
        <f>ROUND(AVERAGE(G9:G30),2)</f>
        <v>2027.57</v>
      </c>
      <c r="H31" s="39">
        <f>ROUND(AVERAGE(F31:G31),2)</f>
        <v>2027.57</v>
      </c>
      <c r="I31" s="41">
        <f>ROUND(AVERAGE(I9:I30),2)</f>
        <v>2076.4299999999998</v>
      </c>
      <c r="J31" s="40">
        <f>ROUND(AVERAGE(J9:J30),2)</f>
        <v>2076.4299999999998</v>
      </c>
      <c r="K31" s="39">
        <f>ROUND(AVERAGE(I31:J31),2)</f>
        <v>2076.4299999999998</v>
      </c>
      <c r="L31" s="41">
        <f>ROUND(AVERAGE(L9:L30),2)</f>
        <v>2109.3200000000002</v>
      </c>
      <c r="M31" s="40">
        <f>ROUND(AVERAGE(M9:M30),2)</f>
        <v>2109.3200000000002</v>
      </c>
      <c r="N31" s="39">
        <f>ROUND(AVERAGE(L31:M31),2)</f>
        <v>2109.3200000000002</v>
      </c>
      <c r="O31" s="41">
        <f>ROUND(AVERAGE(O9:O30),2)</f>
        <v>2115.8200000000002</v>
      </c>
      <c r="P31" s="40">
        <f>ROUND(AVERAGE(P9:P30),2)</f>
        <v>2115.8200000000002</v>
      </c>
      <c r="Q31" s="39">
        <f>ROUND(AVERAGE(O31:P31),2)</f>
        <v>2115.8200000000002</v>
      </c>
      <c r="R31" s="38">
        <f>ROUND(AVERAGE(R9:R30),2)</f>
        <v>2020.61</v>
      </c>
      <c r="S31" s="37">
        <f>ROUND(AVERAGE(S9:S30),4)</f>
        <v>1.2522</v>
      </c>
      <c r="T31" s="36">
        <f>ROUND(AVERAGE(T9:T30),4)</f>
        <v>1.1254999999999999</v>
      </c>
      <c r="U31" s="175">
        <f>ROUND(AVERAGE(U9:U30),2)</f>
        <v>107.57</v>
      </c>
      <c r="V31" s="35">
        <f>AVERAGE(V9:V30)</f>
        <v>1613.8945454545451</v>
      </c>
      <c r="W31" s="35">
        <f>AVERAGE(W9:W30)</f>
        <v>1618.8390909090908</v>
      </c>
      <c r="X31" s="35">
        <f>AVERAGE(X9:X30)</f>
        <v>1795.3553880934064</v>
      </c>
      <c r="Y31" s="34">
        <f>AVERAGE(Y9:Y30)</f>
        <v>1.2527136363636364</v>
      </c>
    </row>
    <row r="32" spans="2:25" s="5" customFormat="1" x14ac:dyDescent="0.2">
      <c r="B32" s="33" t="s">
        <v>12</v>
      </c>
      <c r="C32" s="32">
        <f t="shared" ref="C32:Y32" si="6">MAX(C9:C30)</f>
        <v>2073</v>
      </c>
      <c r="D32" s="31">
        <f t="shared" si="6"/>
        <v>2073</v>
      </c>
      <c r="E32" s="30">
        <f t="shared" si="6"/>
        <v>2073</v>
      </c>
      <c r="F32" s="32">
        <f t="shared" si="6"/>
        <v>2076.5</v>
      </c>
      <c r="G32" s="31">
        <f t="shared" si="6"/>
        <v>2076.5</v>
      </c>
      <c r="H32" s="30">
        <f t="shared" si="6"/>
        <v>2076.5</v>
      </c>
      <c r="I32" s="32">
        <f t="shared" si="6"/>
        <v>2120.5</v>
      </c>
      <c r="J32" s="31">
        <f t="shared" si="6"/>
        <v>2120.5</v>
      </c>
      <c r="K32" s="30">
        <f t="shared" si="6"/>
        <v>2120.5</v>
      </c>
      <c r="L32" s="32">
        <f t="shared" si="6"/>
        <v>2150.5</v>
      </c>
      <c r="M32" s="31">
        <f t="shared" si="6"/>
        <v>2150.5</v>
      </c>
      <c r="N32" s="30">
        <f t="shared" si="6"/>
        <v>2150.5</v>
      </c>
      <c r="O32" s="32">
        <f t="shared" si="6"/>
        <v>2158</v>
      </c>
      <c r="P32" s="31">
        <f t="shared" si="6"/>
        <v>2158</v>
      </c>
      <c r="Q32" s="30">
        <f t="shared" si="6"/>
        <v>2158</v>
      </c>
      <c r="R32" s="29">
        <f t="shared" si="6"/>
        <v>2073</v>
      </c>
      <c r="S32" s="28">
        <f t="shared" si="6"/>
        <v>1.2793000000000001</v>
      </c>
      <c r="T32" s="27">
        <f t="shared" si="6"/>
        <v>1.1387</v>
      </c>
      <c r="U32" s="26">
        <f t="shared" si="6"/>
        <v>109.42</v>
      </c>
      <c r="V32" s="25">
        <f t="shared" si="6"/>
        <v>1675.77</v>
      </c>
      <c r="W32" s="25">
        <f t="shared" si="6"/>
        <v>1683.5</v>
      </c>
      <c r="X32" s="25">
        <f t="shared" si="6"/>
        <v>1849.0767995718491</v>
      </c>
      <c r="Y32" s="24">
        <f t="shared" si="6"/>
        <v>1.2799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1955.5</v>
      </c>
      <c r="D33" s="21">
        <f t="shared" si="7"/>
        <v>1955.5</v>
      </c>
      <c r="E33" s="20">
        <f t="shared" si="7"/>
        <v>1955.5</v>
      </c>
      <c r="F33" s="22">
        <f t="shared" si="7"/>
        <v>1968</v>
      </c>
      <c r="G33" s="21">
        <f t="shared" si="7"/>
        <v>1968</v>
      </c>
      <c r="H33" s="20">
        <f t="shared" si="7"/>
        <v>1968</v>
      </c>
      <c r="I33" s="22">
        <f t="shared" si="7"/>
        <v>2019</v>
      </c>
      <c r="J33" s="21">
        <f t="shared" si="7"/>
        <v>2019</v>
      </c>
      <c r="K33" s="20">
        <f t="shared" si="7"/>
        <v>2019</v>
      </c>
      <c r="L33" s="22">
        <f t="shared" si="7"/>
        <v>2054</v>
      </c>
      <c r="M33" s="21">
        <f t="shared" si="7"/>
        <v>2054</v>
      </c>
      <c r="N33" s="20">
        <f t="shared" si="7"/>
        <v>2054</v>
      </c>
      <c r="O33" s="22">
        <f t="shared" si="7"/>
        <v>2059.5</v>
      </c>
      <c r="P33" s="21">
        <f t="shared" si="7"/>
        <v>2059.5</v>
      </c>
      <c r="Q33" s="20">
        <f t="shared" si="7"/>
        <v>2059.5</v>
      </c>
      <c r="R33" s="19">
        <f t="shared" si="7"/>
        <v>1955.5</v>
      </c>
      <c r="S33" s="18">
        <f t="shared" si="7"/>
        <v>1.2272000000000001</v>
      </c>
      <c r="T33" s="17">
        <f t="shared" si="7"/>
        <v>1.1112</v>
      </c>
      <c r="U33" s="16">
        <f t="shared" si="7"/>
        <v>106</v>
      </c>
      <c r="V33" s="15">
        <f t="shared" si="7"/>
        <v>1558.54</v>
      </c>
      <c r="W33" s="15">
        <f t="shared" si="7"/>
        <v>1567.63</v>
      </c>
      <c r="X33" s="15">
        <f t="shared" si="7"/>
        <v>1737.1413342808919</v>
      </c>
      <c r="Y33" s="14">
        <f t="shared" si="7"/>
        <v>1.2278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43983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43983</v>
      </c>
      <c r="C9" s="46">
        <v>1635</v>
      </c>
      <c r="D9" s="45">
        <v>1635</v>
      </c>
      <c r="E9" s="44">
        <f t="shared" ref="E9:E30" si="0">AVERAGE(C9:D9)</f>
        <v>1635</v>
      </c>
      <c r="F9" s="46">
        <v>1656.5</v>
      </c>
      <c r="G9" s="45">
        <v>1656.5</v>
      </c>
      <c r="H9" s="44">
        <f t="shared" ref="H9:H30" si="1">AVERAGE(F9:G9)</f>
        <v>1656.5</v>
      </c>
      <c r="I9" s="46">
        <v>1705.5</v>
      </c>
      <c r="J9" s="45">
        <v>1705.5</v>
      </c>
      <c r="K9" s="44">
        <f t="shared" ref="K9:K30" si="2">AVERAGE(I9:J9)</f>
        <v>1705.5</v>
      </c>
      <c r="L9" s="46">
        <v>1739.5</v>
      </c>
      <c r="M9" s="45">
        <v>1739.5</v>
      </c>
      <c r="N9" s="44">
        <f t="shared" ref="N9:N30" si="3">AVERAGE(L9:M9)</f>
        <v>1739.5</v>
      </c>
      <c r="O9" s="46">
        <v>1759.5</v>
      </c>
      <c r="P9" s="45">
        <v>1759.5</v>
      </c>
      <c r="Q9" s="44">
        <f t="shared" ref="Q9:Q30" si="4">AVERAGE(O9:P9)</f>
        <v>1759.5</v>
      </c>
      <c r="R9" s="52">
        <v>1635</v>
      </c>
      <c r="S9" s="51">
        <v>1.2388999999999999</v>
      </c>
      <c r="T9" s="53">
        <v>1.1112</v>
      </c>
      <c r="U9" s="50">
        <v>107.74</v>
      </c>
      <c r="V9" s="43">
        <v>1319.72</v>
      </c>
      <c r="W9" s="43">
        <v>1336.53</v>
      </c>
      <c r="X9" s="49">
        <f t="shared" ref="X9:X30" si="5">R9/T9</f>
        <v>1471.3822894168468</v>
      </c>
      <c r="Y9" s="48">
        <v>1.2394000000000001</v>
      </c>
    </row>
    <row r="10" spans="1:25" x14ac:dyDescent="0.2">
      <c r="B10" s="47">
        <v>43984</v>
      </c>
      <c r="C10" s="46">
        <v>1663</v>
      </c>
      <c r="D10" s="45">
        <v>1663</v>
      </c>
      <c r="E10" s="44">
        <f t="shared" si="0"/>
        <v>1663</v>
      </c>
      <c r="F10" s="46">
        <v>1686</v>
      </c>
      <c r="G10" s="45">
        <v>1686</v>
      </c>
      <c r="H10" s="44">
        <f t="shared" si="1"/>
        <v>1686</v>
      </c>
      <c r="I10" s="46">
        <v>1735</v>
      </c>
      <c r="J10" s="45">
        <v>1735</v>
      </c>
      <c r="K10" s="44">
        <f t="shared" si="2"/>
        <v>1735</v>
      </c>
      <c r="L10" s="46">
        <v>1769</v>
      </c>
      <c r="M10" s="45">
        <v>1769</v>
      </c>
      <c r="N10" s="44">
        <f t="shared" si="3"/>
        <v>1769</v>
      </c>
      <c r="O10" s="46">
        <v>1789</v>
      </c>
      <c r="P10" s="45">
        <v>1789</v>
      </c>
      <c r="Q10" s="44">
        <f t="shared" si="4"/>
        <v>1789</v>
      </c>
      <c r="R10" s="52">
        <v>1663</v>
      </c>
      <c r="S10" s="51">
        <v>1.254</v>
      </c>
      <c r="T10" s="51">
        <v>1.1169</v>
      </c>
      <c r="U10" s="50">
        <v>107.91</v>
      </c>
      <c r="V10" s="43">
        <v>1326.16</v>
      </c>
      <c r="W10" s="43">
        <v>1343.96</v>
      </c>
      <c r="X10" s="49">
        <f t="shared" si="5"/>
        <v>1488.9426090070731</v>
      </c>
      <c r="Y10" s="48">
        <v>1.2544999999999999</v>
      </c>
    </row>
    <row r="11" spans="1:25" x14ac:dyDescent="0.2">
      <c r="B11" s="47">
        <v>43985</v>
      </c>
      <c r="C11" s="46">
        <v>1696</v>
      </c>
      <c r="D11" s="45">
        <v>1696</v>
      </c>
      <c r="E11" s="44">
        <f t="shared" si="0"/>
        <v>1696</v>
      </c>
      <c r="F11" s="46">
        <v>1718</v>
      </c>
      <c r="G11" s="45">
        <v>1718</v>
      </c>
      <c r="H11" s="44">
        <f t="shared" si="1"/>
        <v>1718</v>
      </c>
      <c r="I11" s="46">
        <v>1766</v>
      </c>
      <c r="J11" s="45">
        <v>1766</v>
      </c>
      <c r="K11" s="44">
        <f t="shared" si="2"/>
        <v>1766</v>
      </c>
      <c r="L11" s="46">
        <v>1800.5</v>
      </c>
      <c r="M11" s="45">
        <v>1800.5</v>
      </c>
      <c r="N11" s="44">
        <f t="shared" si="3"/>
        <v>1800.5</v>
      </c>
      <c r="O11" s="46">
        <v>1820.5</v>
      </c>
      <c r="P11" s="45">
        <v>1820.5</v>
      </c>
      <c r="Q11" s="44">
        <f t="shared" si="4"/>
        <v>1820.5</v>
      </c>
      <c r="R11" s="52">
        <v>1696</v>
      </c>
      <c r="S11" s="51">
        <v>1.2563</v>
      </c>
      <c r="T11" s="51">
        <v>1.1194999999999999</v>
      </c>
      <c r="U11" s="50">
        <v>108.59</v>
      </c>
      <c r="V11" s="43">
        <v>1350</v>
      </c>
      <c r="W11" s="43">
        <v>1366.85</v>
      </c>
      <c r="X11" s="49">
        <f t="shared" si="5"/>
        <v>1514.9620366234926</v>
      </c>
      <c r="Y11" s="48">
        <v>1.2568999999999999</v>
      </c>
    </row>
    <row r="12" spans="1:25" x14ac:dyDescent="0.2">
      <c r="B12" s="47">
        <v>43986</v>
      </c>
      <c r="C12" s="46">
        <v>1679.5</v>
      </c>
      <c r="D12" s="45">
        <v>1679.5</v>
      </c>
      <c r="E12" s="44">
        <f t="shared" si="0"/>
        <v>1679.5</v>
      </c>
      <c r="F12" s="46">
        <v>1696.5</v>
      </c>
      <c r="G12" s="45">
        <v>1696.5</v>
      </c>
      <c r="H12" s="44">
        <f t="shared" si="1"/>
        <v>1696.5</v>
      </c>
      <c r="I12" s="46">
        <v>1744.5</v>
      </c>
      <c r="J12" s="45">
        <v>1744.5</v>
      </c>
      <c r="K12" s="44">
        <f t="shared" si="2"/>
        <v>1744.5</v>
      </c>
      <c r="L12" s="46">
        <v>1779</v>
      </c>
      <c r="M12" s="45">
        <v>1779</v>
      </c>
      <c r="N12" s="44">
        <f t="shared" si="3"/>
        <v>1779</v>
      </c>
      <c r="O12" s="46">
        <v>1800</v>
      </c>
      <c r="P12" s="45">
        <v>1800</v>
      </c>
      <c r="Q12" s="44">
        <f t="shared" si="4"/>
        <v>1800</v>
      </c>
      <c r="R12" s="52">
        <v>1679.5</v>
      </c>
      <c r="S12" s="51">
        <v>1.2568999999999999</v>
      </c>
      <c r="T12" s="51">
        <v>1.1269</v>
      </c>
      <c r="U12" s="50">
        <v>108.9</v>
      </c>
      <c r="V12" s="43">
        <v>1336.22</v>
      </c>
      <c r="W12" s="43">
        <v>1349.11</v>
      </c>
      <c r="X12" s="49">
        <f t="shared" si="5"/>
        <v>1490.3718164877096</v>
      </c>
      <c r="Y12" s="48">
        <v>1.2575000000000001</v>
      </c>
    </row>
    <row r="13" spans="1:25" x14ac:dyDescent="0.2">
      <c r="B13" s="47">
        <v>43987</v>
      </c>
      <c r="C13" s="46">
        <v>1749.5</v>
      </c>
      <c r="D13" s="45">
        <v>1749.5</v>
      </c>
      <c r="E13" s="44">
        <f t="shared" si="0"/>
        <v>1749.5</v>
      </c>
      <c r="F13" s="46">
        <v>1767.5</v>
      </c>
      <c r="G13" s="45">
        <v>1767.5</v>
      </c>
      <c r="H13" s="44">
        <f t="shared" si="1"/>
        <v>1767.5</v>
      </c>
      <c r="I13" s="46">
        <v>1814.5</v>
      </c>
      <c r="J13" s="45">
        <v>1814.5</v>
      </c>
      <c r="K13" s="44">
        <f t="shared" si="2"/>
        <v>1814.5</v>
      </c>
      <c r="L13" s="46">
        <v>1848</v>
      </c>
      <c r="M13" s="45">
        <v>1848</v>
      </c>
      <c r="N13" s="44">
        <f t="shared" si="3"/>
        <v>1848</v>
      </c>
      <c r="O13" s="46">
        <v>1869</v>
      </c>
      <c r="P13" s="45">
        <v>1869</v>
      </c>
      <c r="Q13" s="44">
        <f t="shared" si="4"/>
        <v>1869</v>
      </c>
      <c r="R13" s="52">
        <v>1749.5</v>
      </c>
      <c r="S13" s="51">
        <v>1.2663</v>
      </c>
      <c r="T13" s="51">
        <v>1.1335999999999999</v>
      </c>
      <c r="U13" s="50">
        <v>109.24</v>
      </c>
      <c r="V13" s="43">
        <v>1381.58</v>
      </c>
      <c r="W13" s="43">
        <v>1395.25</v>
      </c>
      <c r="X13" s="49">
        <f t="shared" si="5"/>
        <v>1543.3133380381087</v>
      </c>
      <c r="Y13" s="48">
        <v>1.2667999999999999</v>
      </c>
    </row>
    <row r="14" spans="1:25" x14ac:dyDescent="0.2">
      <c r="B14" s="47">
        <v>43990</v>
      </c>
      <c r="C14" s="46">
        <v>1738</v>
      </c>
      <c r="D14" s="45">
        <v>1738</v>
      </c>
      <c r="E14" s="44">
        <f t="shared" si="0"/>
        <v>1738</v>
      </c>
      <c r="F14" s="46">
        <v>1755</v>
      </c>
      <c r="G14" s="45">
        <v>1755</v>
      </c>
      <c r="H14" s="44">
        <f t="shared" si="1"/>
        <v>1755</v>
      </c>
      <c r="I14" s="46">
        <v>1801</v>
      </c>
      <c r="J14" s="45">
        <v>1801</v>
      </c>
      <c r="K14" s="44">
        <f t="shared" si="2"/>
        <v>1801</v>
      </c>
      <c r="L14" s="46">
        <v>1835</v>
      </c>
      <c r="M14" s="45">
        <v>1835</v>
      </c>
      <c r="N14" s="44">
        <f t="shared" si="3"/>
        <v>1835</v>
      </c>
      <c r="O14" s="46">
        <v>1856</v>
      </c>
      <c r="P14" s="45">
        <v>1856</v>
      </c>
      <c r="Q14" s="44">
        <f t="shared" si="4"/>
        <v>1856</v>
      </c>
      <c r="R14" s="52">
        <v>1738</v>
      </c>
      <c r="S14" s="51">
        <v>1.2656000000000001</v>
      </c>
      <c r="T14" s="51">
        <v>1.1276999999999999</v>
      </c>
      <c r="U14" s="50">
        <v>109.42</v>
      </c>
      <c r="V14" s="43">
        <v>1373.26</v>
      </c>
      <c r="W14" s="43">
        <v>1386.04</v>
      </c>
      <c r="X14" s="49">
        <f t="shared" si="5"/>
        <v>1541.1900328101447</v>
      </c>
      <c r="Y14" s="48">
        <v>1.2662</v>
      </c>
    </row>
    <row r="15" spans="1:25" x14ac:dyDescent="0.2">
      <c r="B15" s="47">
        <v>43991</v>
      </c>
      <c r="C15" s="46">
        <v>1726</v>
      </c>
      <c r="D15" s="45">
        <v>1726</v>
      </c>
      <c r="E15" s="44">
        <f t="shared" si="0"/>
        <v>1726</v>
      </c>
      <c r="F15" s="46">
        <v>1747</v>
      </c>
      <c r="G15" s="45">
        <v>1747</v>
      </c>
      <c r="H15" s="44">
        <f t="shared" si="1"/>
        <v>1747</v>
      </c>
      <c r="I15" s="46">
        <v>1792</v>
      </c>
      <c r="J15" s="45">
        <v>1792</v>
      </c>
      <c r="K15" s="44">
        <f t="shared" si="2"/>
        <v>1792</v>
      </c>
      <c r="L15" s="46">
        <v>1825.5</v>
      </c>
      <c r="M15" s="45">
        <v>1825.5</v>
      </c>
      <c r="N15" s="44">
        <f t="shared" si="3"/>
        <v>1825.5</v>
      </c>
      <c r="O15" s="46">
        <v>1846.5</v>
      </c>
      <c r="P15" s="45">
        <v>1846.5</v>
      </c>
      <c r="Q15" s="44">
        <f t="shared" si="4"/>
        <v>1846.5</v>
      </c>
      <c r="R15" s="52">
        <v>1726</v>
      </c>
      <c r="S15" s="51">
        <v>1.2669999999999999</v>
      </c>
      <c r="T15" s="51">
        <v>1.1282000000000001</v>
      </c>
      <c r="U15" s="50">
        <v>108.14</v>
      </c>
      <c r="V15" s="43">
        <v>1362.27</v>
      </c>
      <c r="W15" s="43">
        <v>1378.2</v>
      </c>
      <c r="X15" s="49">
        <f t="shared" si="5"/>
        <v>1529.8705903208649</v>
      </c>
      <c r="Y15" s="48">
        <v>1.2676000000000001</v>
      </c>
    </row>
    <row r="16" spans="1:25" x14ac:dyDescent="0.2">
      <c r="B16" s="47">
        <v>43992</v>
      </c>
      <c r="C16" s="46">
        <v>1736.5</v>
      </c>
      <c r="D16" s="45">
        <v>1736.5</v>
      </c>
      <c r="E16" s="44">
        <f t="shared" si="0"/>
        <v>1736.5</v>
      </c>
      <c r="F16" s="46">
        <v>1755.5</v>
      </c>
      <c r="G16" s="45">
        <v>1755.5</v>
      </c>
      <c r="H16" s="44">
        <f t="shared" si="1"/>
        <v>1755.5</v>
      </c>
      <c r="I16" s="46">
        <v>1800</v>
      </c>
      <c r="J16" s="45">
        <v>1800</v>
      </c>
      <c r="K16" s="44">
        <f t="shared" si="2"/>
        <v>1800</v>
      </c>
      <c r="L16" s="46">
        <v>1832</v>
      </c>
      <c r="M16" s="45">
        <v>1832</v>
      </c>
      <c r="N16" s="44">
        <f t="shared" si="3"/>
        <v>1832</v>
      </c>
      <c r="O16" s="46">
        <v>1853</v>
      </c>
      <c r="P16" s="45">
        <v>1853</v>
      </c>
      <c r="Q16" s="44">
        <f t="shared" si="4"/>
        <v>1853</v>
      </c>
      <c r="R16" s="52">
        <v>1736.5</v>
      </c>
      <c r="S16" s="51">
        <v>1.2793000000000001</v>
      </c>
      <c r="T16" s="51">
        <v>1.1387</v>
      </c>
      <c r="U16" s="50">
        <v>107.37</v>
      </c>
      <c r="V16" s="43">
        <v>1357.38</v>
      </c>
      <c r="W16" s="43">
        <v>1371.59</v>
      </c>
      <c r="X16" s="49">
        <f t="shared" si="5"/>
        <v>1524.9846315974355</v>
      </c>
      <c r="Y16" s="48">
        <v>1.2799</v>
      </c>
    </row>
    <row r="17" spans="2:25" x14ac:dyDescent="0.2">
      <c r="B17" s="47">
        <v>43993</v>
      </c>
      <c r="C17" s="46">
        <v>1711</v>
      </c>
      <c r="D17" s="45">
        <v>1711</v>
      </c>
      <c r="E17" s="44">
        <f t="shared" si="0"/>
        <v>1711</v>
      </c>
      <c r="F17" s="46">
        <v>1733.5</v>
      </c>
      <c r="G17" s="45">
        <v>1733.5</v>
      </c>
      <c r="H17" s="44">
        <f t="shared" si="1"/>
        <v>1733.5</v>
      </c>
      <c r="I17" s="46">
        <v>1780.5</v>
      </c>
      <c r="J17" s="45">
        <v>1780.5</v>
      </c>
      <c r="K17" s="44">
        <f t="shared" si="2"/>
        <v>1780.5</v>
      </c>
      <c r="L17" s="46">
        <v>1813</v>
      </c>
      <c r="M17" s="45">
        <v>1813</v>
      </c>
      <c r="N17" s="44">
        <f t="shared" si="3"/>
        <v>1813</v>
      </c>
      <c r="O17" s="46">
        <v>1834</v>
      </c>
      <c r="P17" s="45">
        <v>1834</v>
      </c>
      <c r="Q17" s="44">
        <f t="shared" si="4"/>
        <v>1834</v>
      </c>
      <c r="R17" s="52">
        <v>1711</v>
      </c>
      <c r="S17" s="51">
        <v>1.2653000000000001</v>
      </c>
      <c r="T17" s="51">
        <v>1.1355999999999999</v>
      </c>
      <c r="U17" s="50">
        <v>107.09</v>
      </c>
      <c r="V17" s="43">
        <v>1352.25</v>
      </c>
      <c r="W17" s="43">
        <v>1369.38</v>
      </c>
      <c r="X17" s="49">
        <f t="shared" si="5"/>
        <v>1506.6924973582247</v>
      </c>
      <c r="Y17" s="48">
        <v>1.2659</v>
      </c>
    </row>
    <row r="18" spans="2:25" x14ac:dyDescent="0.2">
      <c r="B18" s="47">
        <v>43994</v>
      </c>
      <c r="C18" s="46">
        <v>1739.5</v>
      </c>
      <c r="D18" s="45">
        <v>1739.5</v>
      </c>
      <c r="E18" s="44">
        <f t="shared" si="0"/>
        <v>1739.5</v>
      </c>
      <c r="F18" s="46">
        <v>1759.5</v>
      </c>
      <c r="G18" s="45">
        <v>1759.5</v>
      </c>
      <c r="H18" s="44">
        <f t="shared" si="1"/>
        <v>1759.5</v>
      </c>
      <c r="I18" s="46">
        <v>1807</v>
      </c>
      <c r="J18" s="45">
        <v>1807</v>
      </c>
      <c r="K18" s="44">
        <f t="shared" si="2"/>
        <v>1807</v>
      </c>
      <c r="L18" s="46">
        <v>1840.5</v>
      </c>
      <c r="M18" s="45">
        <v>1840.5</v>
      </c>
      <c r="N18" s="44">
        <f t="shared" si="3"/>
        <v>1840.5</v>
      </c>
      <c r="O18" s="46">
        <v>1860.5</v>
      </c>
      <c r="P18" s="45">
        <v>1860.5</v>
      </c>
      <c r="Q18" s="44">
        <f t="shared" si="4"/>
        <v>1860.5</v>
      </c>
      <c r="R18" s="52">
        <v>1739.5</v>
      </c>
      <c r="S18" s="51">
        <v>1.262</v>
      </c>
      <c r="T18" s="51">
        <v>1.1309</v>
      </c>
      <c r="U18" s="50">
        <v>107.36</v>
      </c>
      <c r="V18" s="43">
        <v>1378.37</v>
      </c>
      <c r="W18" s="43">
        <v>1393.44</v>
      </c>
      <c r="X18" s="49">
        <f t="shared" si="5"/>
        <v>1538.1554514103811</v>
      </c>
      <c r="Y18" s="48">
        <v>1.2626999999999999</v>
      </c>
    </row>
    <row r="19" spans="2:25" x14ac:dyDescent="0.2">
      <c r="B19" s="47">
        <v>43997</v>
      </c>
      <c r="C19" s="46">
        <v>1718</v>
      </c>
      <c r="D19" s="45">
        <v>1718</v>
      </c>
      <c r="E19" s="44">
        <f t="shared" si="0"/>
        <v>1718</v>
      </c>
      <c r="F19" s="46">
        <v>1740.5</v>
      </c>
      <c r="G19" s="45">
        <v>1740.5</v>
      </c>
      <c r="H19" s="44">
        <f t="shared" si="1"/>
        <v>1740.5</v>
      </c>
      <c r="I19" s="46">
        <v>1788.5</v>
      </c>
      <c r="J19" s="45">
        <v>1788.5</v>
      </c>
      <c r="K19" s="44">
        <f t="shared" si="2"/>
        <v>1788.5</v>
      </c>
      <c r="L19" s="46">
        <v>1820.5</v>
      </c>
      <c r="M19" s="45">
        <v>1820.5</v>
      </c>
      <c r="N19" s="44">
        <f t="shared" si="3"/>
        <v>1820.5</v>
      </c>
      <c r="O19" s="46">
        <v>1840.5</v>
      </c>
      <c r="P19" s="45">
        <v>1840.5</v>
      </c>
      <c r="Q19" s="44">
        <f t="shared" si="4"/>
        <v>1840.5</v>
      </c>
      <c r="R19" s="52">
        <v>1718</v>
      </c>
      <c r="S19" s="51">
        <v>1.2546999999999999</v>
      </c>
      <c r="T19" s="51">
        <v>1.1256999999999999</v>
      </c>
      <c r="U19" s="50">
        <v>107.37</v>
      </c>
      <c r="V19" s="43">
        <v>1369.25</v>
      </c>
      <c r="W19" s="43">
        <v>1386.41</v>
      </c>
      <c r="X19" s="49">
        <f t="shared" si="5"/>
        <v>1526.1614995114153</v>
      </c>
      <c r="Y19" s="48">
        <v>1.2554000000000001</v>
      </c>
    </row>
    <row r="20" spans="2:25" x14ac:dyDescent="0.2">
      <c r="B20" s="47">
        <v>43998</v>
      </c>
      <c r="C20" s="46">
        <v>1760.5</v>
      </c>
      <c r="D20" s="45">
        <v>1760.5</v>
      </c>
      <c r="E20" s="44">
        <f t="shared" si="0"/>
        <v>1760.5</v>
      </c>
      <c r="F20" s="46">
        <v>1780.5</v>
      </c>
      <c r="G20" s="45">
        <v>1780.5</v>
      </c>
      <c r="H20" s="44">
        <f t="shared" si="1"/>
        <v>1780.5</v>
      </c>
      <c r="I20" s="46">
        <v>1828</v>
      </c>
      <c r="J20" s="45">
        <v>1828</v>
      </c>
      <c r="K20" s="44">
        <f t="shared" si="2"/>
        <v>1828</v>
      </c>
      <c r="L20" s="46">
        <v>1862</v>
      </c>
      <c r="M20" s="45">
        <v>1862</v>
      </c>
      <c r="N20" s="44">
        <f t="shared" si="3"/>
        <v>1862</v>
      </c>
      <c r="O20" s="46">
        <v>1882</v>
      </c>
      <c r="P20" s="45">
        <v>1882</v>
      </c>
      <c r="Q20" s="44">
        <f t="shared" si="4"/>
        <v>1882</v>
      </c>
      <c r="R20" s="52">
        <v>1760.5</v>
      </c>
      <c r="S20" s="51">
        <v>1.2649999999999999</v>
      </c>
      <c r="T20" s="51">
        <v>1.1304000000000001</v>
      </c>
      <c r="U20" s="50">
        <v>107.33</v>
      </c>
      <c r="V20" s="43">
        <v>1391.7</v>
      </c>
      <c r="W20" s="43">
        <v>1406.73</v>
      </c>
      <c r="X20" s="49">
        <f t="shared" si="5"/>
        <v>1557.4133050247699</v>
      </c>
      <c r="Y20" s="48">
        <v>1.2657</v>
      </c>
    </row>
    <row r="21" spans="2:25" x14ac:dyDescent="0.2">
      <c r="B21" s="47">
        <v>43999</v>
      </c>
      <c r="C21" s="46">
        <v>1775.5</v>
      </c>
      <c r="D21" s="45">
        <v>1775.5</v>
      </c>
      <c r="E21" s="44">
        <f t="shared" si="0"/>
        <v>1775.5</v>
      </c>
      <c r="F21" s="46">
        <v>1783.5</v>
      </c>
      <c r="G21" s="45">
        <v>1783.5</v>
      </c>
      <c r="H21" s="44">
        <f t="shared" si="1"/>
        <v>1783.5</v>
      </c>
      <c r="I21" s="46">
        <v>1830</v>
      </c>
      <c r="J21" s="45">
        <v>1830</v>
      </c>
      <c r="K21" s="44">
        <f t="shared" si="2"/>
        <v>1830</v>
      </c>
      <c r="L21" s="46">
        <v>1864</v>
      </c>
      <c r="M21" s="45">
        <v>1864</v>
      </c>
      <c r="N21" s="44">
        <f t="shared" si="3"/>
        <v>1864</v>
      </c>
      <c r="O21" s="46">
        <v>1884</v>
      </c>
      <c r="P21" s="45">
        <v>1884</v>
      </c>
      <c r="Q21" s="44">
        <f t="shared" si="4"/>
        <v>1884</v>
      </c>
      <c r="R21" s="52">
        <v>1775.5</v>
      </c>
      <c r="S21" s="51">
        <v>1.2563</v>
      </c>
      <c r="T21" s="51">
        <v>1.1232</v>
      </c>
      <c r="U21" s="50">
        <v>107.38</v>
      </c>
      <c r="V21" s="43">
        <v>1413.28</v>
      </c>
      <c r="W21" s="43">
        <v>1418.85</v>
      </c>
      <c r="X21" s="49">
        <f t="shared" si="5"/>
        <v>1580.7514245014245</v>
      </c>
      <c r="Y21" s="48">
        <v>1.2569999999999999</v>
      </c>
    </row>
    <row r="22" spans="2:25" x14ac:dyDescent="0.2">
      <c r="B22" s="47">
        <v>44000</v>
      </c>
      <c r="C22" s="46">
        <v>1796.5</v>
      </c>
      <c r="D22" s="45">
        <v>1796.5</v>
      </c>
      <c r="E22" s="44">
        <f t="shared" si="0"/>
        <v>1796.5</v>
      </c>
      <c r="F22" s="46">
        <v>1811.5</v>
      </c>
      <c r="G22" s="45">
        <v>1811.5</v>
      </c>
      <c r="H22" s="44">
        <f t="shared" si="1"/>
        <v>1811.5</v>
      </c>
      <c r="I22" s="46">
        <v>1856</v>
      </c>
      <c r="J22" s="45">
        <v>1856</v>
      </c>
      <c r="K22" s="44">
        <f t="shared" si="2"/>
        <v>1856</v>
      </c>
      <c r="L22" s="46">
        <v>1890</v>
      </c>
      <c r="M22" s="45">
        <v>1890</v>
      </c>
      <c r="N22" s="44">
        <f t="shared" si="3"/>
        <v>1890</v>
      </c>
      <c r="O22" s="46">
        <v>1910</v>
      </c>
      <c r="P22" s="45">
        <v>1910</v>
      </c>
      <c r="Q22" s="44">
        <f t="shared" si="4"/>
        <v>1910</v>
      </c>
      <c r="R22" s="52">
        <v>1796.5</v>
      </c>
      <c r="S22" s="51">
        <v>1.2485999999999999</v>
      </c>
      <c r="T22" s="51">
        <v>1.1234999999999999</v>
      </c>
      <c r="U22" s="50">
        <v>106.91</v>
      </c>
      <c r="V22" s="43">
        <v>1438.81</v>
      </c>
      <c r="W22" s="43">
        <v>1450.13</v>
      </c>
      <c r="X22" s="49">
        <f t="shared" si="5"/>
        <v>1599.0209167779262</v>
      </c>
      <c r="Y22" s="48">
        <v>1.2492000000000001</v>
      </c>
    </row>
    <row r="23" spans="2:25" x14ac:dyDescent="0.2">
      <c r="B23" s="47">
        <v>44001</v>
      </c>
      <c r="C23" s="46">
        <v>1777.5</v>
      </c>
      <c r="D23" s="45">
        <v>1777.5</v>
      </c>
      <c r="E23" s="44">
        <f t="shared" si="0"/>
        <v>1777.5</v>
      </c>
      <c r="F23" s="46">
        <v>1788.5</v>
      </c>
      <c r="G23" s="45">
        <v>1788.5</v>
      </c>
      <c r="H23" s="44">
        <f t="shared" si="1"/>
        <v>1788.5</v>
      </c>
      <c r="I23" s="46">
        <v>1835.5</v>
      </c>
      <c r="J23" s="45">
        <v>1835.5</v>
      </c>
      <c r="K23" s="44">
        <f t="shared" si="2"/>
        <v>1835.5</v>
      </c>
      <c r="L23" s="46">
        <v>1869.5</v>
      </c>
      <c r="M23" s="45">
        <v>1869.5</v>
      </c>
      <c r="N23" s="44">
        <f t="shared" si="3"/>
        <v>1869.5</v>
      </c>
      <c r="O23" s="46">
        <v>1889.5</v>
      </c>
      <c r="P23" s="45">
        <v>1889.5</v>
      </c>
      <c r="Q23" s="44">
        <f t="shared" si="4"/>
        <v>1889.5</v>
      </c>
      <c r="R23" s="52">
        <v>1777.5</v>
      </c>
      <c r="S23" s="51">
        <v>1.2372000000000001</v>
      </c>
      <c r="T23" s="51">
        <v>1.1211</v>
      </c>
      <c r="U23" s="50">
        <v>106.86</v>
      </c>
      <c r="V23" s="43">
        <v>1436.71</v>
      </c>
      <c r="W23" s="43">
        <v>1444.9</v>
      </c>
      <c r="X23" s="49">
        <f t="shared" si="5"/>
        <v>1585.4963874765856</v>
      </c>
      <c r="Y23" s="48">
        <v>1.2378</v>
      </c>
    </row>
    <row r="24" spans="2:25" x14ac:dyDescent="0.2">
      <c r="B24" s="47">
        <v>44004</v>
      </c>
      <c r="C24" s="46">
        <v>1763.5</v>
      </c>
      <c r="D24" s="45">
        <v>1763.5</v>
      </c>
      <c r="E24" s="44">
        <f t="shared" si="0"/>
        <v>1763.5</v>
      </c>
      <c r="F24" s="46">
        <v>1778.5</v>
      </c>
      <c r="G24" s="45">
        <v>1778.5</v>
      </c>
      <c r="H24" s="44">
        <f t="shared" si="1"/>
        <v>1778.5</v>
      </c>
      <c r="I24" s="46">
        <v>1824</v>
      </c>
      <c r="J24" s="45">
        <v>1824</v>
      </c>
      <c r="K24" s="44">
        <f t="shared" si="2"/>
        <v>1824</v>
      </c>
      <c r="L24" s="46">
        <v>1858</v>
      </c>
      <c r="M24" s="45">
        <v>1858</v>
      </c>
      <c r="N24" s="44">
        <f t="shared" si="3"/>
        <v>1858</v>
      </c>
      <c r="O24" s="46">
        <v>1878</v>
      </c>
      <c r="P24" s="45">
        <v>1878</v>
      </c>
      <c r="Q24" s="44">
        <f t="shared" si="4"/>
        <v>1878</v>
      </c>
      <c r="R24" s="52">
        <v>1763.5</v>
      </c>
      <c r="S24" s="51">
        <v>1.2404999999999999</v>
      </c>
      <c r="T24" s="51">
        <v>1.1213</v>
      </c>
      <c r="U24" s="50">
        <v>106.94</v>
      </c>
      <c r="V24" s="43">
        <v>1421.6</v>
      </c>
      <c r="W24" s="43">
        <v>1433.7</v>
      </c>
      <c r="X24" s="49">
        <f t="shared" si="5"/>
        <v>1572.7280834745386</v>
      </c>
      <c r="Y24" s="48">
        <v>1.2404999999999999</v>
      </c>
    </row>
    <row r="25" spans="2:25" x14ac:dyDescent="0.2">
      <c r="B25" s="47">
        <v>44005</v>
      </c>
      <c r="C25" s="46">
        <v>1744</v>
      </c>
      <c r="D25" s="45">
        <v>1744</v>
      </c>
      <c r="E25" s="44">
        <f t="shared" si="0"/>
        <v>1744</v>
      </c>
      <c r="F25" s="46">
        <v>1761.5</v>
      </c>
      <c r="G25" s="45">
        <v>1761.5</v>
      </c>
      <c r="H25" s="44">
        <f t="shared" si="1"/>
        <v>1761.5</v>
      </c>
      <c r="I25" s="46">
        <v>1807.5</v>
      </c>
      <c r="J25" s="45">
        <v>1807.5</v>
      </c>
      <c r="K25" s="44">
        <f t="shared" si="2"/>
        <v>1807.5</v>
      </c>
      <c r="L25" s="46">
        <v>1841.5</v>
      </c>
      <c r="M25" s="45">
        <v>1841.5</v>
      </c>
      <c r="N25" s="44">
        <f t="shared" si="3"/>
        <v>1841.5</v>
      </c>
      <c r="O25" s="46">
        <v>1861.5</v>
      </c>
      <c r="P25" s="45">
        <v>1861.5</v>
      </c>
      <c r="Q25" s="44">
        <f t="shared" si="4"/>
        <v>1861.5</v>
      </c>
      <c r="R25" s="52">
        <v>1744</v>
      </c>
      <c r="S25" s="51">
        <v>1.2470000000000001</v>
      </c>
      <c r="T25" s="51">
        <v>1.1306</v>
      </c>
      <c r="U25" s="50">
        <v>106.99</v>
      </c>
      <c r="V25" s="43">
        <v>1398.56</v>
      </c>
      <c r="W25" s="43">
        <v>1412.59</v>
      </c>
      <c r="X25" s="49">
        <f t="shared" si="5"/>
        <v>1542.5437820626216</v>
      </c>
      <c r="Y25" s="48">
        <v>1.2470000000000001</v>
      </c>
    </row>
    <row r="26" spans="2:25" x14ac:dyDescent="0.2">
      <c r="B26" s="47">
        <v>44006</v>
      </c>
      <c r="C26" s="46">
        <v>1742.5</v>
      </c>
      <c r="D26" s="45">
        <v>1742.5</v>
      </c>
      <c r="E26" s="44">
        <f t="shared" si="0"/>
        <v>1742.5</v>
      </c>
      <c r="F26" s="46">
        <v>1755.5</v>
      </c>
      <c r="G26" s="45">
        <v>1755.5</v>
      </c>
      <c r="H26" s="44">
        <f t="shared" si="1"/>
        <v>1755.5</v>
      </c>
      <c r="I26" s="46">
        <v>1802</v>
      </c>
      <c r="J26" s="45">
        <v>1802</v>
      </c>
      <c r="K26" s="44">
        <f t="shared" si="2"/>
        <v>1802</v>
      </c>
      <c r="L26" s="46">
        <v>1836</v>
      </c>
      <c r="M26" s="45">
        <v>1836</v>
      </c>
      <c r="N26" s="44">
        <f t="shared" si="3"/>
        <v>1836</v>
      </c>
      <c r="O26" s="46">
        <v>1856</v>
      </c>
      <c r="P26" s="45">
        <v>1856</v>
      </c>
      <c r="Q26" s="44">
        <f t="shared" si="4"/>
        <v>1856</v>
      </c>
      <c r="R26" s="52">
        <v>1742.5</v>
      </c>
      <c r="S26" s="51">
        <v>1.2488999999999999</v>
      </c>
      <c r="T26" s="51">
        <v>1.1283000000000001</v>
      </c>
      <c r="U26" s="50">
        <v>106.59</v>
      </c>
      <c r="V26" s="43">
        <v>1395.23</v>
      </c>
      <c r="W26" s="43">
        <v>1405.64</v>
      </c>
      <c r="X26" s="49">
        <f t="shared" si="5"/>
        <v>1544.3587698307188</v>
      </c>
      <c r="Y26" s="48">
        <v>1.2488999999999999</v>
      </c>
    </row>
    <row r="27" spans="2:25" x14ac:dyDescent="0.2">
      <c r="B27" s="47">
        <v>44007</v>
      </c>
      <c r="C27" s="46">
        <v>1775.5</v>
      </c>
      <c r="D27" s="45">
        <v>1775.5</v>
      </c>
      <c r="E27" s="44">
        <f t="shared" si="0"/>
        <v>1775.5</v>
      </c>
      <c r="F27" s="46">
        <v>1789</v>
      </c>
      <c r="G27" s="45">
        <v>1789</v>
      </c>
      <c r="H27" s="44">
        <f t="shared" si="1"/>
        <v>1789</v>
      </c>
      <c r="I27" s="46">
        <v>1834</v>
      </c>
      <c r="J27" s="45">
        <v>1834</v>
      </c>
      <c r="K27" s="44">
        <f t="shared" si="2"/>
        <v>1834</v>
      </c>
      <c r="L27" s="46">
        <v>1868</v>
      </c>
      <c r="M27" s="45">
        <v>1868</v>
      </c>
      <c r="N27" s="44">
        <f t="shared" si="3"/>
        <v>1868</v>
      </c>
      <c r="O27" s="46">
        <v>1888</v>
      </c>
      <c r="P27" s="45">
        <v>1888</v>
      </c>
      <c r="Q27" s="44">
        <f t="shared" si="4"/>
        <v>1888</v>
      </c>
      <c r="R27" s="52">
        <v>1775.5</v>
      </c>
      <c r="S27" s="51">
        <v>1.2417</v>
      </c>
      <c r="T27" s="51">
        <v>1.1196999999999999</v>
      </c>
      <c r="U27" s="50">
        <v>107.41</v>
      </c>
      <c r="V27" s="43">
        <v>1429.89</v>
      </c>
      <c r="W27" s="43">
        <v>1440.77</v>
      </c>
      <c r="X27" s="49">
        <f t="shared" si="5"/>
        <v>1585.6925962311334</v>
      </c>
      <c r="Y27" s="48">
        <v>1.2417</v>
      </c>
    </row>
    <row r="28" spans="2:25" x14ac:dyDescent="0.2">
      <c r="B28" s="47">
        <v>44008</v>
      </c>
      <c r="C28" s="46">
        <v>1778</v>
      </c>
      <c r="D28" s="45">
        <v>1778</v>
      </c>
      <c r="E28" s="44">
        <f t="shared" si="0"/>
        <v>1778</v>
      </c>
      <c r="F28" s="46">
        <v>1787.5</v>
      </c>
      <c r="G28" s="45">
        <v>1787.5</v>
      </c>
      <c r="H28" s="44">
        <f t="shared" si="1"/>
        <v>1787.5</v>
      </c>
      <c r="I28" s="46">
        <v>1832.5</v>
      </c>
      <c r="J28" s="45">
        <v>1832.5</v>
      </c>
      <c r="K28" s="44">
        <f t="shared" si="2"/>
        <v>1832.5</v>
      </c>
      <c r="L28" s="46">
        <v>1866.5</v>
      </c>
      <c r="M28" s="45">
        <v>1866.5</v>
      </c>
      <c r="N28" s="44">
        <f t="shared" si="3"/>
        <v>1866.5</v>
      </c>
      <c r="O28" s="46">
        <v>1886.5</v>
      </c>
      <c r="P28" s="45">
        <v>1886.5</v>
      </c>
      <c r="Q28" s="44">
        <f t="shared" si="4"/>
        <v>1886.5</v>
      </c>
      <c r="R28" s="52">
        <v>1778</v>
      </c>
      <c r="S28" s="51">
        <v>1.2390000000000001</v>
      </c>
      <c r="T28" s="51">
        <v>1.1212</v>
      </c>
      <c r="U28" s="50">
        <v>106</v>
      </c>
      <c r="V28" s="43">
        <v>1435.03</v>
      </c>
      <c r="W28" s="43">
        <v>1442.7</v>
      </c>
      <c r="X28" s="49">
        <f t="shared" si="5"/>
        <v>1585.8009275775955</v>
      </c>
      <c r="Y28" s="48">
        <v>1.2390000000000001</v>
      </c>
    </row>
    <row r="29" spans="2:25" x14ac:dyDescent="0.2">
      <c r="B29" s="47">
        <v>44011</v>
      </c>
      <c r="C29" s="46">
        <v>1783</v>
      </c>
      <c r="D29" s="45">
        <v>1783</v>
      </c>
      <c r="E29" s="44">
        <f t="shared" si="0"/>
        <v>1783</v>
      </c>
      <c r="F29" s="46">
        <v>1793.5</v>
      </c>
      <c r="G29" s="45">
        <v>1793.5</v>
      </c>
      <c r="H29" s="44">
        <f t="shared" si="1"/>
        <v>1793.5</v>
      </c>
      <c r="I29" s="46">
        <v>1837</v>
      </c>
      <c r="J29" s="45">
        <v>1837</v>
      </c>
      <c r="K29" s="44">
        <f t="shared" si="2"/>
        <v>1837</v>
      </c>
      <c r="L29" s="46">
        <v>1871</v>
      </c>
      <c r="M29" s="45">
        <v>1871</v>
      </c>
      <c r="N29" s="44">
        <f t="shared" si="3"/>
        <v>1871</v>
      </c>
      <c r="O29" s="46">
        <v>1891</v>
      </c>
      <c r="P29" s="45">
        <v>1891</v>
      </c>
      <c r="Q29" s="44">
        <f t="shared" si="4"/>
        <v>1891</v>
      </c>
      <c r="R29" s="52">
        <v>1783</v>
      </c>
      <c r="S29" s="51">
        <v>1.2317</v>
      </c>
      <c r="T29" s="51">
        <v>1.1278999999999999</v>
      </c>
      <c r="U29" s="50">
        <v>107.27</v>
      </c>
      <c r="V29" s="43">
        <v>1447.59</v>
      </c>
      <c r="W29" s="43">
        <v>1455.41</v>
      </c>
      <c r="X29" s="49">
        <f t="shared" si="5"/>
        <v>1580.8139019416617</v>
      </c>
      <c r="Y29" s="48">
        <v>1.2323</v>
      </c>
    </row>
    <row r="30" spans="2:25" x14ac:dyDescent="0.2">
      <c r="B30" s="47">
        <v>44012</v>
      </c>
      <c r="C30" s="46">
        <v>1788.5</v>
      </c>
      <c r="D30" s="45">
        <v>1788.5</v>
      </c>
      <c r="E30" s="44">
        <f t="shared" si="0"/>
        <v>1788.5</v>
      </c>
      <c r="F30" s="46">
        <v>1801.5</v>
      </c>
      <c r="G30" s="45">
        <v>1801.5</v>
      </c>
      <c r="H30" s="44">
        <f t="shared" si="1"/>
        <v>1801.5</v>
      </c>
      <c r="I30" s="46">
        <v>1845</v>
      </c>
      <c r="J30" s="45">
        <v>1845</v>
      </c>
      <c r="K30" s="44">
        <f t="shared" si="2"/>
        <v>1845</v>
      </c>
      <c r="L30" s="46">
        <v>1879</v>
      </c>
      <c r="M30" s="45">
        <v>1879</v>
      </c>
      <c r="N30" s="44">
        <f t="shared" si="3"/>
        <v>1879</v>
      </c>
      <c r="O30" s="46">
        <v>1899</v>
      </c>
      <c r="P30" s="45">
        <v>1899</v>
      </c>
      <c r="Q30" s="44">
        <f t="shared" si="4"/>
        <v>1899</v>
      </c>
      <c r="R30" s="52">
        <v>1788.5</v>
      </c>
      <c r="S30" s="51">
        <v>1.2272000000000001</v>
      </c>
      <c r="T30" s="51">
        <v>1.1194</v>
      </c>
      <c r="U30" s="50">
        <v>107.77</v>
      </c>
      <c r="V30" s="43">
        <v>1457.38</v>
      </c>
      <c r="W30" s="43">
        <v>1467.26</v>
      </c>
      <c r="X30" s="49">
        <f t="shared" si="5"/>
        <v>1597.7309272824727</v>
      </c>
      <c r="Y30" s="48">
        <v>1.2278</v>
      </c>
    </row>
    <row r="31" spans="2:25" s="10" customFormat="1" x14ac:dyDescent="0.2">
      <c r="B31" s="42" t="s">
        <v>11</v>
      </c>
      <c r="C31" s="41">
        <f>ROUND(AVERAGE(C9:C30),2)</f>
        <v>1739.86</v>
      </c>
      <c r="D31" s="40">
        <f>ROUND(AVERAGE(D9:D30),2)</f>
        <v>1739.86</v>
      </c>
      <c r="E31" s="39">
        <f>ROUND(AVERAGE(C31:D31),2)</f>
        <v>1739.86</v>
      </c>
      <c r="F31" s="41">
        <f>ROUND(AVERAGE(F9:F30),2)</f>
        <v>1756.66</v>
      </c>
      <c r="G31" s="40">
        <f>ROUND(AVERAGE(G9:G30),2)</f>
        <v>1756.66</v>
      </c>
      <c r="H31" s="39">
        <f>ROUND(AVERAGE(F31:G31),2)</f>
        <v>1756.66</v>
      </c>
      <c r="I31" s="41">
        <f>ROUND(AVERAGE(I9:I30),2)</f>
        <v>1803</v>
      </c>
      <c r="J31" s="40">
        <f>ROUND(AVERAGE(J9:J30),2)</f>
        <v>1803</v>
      </c>
      <c r="K31" s="39">
        <f>ROUND(AVERAGE(I31:J31),2)</f>
        <v>1803</v>
      </c>
      <c r="L31" s="41">
        <f>ROUND(AVERAGE(L9:L30),2)</f>
        <v>1836.73</v>
      </c>
      <c r="M31" s="40">
        <f>ROUND(AVERAGE(M9:M30),2)</f>
        <v>1836.73</v>
      </c>
      <c r="N31" s="39">
        <f>ROUND(AVERAGE(L31:M31),2)</f>
        <v>1836.73</v>
      </c>
      <c r="O31" s="41">
        <f>ROUND(AVERAGE(O9:O30),2)</f>
        <v>1857</v>
      </c>
      <c r="P31" s="40">
        <f>ROUND(AVERAGE(P9:P30),2)</f>
        <v>1857</v>
      </c>
      <c r="Q31" s="39">
        <f>ROUND(AVERAGE(O31:P31),2)</f>
        <v>1857</v>
      </c>
      <c r="R31" s="38">
        <f>ROUND(AVERAGE(R9:R30),2)</f>
        <v>1739.86</v>
      </c>
      <c r="S31" s="37">
        <f>ROUND(AVERAGE(S9:S30),4)</f>
        <v>1.2522</v>
      </c>
      <c r="T31" s="36">
        <f>ROUND(AVERAGE(T9:T30),4)</f>
        <v>1.1254999999999999</v>
      </c>
      <c r="U31" s="175">
        <f>ROUND(AVERAGE(U9:U30),2)</f>
        <v>107.57</v>
      </c>
      <c r="V31" s="35">
        <f>AVERAGE(V9:V30)</f>
        <v>1389.6472727272726</v>
      </c>
      <c r="W31" s="35">
        <f>AVERAGE(W9:W30)</f>
        <v>1402.5200000000002</v>
      </c>
      <c r="X31" s="35">
        <f>AVERAGE(X9:X30)</f>
        <v>1545.8353552165065</v>
      </c>
      <c r="Y31" s="34">
        <f>AVERAGE(Y9:Y30)</f>
        <v>1.2527136363636364</v>
      </c>
    </row>
    <row r="32" spans="2:25" s="5" customFormat="1" x14ac:dyDescent="0.2">
      <c r="B32" s="33" t="s">
        <v>12</v>
      </c>
      <c r="C32" s="32">
        <f t="shared" ref="C32:Y32" si="6">MAX(C9:C30)</f>
        <v>1796.5</v>
      </c>
      <c r="D32" s="31">
        <f t="shared" si="6"/>
        <v>1796.5</v>
      </c>
      <c r="E32" s="30">
        <f t="shared" si="6"/>
        <v>1796.5</v>
      </c>
      <c r="F32" s="32">
        <f t="shared" si="6"/>
        <v>1811.5</v>
      </c>
      <c r="G32" s="31">
        <f t="shared" si="6"/>
        <v>1811.5</v>
      </c>
      <c r="H32" s="30">
        <f t="shared" si="6"/>
        <v>1811.5</v>
      </c>
      <c r="I32" s="32">
        <f t="shared" si="6"/>
        <v>1856</v>
      </c>
      <c r="J32" s="31">
        <f t="shared" si="6"/>
        <v>1856</v>
      </c>
      <c r="K32" s="30">
        <f t="shared" si="6"/>
        <v>1856</v>
      </c>
      <c r="L32" s="32">
        <f t="shared" si="6"/>
        <v>1890</v>
      </c>
      <c r="M32" s="31">
        <f t="shared" si="6"/>
        <v>1890</v>
      </c>
      <c r="N32" s="30">
        <f t="shared" si="6"/>
        <v>1890</v>
      </c>
      <c r="O32" s="32">
        <f t="shared" si="6"/>
        <v>1910</v>
      </c>
      <c r="P32" s="31">
        <f t="shared" si="6"/>
        <v>1910</v>
      </c>
      <c r="Q32" s="30">
        <f t="shared" si="6"/>
        <v>1910</v>
      </c>
      <c r="R32" s="29">
        <f t="shared" si="6"/>
        <v>1796.5</v>
      </c>
      <c r="S32" s="28">
        <f t="shared" si="6"/>
        <v>1.2793000000000001</v>
      </c>
      <c r="T32" s="27">
        <f t="shared" si="6"/>
        <v>1.1387</v>
      </c>
      <c r="U32" s="26">
        <f t="shared" si="6"/>
        <v>109.42</v>
      </c>
      <c r="V32" s="25">
        <f t="shared" si="6"/>
        <v>1457.38</v>
      </c>
      <c r="W32" s="25">
        <f t="shared" si="6"/>
        <v>1467.26</v>
      </c>
      <c r="X32" s="25">
        <f t="shared" si="6"/>
        <v>1599.0209167779262</v>
      </c>
      <c r="Y32" s="24">
        <f t="shared" si="6"/>
        <v>1.2799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1635</v>
      </c>
      <c r="D33" s="21">
        <f t="shared" si="7"/>
        <v>1635</v>
      </c>
      <c r="E33" s="20">
        <f t="shared" si="7"/>
        <v>1635</v>
      </c>
      <c r="F33" s="22">
        <f t="shared" si="7"/>
        <v>1656.5</v>
      </c>
      <c r="G33" s="21">
        <f t="shared" si="7"/>
        <v>1656.5</v>
      </c>
      <c r="H33" s="20">
        <f t="shared" si="7"/>
        <v>1656.5</v>
      </c>
      <c r="I33" s="22">
        <f t="shared" si="7"/>
        <v>1705.5</v>
      </c>
      <c r="J33" s="21">
        <f t="shared" si="7"/>
        <v>1705.5</v>
      </c>
      <c r="K33" s="20">
        <f t="shared" si="7"/>
        <v>1705.5</v>
      </c>
      <c r="L33" s="22">
        <f t="shared" si="7"/>
        <v>1739.5</v>
      </c>
      <c r="M33" s="21">
        <f t="shared" si="7"/>
        <v>1739.5</v>
      </c>
      <c r="N33" s="20">
        <f t="shared" si="7"/>
        <v>1739.5</v>
      </c>
      <c r="O33" s="22">
        <f t="shared" si="7"/>
        <v>1759.5</v>
      </c>
      <c r="P33" s="21">
        <f t="shared" si="7"/>
        <v>1759.5</v>
      </c>
      <c r="Q33" s="20">
        <f t="shared" si="7"/>
        <v>1759.5</v>
      </c>
      <c r="R33" s="19">
        <f t="shared" si="7"/>
        <v>1635</v>
      </c>
      <c r="S33" s="18">
        <f t="shared" si="7"/>
        <v>1.2272000000000001</v>
      </c>
      <c r="T33" s="17">
        <f t="shared" si="7"/>
        <v>1.1112</v>
      </c>
      <c r="U33" s="16">
        <f t="shared" si="7"/>
        <v>106</v>
      </c>
      <c r="V33" s="15">
        <f t="shared" si="7"/>
        <v>1319.72</v>
      </c>
      <c r="W33" s="15">
        <f t="shared" si="7"/>
        <v>1336.53</v>
      </c>
      <c r="X33" s="15">
        <f t="shared" si="7"/>
        <v>1471.3822894168468</v>
      </c>
      <c r="Y33" s="14">
        <f t="shared" si="7"/>
        <v>1.2278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43983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43983</v>
      </c>
      <c r="C9" s="46">
        <v>15842</v>
      </c>
      <c r="D9" s="45">
        <v>15842</v>
      </c>
      <c r="E9" s="44">
        <f t="shared" ref="E9:E30" si="0">AVERAGE(C9:D9)</f>
        <v>15842</v>
      </c>
      <c r="F9" s="46">
        <v>15659</v>
      </c>
      <c r="G9" s="45">
        <v>15659</v>
      </c>
      <c r="H9" s="44">
        <f t="shared" ref="H9:H30" si="1">AVERAGE(F9:G9)</f>
        <v>15659</v>
      </c>
      <c r="I9" s="46">
        <v>15510</v>
      </c>
      <c r="J9" s="45">
        <v>15510</v>
      </c>
      <c r="K9" s="44">
        <f t="shared" ref="K9:K30" si="2">AVERAGE(I9:J9)</f>
        <v>15510</v>
      </c>
      <c r="L9" s="52">
        <v>15842</v>
      </c>
      <c r="M9" s="51">
        <v>1.2388999999999999</v>
      </c>
      <c r="N9" s="53">
        <v>1.1112</v>
      </c>
      <c r="O9" s="50">
        <v>107.74</v>
      </c>
      <c r="P9" s="43">
        <v>12787.15</v>
      </c>
      <c r="Q9" s="43">
        <v>12634.34</v>
      </c>
      <c r="R9" s="49">
        <f t="shared" ref="R9:R30" si="3">L9/N9</f>
        <v>14256.659467242622</v>
      </c>
      <c r="S9" s="48">
        <v>1.2394000000000001</v>
      </c>
    </row>
    <row r="10" spans="1:19" x14ac:dyDescent="0.2">
      <c r="B10" s="47">
        <v>43984</v>
      </c>
      <c r="C10" s="46">
        <v>16010</v>
      </c>
      <c r="D10" s="45">
        <v>16010</v>
      </c>
      <c r="E10" s="44">
        <f t="shared" si="0"/>
        <v>16010</v>
      </c>
      <c r="F10" s="46">
        <v>15785</v>
      </c>
      <c r="G10" s="45">
        <v>15785</v>
      </c>
      <c r="H10" s="44">
        <f t="shared" si="1"/>
        <v>15785</v>
      </c>
      <c r="I10" s="46">
        <v>15663</v>
      </c>
      <c r="J10" s="45">
        <v>15663</v>
      </c>
      <c r="K10" s="44">
        <f t="shared" si="2"/>
        <v>15663</v>
      </c>
      <c r="L10" s="52">
        <v>16010</v>
      </c>
      <c r="M10" s="51">
        <v>1.254</v>
      </c>
      <c r="N10" s="51">
        <v>1.1169</v>
      </c>
      <c r="O10" s="50">
        <v>107.91</v>
      </c>
      <c r="P10" s="43">
        <v>12767.15</v>
      </c>
      <c r="Q10" s="43">
        <v>12582.7</v>
      </c>
      <c r="R10" s="49">
        <f t="shared" si="3"/>
        <v>14334.318202166711</v>
      </c>
      <c r="S10" s="48">
        <v>1.2544999999999999</v>
      </c>
    </row>
    <row r="11" spans="1:19" x14ac:dyDescent="0.2">
      <c r="B11" s="47">
        <v>43985</v>
      </c>
      <c r="C11" s="46">
        <v>16177</v>
      </c>
      <c r="D11" s="45">
        <v>16177</v>
      </c>
      <c r="E11" s="44">
        <f t="shared" si="0"/>
        <v>16177</v>
      </c>
      <c r="F11" s="46">
        <v>15991</v>
      </c>
      <c r="G11" s="45">
        <v>15991</v>
      </c>
      <c r="H11" s="44">
        <f t="shared" si="1"/>
        <v>15991</v>
      </c>
      <c r="I11" s="46">
        <v>15825</v>
      </c>
      <c r="J11" s="45">
        <v>15825</v>
      </c>
      <c r="K11" s="44">
        <f t="shared" si="2"/>
        <v>15825</v>
      </c>
      <c r="L11" s="52">
        <v>16177</v>
      </c>
      <c r="M11" s="51">
        <v>1.2563</v>
      </c>
      <c r="N11" s="51">
        <v>1.1194999999999999</v>
      </c>
      <c r="O11" s="50">
        <v>108.59</v>
      </c>
      <c r="P11" s="43">
        <v>12876.7</v>
      </c>
      <c r="Q11" s="43">
        <v>12722.57</v>
      </c>
      <c r="R11" s="49">
        <f t="shared" si="3"/>
        <v>14450.200982581511</v>
      </c>
      <c r="S11" s="48">
        <v>1.2568999999999999</v>
      </c>
    </row>
    <row r="12" spans="1:19" x14ac:dyDescent="0.2">
      <c r="B12" s="47">
        <v>43986</v>
      </c>
      <c r="C12" s="46">
        <v>16180</v>
      </c>
      <c r="D12" s="45">
        <v>16180</v>
      </c>
      <c r="E12" s="44">
        <f t="shared" si="0"/>
        <v>16180</v>
      </c>
      <c r="F12" s="46">
        <v>15950</v>
      </c>
      <c r="G12" s="45">
        <v>15950</v>
      </c>
      <c r="H12" s="44">
        <f t="shared" si="1"/>
        <v>15950</v>
      </c>
      <c r="I12" s="46">
        <v>15786</v>
      </c>
      <c r="J12" s="45">
        <v>15786</v>
      </c>
      <c r="K12" s="44">
        <f t="shared" si="2"/>
        <v>15786</v>
      </c>
      <c r="L12" s="52">
        <v>16180</v>
      </c>
      <c r="M12" s="51">
        <v>1.2568999999999999</v>
      </c>
      <c r="N12" s="51">
        <v>1.1269</v>
      </c>
      <c r="O12" s="50">
        <v>108.9</v>
      </c>
      <c r="P12" s="43">
        <v>12872.94</v>
      </c>
      <c r="Q12" s="43">
        <v>12683.9</v>
      </c>
      <c r="R12" s="49">
        <f t="shared" si="3"/>
        <v>14357.973200816399</v>
      </c>
      <c r="S12" s="48">
        <v>1.2575000000000001</v>
      </c>
    </row>
    <row r="13" spans="1:19" x14ac:dyDescent="0.2">
      <c r="B13" s="47">
        <v>43987</v>
      </c>
      <c r="C13" s="46">
        <v>16425</v>
      </c>
      <c r="D13" s="45">
        <v>16425</v>
      </c>
      <c r="E13" s="44">
        <f t="shared" si="0"/>
        <v>16425</v>
      </c>
      <c r="F13" s="46">
        <v>16200</v>
      </c>
      <c r="G13" s="45">
        <v>16200</v>
      </c>
      <c r="H13" s="44">
        <f t="shared" si="1"/>
        <v>16200</v>
      </c>
      <c r="I13" s="46">
        <v>16034</v>
      </c>
      <c r="J13" s="45">
        <v>16034</v>
      </c>
      <c r="K13" s="44">
        <f t="shared" si="2"/>
        <v>16034</v>
      </c>
      <c r="L13" s="52">
        <v>16425</v>
      </c>
      <c r="M13" s="51">
        <v>1.2663</v>
      </c>
      <c r="N13" s="51">
        <v>1.1335999999999999</v>
      </c>
      <c r="O13" s="50">
        <v>109.24</v>
      </c>
      <c r="P13" s="43">
        <v>12970.86</v>
      </c>
      <c r="Q13" s="43">
        <v>12788.13</v>
      </c>
      <c r="R13" s="49">
        <f t="shared" si="3"/>
        <v>14489.23782639379</v>
      </c>
      <c r="S13" s="48">
        <v>1.2667999999999999</v>
      </c>
    </row>
    <row r="14" spans="1:19" x14ac:dyDescent="0.2">
      <c r="B14" s="47">
        <v>43990</v>
      </c>
      <c r="C14" s="46">
        <v>16760</v>
      </c>
      <c r="D14" s="45">
        <v>16760</v>
      </c>
      <c r="E14" s="44">
        <f t="shared" si="0"/>
        <v>16760</v>
      </c>
      <c r="F14" s="46">
        <v>16530</v>
      </c>
      <c r="G14" s="45">
        <v>16530</v>
      </c>
      <c r="H14" s="44">
        <f t="shared" si="1"/>
        <v>16530</v>
      </c>
      <c r="I14" s="46">
        <v>16360</v>
      </c>
      <c r="J14" s="45">
        <v>16360</v>
      </c>
      <c r="K14" s="44">
        <f t="shared" si="2"/>
        <v>16360</v>
      </c>
      <c r="L14" s="52">
        <v>16760</v>
      </c>
      <c r="M14" s="51">
        <v>1.2656000000000001</v>
      </c>
      <c r="N14" s="51">
        <v>1.1276999999999999</v>
      </c>
      <c r="O14" s="50">
        <v>109.42</v>
      </c>
      <c r="P14" s="43">
        <v>13242.73</v>
      </c>
      <c r="Q14" s="43">
        <v>13054.81</v>
      </c>
      <c r="R14" s="49">
        <f t="shared" si="3"/>
        <v>14862.108716857321</v>
      </c>
      <c r="S14" s="48">
        <v>1.2662</v>
      </c>
    </row>
    <row r="15" spans="1:19" x14ac:dyDescent="0.2">
      <c r="B15" s="47">
        <v>43991</v>
      </c>
      <c r="C15" s="46">
        <v>16930</v>
      </c>
      <c r="D15" s="45">
        <v>16930</v>
      </c>
      <c r="E15" s="44">
        <f t="shared" si="0"/>
        <v>16930</v>
      </c>
      <c r="F15" s="46">
        <v>16730</v>
      </c>
      <c r="G15" s="45">
        <v>16730</v>
      </c>
      <c r="H15" s="44">
        <f t="shared" si="1"/>
        <v>16730</v>
      </c>
      <c r="I15" s="46">
        <v>16556</v>
      </c>
      <c r="J15" s="45">
        <v>16556</v>
      </c>
      <c r="K15" s="44">
        <f t="shared" si="2"/>
        <v>16556</v>
      </c>
      <c r="L15" s="52">
        <v>16930</v>
      </c>
      <c r="M15" s="51">
        <v>1.2669999999999999</v>
      </c>
      <c r="N15" s="51">
        <v>1.1282000000000001</v>
      </c>
      <c r="O15" s="50">
        <v>108.14</v>
      </c>
      <c r="P15" s="43">
        <v>13362.27</v>
      </c>
      <c r="Q15" s="43">
        <v>13198.17</v>
      </c>
      <c r="R15" s="49">
        <f t="shared" si="3"/>
        <v>15006.204573657153</v>
      </c>
      <c r="S15" s="48">
        <v>1.2676000000000001</v>
      </c>
    </row>
    <row r="16" spans="1:19" x14ac:dyDescent="0.2">
      <c r="B16" s="47">
        <v>43992</v>
      </c>
      <c r="C16" s="46">
        <v>17285</v>
      </c>
      <c r="D16" s="45">
        <v>17285</v>
      </c>
      <c r="E16" s="44">
        <f t="shared" si="0"/>
        <v>17285</v>
      </c>
      <c r="F16" s="46">
        <v>17100</v>
      </c>
      <c r="G16" s="45">
        <v>17100</v>
      </c>
      <c r="H16" s="44">
        <f t="shared" si="1"/>
        <v>17100</v>
      </c>
      <c r="I16" s="46">
        <v>16925</v>
      </c>
      <c r="J16" s="45">
        <v>16925</v>
      </c>
      <c r="K16" s="44">
        <f t="shared" si="2"/>
        <v>16925</v>
      </c>
      <c r="L16" s="52">
        <v>17285</v>
      </c>
      <c r="M16" s="51">
        <v>1.2793000000000001</v>
      </c>
      <c r="N16" s="51">
        <v>1.1387</v>
      </c>
      <c r="O16" s="50">
        <v>107.37</v>
      </c>
      <c r="P16" s="43">
        <v>13511.3</v>
      </c>
      <c r="Q16" s="43">
        <v>13360.42</v>
      </c>
      <c r="R16" s="49">
        <f t="shared" si="3"/>
        <v>15179.590761394573</v>
      </c>
      <c r="S16" s="48">
        <v>1.2799</v>
      </c>
    </row>
    <row r="17" spans="2:19" x14ac:dyDescent="0.2">
      <c r="B17" s="47">
        <v>43993</v>
      </c>
      <c r="C17" s="46">
        <v>16985</v>
      </c>
      <c r="D17" s="45">
        <v>16985</v>
      </c>
      <c r="E17" s="44">
        <f t="shared" si="0"/>
        <v>16985</v>
      </c>
      <c r="F17" s="46">
        <v>16855</v>
      </c>
      <c r="G17" s="45">
        <v>16855</v>
      </c>
      <c r="H17" s="44">
        <f t="shared" si="1"/>
        <v>16855</v>
      </c>
      <c r="I17" s="46">
        <v>16698</v>
      </c>
      <c r="J17" s="45">
        <v>16698</v>
      </c>
      <c r="K17" s="44">
        <f t="shared" si="2"/>
        <v>16698</v>
      </c>
      <c r="L17" s="52">
        <v>16985</v>
      </c>
      <c r="M17" s="51">
        <v>1.2653000000000001</v>
      </c>
      <c r="N17" s="51">
        <v>1.1355999999999999</v>
      </c>
      <c r="O17" s="50">
        <v>107.09</v>
      </c>
      <c r="P17" s="43">
        <v>13423.69</v>
      </c>
      <c r="Q17" s="43">
        <v>13314.64</v>
      </c>
      <c r="R17" s="49">
        <f t="shared" si="3"/>
        <v>14956.851003874604</v>
      </c>
      <c r="S17" s="48">
        <v>1.2659</v>
      </c>
    </row>
    <row r="18" spans="2:19" x14ac:dyDescent="0.2">
      <c r="B18" s="47">
        <v>43994</v>
      </c>
      <c r="C18" s="46">
        <v>17200</v>
      </c>
      <c r="D18" s="45">
        <v>17200</v>
      </c>
      <c r="E18" s="44">
        <f t="shared" si="0"/>
        <v>17200</v>
      </c>
      <c r="F18" s="46">
        <v>17050</v>
      </c>
      <c r="G18" s="45">
        <v>17050</v>
      </c>
      <c r="H18" s="44">
        <f t="shared" si="1"/>
        <v>17050</v>
      </c>
      <c r="I18" s="46">
        <v>16870</v>
      </c>
      <c r="J18" s="45">
        <v>16870</v>
      </c>
      <c r="K18" s="44">
        <f t="shared" si="2"/>
        <v>16870</v>
      </c>
      <c r="L18" s="52">
        <v>17200</v>
      </c>
      <c r="M18" s="51">
        <v>1.262</v>
      </c>
      <c r="N18" s="51">
        <v>1.1309</v>
      </c>
      <c r="O18" s="50">
        <v>107.36</v>
      </c>
      <c r="P18" s="43">
        <v>13629.16</v>
      </c>
      <c r="Q18" s="43">
        <v>13502.81</v>
      </c>
      <c r="R18" s="49">
        <f t="shared" si="3"/>
        <v>15209.125475285171</v>
      </c>
      <c r="S18" s="48">
        <v>1.2626999999999999</v>
      </c>
    </row>
    <row r="19" spans="2:19" x14ac:dyDescent="0.2">
      <c r="B19" s="47">
        <v>43997</v>
      </c>
      <c r="C19" s="46">
        <v>17110</v>
      </c>
      <c r="D19" s="45">
        <v>17110</v>
      </c>
      <c r="E19" s="44">
        <f t="shared" si="0"/>
        <v>17110</v>
      </c>
      <c r="F19" s="46">
        <v>16870</v>
      </c>
      <c r="G19" s="45">
        <v>16870</v>
      </c>
      <c r="H19" s="44">
        <f t="shared" si="1"/>
        <v>16870</v>
      </c>
      <c r="I19" s="46">
        <v>16677</v>
      </c>
      <c r="J19" s="45">
        <v>16677</v>
      </c>
      <c r="K19" s="44">
        <f t="shared" si="2"/>
        <v>16677</v>
      </c>
      <c r="L19" s="52">
        <v>17110</v>
      </c>
      <c r="M19" s="51">
        <v>1.2546999999999999</v>
      </c>
      <c r="N19" s="51">
        <v>1.1256999999999999</v>
      </c>
      <c r="O19" s="50">
        <v>107.37</v>
      </c>
      <c r="P19" s="43">
        <v>13636.73</v>
      </c>
      <c r="Q19" s="43">
        <v>13437.95</v>
      </c>
      <c r="R19" s="49">
        <f t="shared" si="3"/>
        <v>15199.431464866306</v>
      </c>
      <c r="S19" s="48">
        <v>1.2554000000000001</v>
      </c>
    </row>
    <row r="20" spans="2:19" x14ac:dyDescent="0.2">
      <c r="B20" s="47">
        <v>43998</v>
      </c>
      <c r="C20" s="46">
        <v>17235</v>
      </c>
      <c r="D20" s="45">
        <v>17235</v>
      </c>
      <c r="E20" s="44">
        <f t="shared" si="0"/>
        <v>17235</v>
      </c>
      <c r="F20" s="46">
        <v>16940</v>
      </c>
      <c r="G20" s="45">
        <v>16940</v>
      </c>
      <c r="H20" s="44">
        <f t="shared" si="1"/>
        <v>16940</v>
      </c>
      <c r="I20" s="46">
        <v>16720</v>
      </c>
      <c r="J20" s="45">
        <v>16720</v>
      </c>
      <c r="K20" s="44">
        <f t="shared" si="2"/>
        <v>16720</v>
      </c>
      <c r="L20" s="52">
        <v>17235</v>
      </c>
      <c r="M20" s="51">
        <v>1.2649999999999999</v>
      </c>
      <c r="N20" s="51">
        <v>1.1304000000000001</v>
      </c>
      <c r="O20" s="50">
        <v>107.33</v>
      </c>
      <c r="P20" s="43">
        <v>13624.51</v>
      </c>
      <c r="Q20" s="43">
        <v>13383.9</v>
      </c>
      <c r="R20" s="49">
        <f t="shared" si="3"/>
        <v>15246.815286624204</v>
      </c>
      <c r="S20" s="48">
        <v>1.2657</v>
      </c>
    </row>
    <row r="21" spans="2:19" x14ac:dyDescent="0.2">
      <c r="B21" s="47">
        <v>43999</v>
      </c>
      <c r="C21" s="46">
        <v>17170</v>
      </c>
      <c r="D21" s="45">
        <v>17170</v>
      </c>
      <c r="E21" s="44">
        <f t="shared" si="0"/>
        <v>17170</v>
      </c>
      <c r="F21" s="46">
        <v>16980</v>
      </c>
      <c r="G21" s="45">
        <v>16980</v>
      </c>
      <c r="H21" s="44">
        <f t="shared" si="1"/>
        <v>16980</v>
      </c>
      <c r="I21" s="46">
        <v>16762</v>
      </c>
      <c r="J21" s="45">
        <v>16762</v>
      </c>
      <c r="K21" s="44">
        <f t="shared" si="2"/>
        <v>16762</v>
      </c>
      <c r="L21" s="52">
        <v>17170</v>
      </c>
      <c r="M21" s="51">
        <v>1.2563</v>
      </c>
      <c r="N21" s="51">
        <v>1.1232</v>
      </c>
      <c r="O21" s="50">
        <v>107.38</v>
      </c>
      <c r="P21" s="43">
        <v>13667.12</v>
      </c>
      <c r="Q21" s="43">
        <v>13508.35</v>
      </c>
      <c r="R21" s="49">
        <f t="shared" si="3"/>
        <v>15286.680911680913</v>
      </c>
      <c r="S21" s="48">
        <v>1.2569999999999999</v>
      </c>
    </row>
    <row r="22" spans="2:19" x14ac:dyDescent="0.2">
      <c r="B22" s="47">
        <v>44000</v>
      </c>
      <c r="C22" s="46">
        <v>17180</v>
      </c>
      <c r="D22" s="45">
        <v>17180</v>
      </c>
      <c r="E22" s="44">
        <f t="shared" si="0"/>
        <v>17180</v>
      </c>
      <c r="F22" s="46">
        <v>17010</v>
      </c>
      <c r="G22" s="45">
        <v>17010</v>
      </c>
      <c r="H22" s="44">
        <f t="shared" si="1"/>
        <v>17010</v>
      </c>
      <c r="I22" s="46">
        <v>16802</v>
      </c>
      <c r="J22" s="45">
        <v>16802</v>
      </c>
      <c r="K22" s="44">
        <f t="shared" si="2"/>
        <v>16802</v>
      </c>
      <c r="L22" s="52">
        <v>17180</v>
      </c>
      <c r="M22" s="51">
        <v>1.2485999999999999</v>
      </c>
      <c r="N22" s="51">
        <v>1.1234999999999999</v>
      </c>
      <c r="O22" s="50">
        <v>106.91</v>
      </c>
      <c r="P22" s="43">
        <v>13759.41</v>
      </c>
      <c r="Q22" s="43">
        <v>13616.71</v>
      </c>
      <c r="R22" s="49">
        <f t="shared" si="3"/>
        <v>15291.499777481087</v>
      </c>
      <c r="S22" s="48">
        <v>1.2492000000000001</v>
      </c>
    </row>
    <row r="23" spans="2:19" x14ac:dyDescent="0.2">
      <c r="B23" s="47">
        <v>44001</v>
      </c>
      <c r="C23" s="46">
        <v>16858</v>
      </c>
      <c r="D23" s="45">
        <v>16858</v>
      </c>
      <c r="E23" s="44">
        <f t="shared" si="0"/>
        <v>16858</v>
      </c>
      <c r="F23" s="46">
        <v>16730</v>
      </c>
      <c r="G23" s="45">
        <v>16730</v>
      </c>
      <c r="H23" s="44">
        <f t="shared" si="1"/>
        <v>16730</v>
      </c>
      <c r="I23" s="46">
        <v>16485</v>
      </c>
      <c r="J23" s="45">
        <v>16485</v>
      </c>
      <c r="K23" s="44">
        <f t="shared" si="2"/>
        <v>16485</v>
      </c>
      <c r="L23" s="52">
        <v>16858</v>
      </c>
      <c r="M23" s="51">
        <v>1.2372000000000001</v>
      </c>
      <c r="N23" s="51">
        <v>1.1211</v>
      </c>
      <c r="O23" s="50">
        <v>106.86</v>
      </c>
      <c r="P23" s="43">
        <v>13625.93</v>
      </c>
      <c r="Q23" s="43">
        <v>13515.92</v>
      </c>
      <c r="R23" s="49">
        <f t="shared" si="3"/>
        <v>15037.017215235037</v>
      </c>
      <c r="S23" s="48">
        <v>1.2378</v>
      </c>
    </row>
    <row r="24" spans="2:19" x14ac:dyDescent="0.2">
      <c r="B24" s="47">
        <v>44004</v>
      </c>
      <c r="C24" s="46">
        <v>16930</v>
      </c>
      <c r="D24" s="45">
        <v>16930</v>
      </c>
      <c r="E24" s="44">
        <f t="shared" si="0"/>
        <v>16930</v>
      </c>
      <c r="F24" s="46">
        <v>16822</v>
      </c>
      <c r="G24" s="45">
        <v>16822</v>
      </c>
      <c r="H24" s="44">
        <f t="shared" si="1"/>
        <v>16822</v>
      </c>
      <c r="I24" s="46">
        <v>16559</v>
      </c>
      <c r="J24" s="45">
        <v>16559</v>
      </c>
      <c r="K24" s="44">
        <f t="shared" si="2"/>
        <v>16559</v>
      </c>
      <c r="L24" s="52">
        <v>16930</v>
      </c>
      <c r="M24" s="51">
        <v>1.2404999999999999</v>
      </c>
      <c r="N24" s="51">
        <v>1.1213</v>
      </c>
      <c r="O24" s="50">
        <v>106.94</v>
      </c>
      <c r="P24" s="43">
        <v>13647.72</v>
      </c>
      <c r="Q24" s="43">
        <v>13560.66</v>
      </c>
      <c r="R24" s="49">
        <f t="shared" si="3"/>
        <v>15098.546330152501</v>
      </c>
      <c r="S24" s="48">
        <v>1.2404999999999999</v>
      </c>
    </row>
    <row r="25" spans="2:19" x14ac:dyDescent="0.2">
      <c r="B25" s="47">
        <v>44005</v>
      </c>
      <c r="C25" s="46">
        <v>17095</v>
      </c>
      <c r="D25" s="45">
        <v>17095</v>
      </c>
      <c r="E25" s="44">
        <f t="shared" si="0"/>
        <v>17095</v>
      </c>
      <c r="F25" s="46">
        <v>16900</v>
      </c>
      <c r="G25" s="45">
        <v>16900</v>
      </c>
      <c r="H25" s="44">
        <f t="shared" si="1"/>
        <v>16900</v>
      </c>
      <c r="I25" s="46">
        <v>16646</v>
      </c>
      <c r="J25" s="45">
        <v>16646</v>
      </c>
      <c r="K25" s="44">
        <f t="shared" si="2"/>
        <v>16646</v>
      </c>
      <c r="L25" s="52">
        <v>17095</v>
      </c>
      <c r="M25" s="51">
        <v>1.2470000000000001</v>
      </c>
      <c r="N25" s="51">
        <v>1.1306</v>
      </c>
      <c r="O25" s="50">
        <v>106.99</v>
      </c>
      <c r="P25" s="43">
        <v>13708.9</v>
      </c>
      <c r="Q25" s="43">
        <v>13552.53</v>
      </c>
      <c r="R25" s="49">
        <f t="shared" si="3"/>
        <v>15120.290111445249</v>
      </c>
      <c r="S25" s="48">
        <v>1.2470000000000001</v>
      </c>
    </row>
    <row r="26" spans="2:19" x14ac:dyDescent="0.2">
      <c r="B26" s="47">
        <v>44006</v>
      </c>
      <c r="C26" s="46">
        <v>16829</v>
      </c>
      <c r="D26" s="45">
        <v>16829</v>
      </c>
      <c r="E26" s="44">
        <f t="shared" si="0"/>
        <v>16829</v>
      </c>
      <c r="F26" s="46">
        <v>16739</v>
      </c>
      <c r="G26" s="45">
        <v>16739</v>
      </c>
      <c r="H26" s="44">
        <f t="shared" si="1"/>
        <v>16739</v>
      </c>
      <c r="I26" s="46">
        <v>16491</v>
      </c>
      <c r="J26" s="45">
        <v>16491</v>
      </c>
      <c r="K26" s="44">
        <f t="shared" si="2"/>
        <v>16491</v>
      </c>
      <c r="L26" s="52">
        <v>16829</v>
      </c>
      <c r="M26" s="51">
        <v>1.2488999999999999</v>
      </c>
      <c r="N26" s="51">
        <v>1.1283000000000001</v>
      </c>
      <c r="O26" s="50">
        <v>106.59</v>
      </c>
      <c r="P26" s="43">
        <v>13475.06</v>
      </c>
      <c r="Q26" s="43">
        <v>13402.99</v>
      </c>
      <c r="R26" s="49">
        <f t="shared" si="3"/>
        <v>14915.359390233092</v>
      </c>
      <c r="S26" s="48">
        <v>1.2488999999999999</v>
      </c>
    </row>
    <row r="27" spans="2:19" x14ac:dyDescent="0.2">
      <c r="B27" s="47">
        <v>44007</v>
      </c>
      <c r="C27" s="46">
        <v>16720</v>
      </c>
      <c r="D27" s="45">
        <v>16720</v>
      </c>
      <c r="E27" s="44">
        <f t="shared" si="0"/>
        <v>16720</v>
      </c>
      <c r="F27" s="46">
        <v>16610</v>
      </c>
      <c r="G27" s="45">
        <v>16610</v>
      </c>
      <c r="H27" s="44">
        <f t="shared" si="1"/>
        <v>16610</v>
      </c>
      <c r="I27" s="46">
        <v>16378</v>
      </c>
      <c r="J27" s="45">
        <v>16378</v>
      </c>
      <c r="K27" s="44">
        <f t="shared" si="2"/>
        <v>16378</v>
      </c>
      <c r="L27" s="52">
        <v>16720</v>
      </c>
      <c r="M27" s="51">
        <v>1.2417</v>
      </c>
      <c r="N27" s="51">
        <v>1.1196999999999999</v>
      </c>
      <c r="O27" s="50">
        <v>107.41</v>
      </c>
      <c r="P27" s="43">
        <v>13465.41</v>
      </c>
      <c r="Q27" s="43">
        <v>13376.82</v>
      </c>
      <c r="R27" s="49">
        <f t="shared" si="3"/>
        <v>14932.571224435118</v>
      </c>
      <c r="S27" s="48">
        <v>1.2417</v>
      </c>
    </row>
    <row r="28" spans="2:19" x14ac:dyDescent="0.2">
      <c r="B28" s="47">
        <v>44008</v>
      </c>
      <c r="C28" s="46">
        <v>16990</v>
      </c>
      <c r="D28" s="45">
        <v>16990</v>
      </c>
      <c r="E28" s="44">
        <f t="shared" si="0"/>
        <v>16990</v>
      </c>
      <c r="F28" s="46">
        <v>16799</v>
      </c>
      <c r="G28" s="45">
        <v>16799</v>
      </c>
      <c r="H28" s="44">
        <f t="shared" si="1"/>
        <v>16799</v>
      </c>
      <c r="I28" s="46">
        <v>16582</v>
      </c>
      <c r="J28" s="45">
        <v>16582</v>
      </c>
      <c r="K28" s="44">
        <f t="shared" si="2"/>
        <v>16582</v>
      </c>
      <c r="L28" s="52">
        <v>16990</v>
      </c>
      <c r="M28" s="51">
        <v>1.2390000000000001</v>
      </c>
      <c r="N28" s="51">
        <v>1.1212</v>
      </c>
      <c r="O28" s="50">
        <v>106</v>
      </c>
      <c r="P28" s="43">
        <v>13712.67</v>
      </c>
      <c r="Q28" s="43">
        <v>13558.51</v>
      </c>
      <c r="R28" s="49">
        <f t="shared" si="3"/>
        <v>15153.40706386015</v>
      </c>
      <c r="S28" s="48">
        <v>1.2390000000000001</v>
      </c>
    </row>
    <row r="29" spans="2:19" x14ac:dyDescent="0.2">
      <c r="B29" s="47">
        <v>44011</v>
      </c>
      <c r="C29" s="46">
        <v>16980</v>
      </c>
      <c r="D29" s="45">
        <v>16980</v>
      </c>
      <c r="E29" s="44">
        <f t="shared" si="0"/>
        <v>16980</v>
      </c>
      <c r="F29" s="46">
        <v>16751</v>
      </c>
      <c r="G29" s="45">
        <v>16751</v>
      </c>
      <c r="H29" s="44">
        <f t="shared" si="1"/>
        <v>16751</v>
      </c>
      <c r="I29" s="46">
        <v>16532</v>
      </c>
      <c r="J29" s="45">
        <v>16532</v>
      </c>
      <c r="K29" s="44">
        <f t="shared" si="2"/>
        <v>16532</v>
      </c>
      <c r="L29" s="52">
        <v>16980</v>
      </c>
      <c r="M29" s="51">
        <v>1.2317</v>
      </c>
      <c r="N29" s="51">
        <v>1.1278999999999999</v>
      </c>
      <c r="O29" s="50">
        <v>107.27</v>
      </c>
      <c r="P29" s="43">
        <v>13785.82</v>
      </c>
      <c r="Q29" s="43">
        <v>13593.28</v>
      </c>
      <c r="R29" s="49">
        <f t="shared" si="3"/>
        <v>15054.526110470788</v>
      </c>
      <c r="S29" s="48">
        <v>1.2323</v>
      </c>
    </row>
    <row r="30" spans="2:19" x14ac:dyDescent="0.2">
      <c r="B30" s="47">
        <v>44012</v>
      </c>
      <c r="C30" s="46">
        <v>16847</v>
      </c>
      <c r="D30" s="45">
        <v>16847</v>
      </c>
      <c r="E30" s="44">
        <f t="shared" si="0"/>
        <v>16847</v>
      </c>
      <c r="F30" s="46">
        <v>16777</v>
      </c>
      <c r="G30" s="45">
        <v>16777</v>
      </c>
      <c r="H30" s="44">
        <f t="shared" si="1"/>
        <v>16777</v>
      </c>
      <c r="I30" s="46">
        <v>16558</v>
      </c>
      <c r="J30" s="45">
        <v>16558</v>
      </c>
      <c r="K30" s="44">
        <f t="shared" si="2"/>
        <v>16558</v>
      </c>
      <c r="L30" s="52">
        <v>16847</v>
      </c>
      <c r="M30" s="51">
        <v>1.2272000000000001</v>
      </c>
      <c r="N30" s="51">
        <v>1.1194</v>
      </c>
      <c r="O30" s="50">
        <v>107.77</v>
      </c>
      <c r="P30" s="43">
        <v>13728</v>
      </c>
      <c r="Q30" s="43">
        <v>13664.28</v>
      </c>
      <c r="R30" s="49">
        <f t="shared" si="3"/>
        <v>15050.026800071468</v>
      </c>
      <c r="S30" s="48">
        <v>1.2278</v>
      </c>
    </row>
    <row r="31" spans="2:19" s="10" customFormat="1" x14ac:dyDescent="0.2">
      <c r="B31" s="42" t="s">
        <v>11</v>
      </c>
      <c r="C31" s="41">
        <f>ROUND(AVERAGE(C9:C30),2)</f>
        <v>16806.27</v>
      </c>
      <c r="D31" s="40">
        <f>ROUND(AVERAGE(D9:D30),2)</f>
        <v>16806.27</v>
      </c>
      <c r="E31" s="39">
        <f>ROUND(AVERAGE(C31:D31),2)</f>
        <v>16806.27</v>
      </c>
      <c r="F31" s="41">
        <f>ROUND(AVERAGE(F9:F30),2)</f>
        <v>16626.27</v>
      </c>
      <c r="G31" s="40">
        <f>ROUND(AVERAGE(G9:G30),2)</f>
        <v>16626.27</v>
      </c>
      <c r="H31" s="39">
        <f>ROUND(AVERAGE(F31:G31),2)</f>
        <v>16626.27</v>
      </c>
      <c r="I31" s="41">
        <f>ROUND(AVERAGE(I9:I30),2)</f>
        <v>16428.14</v>
      </c>
      <c r="J31" s="40">
        <f>ROUND(AVERAGE(J9:J30),2)</f>
        <v>16428.14</v>
      </c>
      <c r="K31" s="39">
        <f>ROUND(AVERAGE(I31:J31),2)</f>
        <v>16428.14</v>
      </c>
      <c r="L31" s="38">
        <f>ROUND(AVERAGE(L9:L30),2)</f>
        <v>16806.27</v>
      </c>
      <c r="M31" s="37">
        <f>ROUND(AVERAGE(M9:M30),4)</f>
        <v>1.2522</v>
      </c>
      <c r="N31" s="36">
        <f>ROUND(AVERAGE(N9:N30),4)</f>
        <v>1.1254999999999999</v>
      </c>
      <c r="O31" s="175">
        <f>ROUND(AVERAGE(O9:O30),2)</f>
        <v>107.57</v>
      </c>
      <c r="P31" s="35">
        <f>AVERAGE(P9:P30)</f>
        <v>13421.874090909092</v>
      </c>
      <c r="Q31" s="35">
        <f>AVERAGE(Q9:Q30)</f>
        <v>13273.381363636367</v>
      </c>
      <c r="R31" s="35">
        <f>AVERAGE(R9:R30)</f>
        <v>14931.292813492082</v>
      </c>
      <c r="S31" s="34">
        <f>AVERAGE(S9:S30)</f>
        <v>1.2527136363636364</v>
      </c>
    </row>
    <row r="32" spans="2:19" s="5" customFormat="1" x14ac:dyDescent="0.2">
      <c r="B32" s="33" t="s">
        <v>12</v>
      </c>
      <c r="C32" s="32">
        <f t="shared" ref="C32:S32" si="4">MAX(C9:C30)</f>
        <v>17285</v>
      </c>
      <c r="D32" s="31">
        <f t="shared" si="4"/>
        <v>17285</v>
      </c>
      <c r="E32" s="30">
        <f t="shared" si="4"/>
        <v>17285</v>
      </c>
      <c r="F32" s="32">
        <f t="shared" si="4"/>
        <v>17100</v>
      </c>
      <c r="G32" s="31">
        <f t="shared" si="4"/>
        <v>17100</v>
      </c>
      <c r="H32" s="30">
        <f t="shared" si="4"/>
        <v>17100</v>
      </c>
      <c r="I32" s="32">
        <f t="shared" si="4"/>
        <v>16925</v>
      </c>
      <c r="J32" s="31">
        <f t="shared" si="4"/>
        <v>16925</v>
      </c>
      <c r="K32" s="30">
        <f t="shared" si="4"/>
        <v>16925</v>
      </c>
      <c r="L32" s="29">
        <f t="shared" si="4"/>
        <v>17285</v>
      </c>
      <c r="M32" s="28">
        <f t="shared" si="4"/>
        <v>1.2793000000000001</v>
      </c>
      <c r="N32" s="27">
        <f t="shared" si="4"/>
        <v>1.1387</v>
      </c>
      <c r="O32" s="26">
        <f t="shared" si="4"/>
        <v>109.42</v>
      </c>
      <c r="P32" s="25">
        <f t="shared" si="4"/>
        <v>13785.82</v>
      </c>
      <c r="Q32" s="25">
        <f t="shared" si="4"/>
        <v>13664.28</v>
      </c>
      <c r="R32" s="25">
        <f t="shared" si="4"/>
        <v>15291.499777481087</v>
      </c>
      <c r="S32" s="24">
        <f t="shared" si="4"/>
        <v>1.2799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15842</v>
      </c>
      <c r="D33" s="21">
        <f t="shared" si="5"/>
        <v>15842</v>
      </c>
      <c r="E33" s="20">
        <f t="shared" si="5"/>
        <v>15842</v>
      </c>
      <c r="F33" s="22">
        <f t="shared" si="5"/>
        <v>15659</v>
      </c>
      <c r="G33" s="21">
        <f t="shared" si="5"/>
        <v>15659</v>
      </c>
      <c r="H33" s="20">
        <f t="shared" si="5"/>
        <v>15659</v>
      </c>
      <c r="I33" s="22">
        <f t="shared" si="5"/>
        <v>15510</v>
      </c>
      <c r="J33" s="21">
        <f t="shared" si="5"/>
        <v>15510</v>
      </c>
      <c r="K33" s="20">
        <f t="shared" si="5"/>
        <v>15510</v>
      </c>
      <c r="L33" s="19">
        <f t="shared" si="5"/>
        <v>15842</v>
      </c>
      <c r="M33" s="18">
        <f t="shared" si="5"/>
        <v>1.2272000000000001</v>
      </c>
      <c r="N33" s="17">
        <f t="shared" si="5"/>
        <v>1.1112</v>
      </c>
      <c r="O33" s="16">
        <f t="shared" si="5"/>
        <v>106</v>
      </c>
      <c r="P33" s="15">
        <f t="shared" si="5"/>
        <v>12767.15</v>
      </c>
      <c r="Q33" s="15">
        <f t="shared" si="5"/>
        <v>12582.7</v>
      </c>
      <c r="R33" s="15">
        <f t="shared" si="5"/>
        <v>14256.659467242622</v>
      </c>
      <c r="S33" s="14">
        <f t="shared" si="5"/>
        <v>1.2278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43983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43983</v>
      </c>
      <c r="C9" s="46">
        <v>12418</v>
      </c>
      <c r="D9" s="45">
        <v>12418</v>
      </c>
      <c r="E9" s="44">
        <f t="shared" ref="E9:E30" si="0">AVERAGE(C9:D9)</f>
        <v>12418</v>
      </c>
      <c r="F9" s="46">
        <v>12485</v>
      </c>
      <c r="G9" s="45">
        <v>12485</v>
      </c>
      <c r="H9" s="44">
        <f t="shared" ref="H9:H30" si="1">AVERAGE(F9:G9)</f>
        <v>12485</v>
      </c>
      <c r="I9" s="46">
        <v>12802</v>
      </c>
      <c r="J9" s="45">
        <v>12802</v>
      </c>
      <c r="K9" s="44">
        <f t="shared" ref="K9:K30" si="2">AVERAGE(I9:J9)</f>
        <v>12802</v>
      </c>
      <c r="L9" s="46">
        <v>13030</v>
      </c>
      <c r="M9" s="45">
        <v>13030</v>
      </c>
      <c r="N9" s="44">
        <f t="shared" ref="N9:N30" si="3">AVERAGE(L9:M9)</f>
        <v>13030</v>
      </c>
      <c r="O9" s="46">
        <v>13250</v>
      </c>
      <c r="P9" s="45">
        <v>13250</v>
      </c>
      <c r="Q9" s="44">
        <f t="shared" ref="Q9:Q30" si="4">AVERAGE(O9:P9)</f>
        <v>13250</v>
      </c>
      <c r="R9" s="52">
        <v>12418</v>
      </c>
      <c r="S9" s="51">
        <v>1.2388999999999999</v>
      </c>
      <c r="T9" s="53">
        <v>1.1112</v>
      </c>
      <c r="U9" s="50">
        <v>107.74</v>
      </c>
      <c r="V9" s="43">
        <v>10023.41</v>
      </c>
      <c r="W9" s="43">
        <v>10073.42</v>
      </c>
      <c r="X9" s="49">
        <f t="shared" ref="X9:X30" si="5">R9/T9</f>
        <v>11175.305975521958</v>
      </c>
      <c r="Y9" s="48">
        <v>1.2394000000000001</v>
      </c>
    </row>
    <row r="10" spans="1:25" x14ac:dyDescent="0.2">
      <c r="B10" s="47">
        <v>43984</v>
      </c>
      <c r="C10" s="46">
        <v>12680</v>
      </c>
      <c r="D10" s="45">
        <v>12680</v>
      </c>
      <c r="E10" s="44">
        <f t="shared" si="0"/>
        <v>12680</v>
      </c>
      <c r="F10" s="46">
        <v>12751</v>
      </c>
      <c r="G10" s="45">
        <v>12751</v>
      </c>
      <c r="H10" s="44">
        <f t="shared" si="1"/>
        <v>12751</v>
      </c>
      <c r="I10" s="46">
        <v>13059</v>
      </c>
      <c r="J10" s="45">
        <v>13059</v>
      </c>
      <c r="K10" s="44">
        <f t="shared" si="2"/>
        <v>13059</v>
      </c>
      <c r="L10" s="46">
        <v>13283</v>
      </c>
      <c r="M10" s="45">
        <v>13283</v>
      </c>
      <c r="N10" s="44">
        <f t="shared" si="3"/>
        <v>13283</v>
      </c>
      <c r="O10" s="46">
        <v>13503</v>
      </c>
      <c r="P10" s="45">
        <v>13503</v>
      </c>
      <c r="Q10" s="44">
        <f t="shared" si="4"/>
        <v>13503</v>
      </c>
      <c r="R10" s="52">
        <v>12680</v>
      </c>
      <c r="S10" s="51">
        <v>1.254</v>
      </c>
      <c r="T10" s="51">
        <v>1.1169</v>
      </c>
      <c r="U10" s="50">
        <v>107.91</v>
      </c>
      <c r="V10" s="43">
        <v>10111.64</v>
      </c>
      <c r="W10" s="43">
        <v>10164.209999999999</v>
      </c>
      <c r="X10" s="49">
        <f t="shared" si="5"/>
        <v>11352.851642940281</v>
      </c>
      <c r="Y10" s="48">
        <v>1.2544999999999999</v>
      </c>
    </row>
    <row r="11" spans="1:25" x14ac:dyDescent="0.2">
      <c r="B11" s="47">
        <v>43985</v>
      </c>
      <c r="C11" s="46">
        <v>12812</v>
      </c>
      <c r="D11" s="45">
        <v>12812</v>
      </c>
      <c r="E11" s="44">
        <f t="shared" si="0"/>
        <v>12812</v>
      </c>
      <c r="F11" s="46">
        <v>12885</v>
      </c>
      <c r="G11" s="45">
        <v>12885</v>
      </c>
      <c r="H11" s="44">
        <f t="shared" si="1"/>
        <v>12885</v>
      </c>
      <c r="I11" s="46">
        <v>13189</v>
      </c>
      <c r="J11" s="45">
        <v>13189</v>
      </c>
      <c r="K11" s="44">
        <f t="shared" si="2"/>
        <v>13189</v>
      </c>
      <c r="L11" s="46">
        <v>13413</v>
      </c>
      <c r="M11" s="45">
        <v>13413</v>
      </c>
      <c r="N11" s="44">
        <f t="shared" si="3"/>
        <v>13413</v>
      </c>
      <c r="O11" s="46">
        <v>13633</v>
      </c>
      <c r="P11" s="45">
        <v>13633</v>
      </c>
      <c r="Q11" s="44">
        <f t="shared" si="4"/>
        <v>13633</v>
      </c>
      <c r="R11" s="52">
        <v>12812</v>
      </c>
      <c r="S11" s="51">
        <v>1.2563</v>
      </c>
      <c r="T11" s="51">
        <v>1.1194999999999999</v>
      </c>
      <c r="U11" s="50">
        <v>108.59</v>
      </c>
      <c r="V11" s="43">
        <v>10198.200000000001</v>
      </c>
      <c r="W11" s="43">
        <v>10251.41</v>
      </c>
      <c r="X11" s="49">
        <f t="shared" si="5"/>
        <v>11444.394819115678</v>
      </c>
      <c r="Y11" s="48">
        <v>1.2568999999999999</v>
      </c>
    </row>
    <row r="12" spans="1:25" x14ac:dyDescent="0.2">
      <c r="B12" s="47">
        <v>43986</v>
      </c>
      <c r="C12" s="46">
        <v>12608</v>
      </c>
      <c r="D12" s="45">
        <v>12608</v>
      </c>
      <c r="E12" s="44">
        <f t="shared" si="0"/>
        <v>12608</v>
      </c>
      <c r="F12" s="46">
        <v>12671</v>
      </c>
      <c r="G12" s="45">
        <v>12671</v>
      </c>
      <c r="H12" s="44">
        <f t="shared" si="1"/>
        <v>12671</v>
      </c>
      <c r="I12" s="46">
        <v>12982</v>
      </c>
      <c r="J12" s="45">
        <v>12982</v>
      </c>
      <c r="K12" s="44">
        <f t="shared" si="2"/>
        <v>12982</v>
      </c>
      <c r="L12" s="46">
        <v>13207</v>
      </c>
      <c r="M12" s="45">
        <v>13207</v>
      </c>
      <c r="N12" s="44">
        <f t="shared" si="3"/>
        <v>13207</v>
      </c>
      <c r="O12" s="46">
        <v>13427</v>
      </c>
      <c r="P12" s="45">
        <v>13427</v>
      </c>
      <c r="Q12" s="44">
        <f t="shared" si="4"/>
        <v>13427</v>
      </c>
      <c r="R12" s="52">
        <v>12608</v>
      </c>
      <c r="S12" s="51">
        <v>1.2568999999999999</v>
      </c>
      <c r="T12" s="51">
        <v>1.1269</v>
      </c>
      <c r="U12" s="50">
        <v>108.9</v>
      </c>
      <c r="V12" s="43">
        <v>10031.030000000001</v>
      </c>
      <c r="W12" s="43">
        <v>10076.34</v>
      </c>
      <c r="X12" s="49">
        <f t="shared" si="5"/>
        <v>11188.21545833703</v>
      </c>
      <c r="Y12" s="48">
        <v>1.2575000000000001</v>
      </c>
    </row>
    <row r="13" spans="1:25" x14ac:dyDescent="0.2">
      <c r="B13" s="47">
        <v>43987</v>
      </c>
      <c r="C13" s="46">
        <v>12785</v>
      </c>
      <c r="D13" s="45">
        <v>12785</v>
      </c>
      <c r="E13" s="44">
        <f t="shared" si="0"/>
        <v>12785</v>
      </c>
      <c r="F13" s="46">
        <v>12857</v>
      </c>
      <c r="G13" s="45">
        <v>12857</v>
      </c>
      <c r="H13" s="44">
        <f t="shared" si="1"/>
        <v>12857</v>
      </c>
      <c r="I13" s="46">
        <v>13170</v>
      </c>
      <c r="J13" s="45">
        <v>13170</v>
      </c>
      <c r="K13" s="44">
        <f t="shared" si="2"/>
        <v>13170</v>
      </c>
      <c r="L13" s="46">
        <v>13405</v>
      </c>
      <c r="M13" s="45">
        <v>13405</v>
      </c>
      <c r="N13" s="44">
        <f t="shared" si="3"/>
        <v>13405</v>
      </c>
      <c r="O13" s="46">
        <v>13625</v>
      </c>
      <c r="P13" s="45">
        <v>13625</v>
      </c>
      <c r="Q13" s="44">
        <f t="shared" si="4"/>
        <v>13625</v>
      </c>
      <c r="R13" s="52">
        <v>12785</v>
      </c>
      <c r="S13" s="51">
        <v>1.2663</v>
      </c>
      <c r="T13" s="51">
        <v>1.1335999999999999</v>
      </c>
      <c r="U13" s="50">
        <v>109.24</v>
      </c>
      <c r="V13" s="43">
        <v>10096.34</v>
      </c>
      <c r="W13" s="43">
        <v>10149.19</v>
      </c>
      <c r="X13" s="49">
        <f t="shared" si="5"/>
        <v>11278.228652081863</v>
      </c>
      <c r="Y13" s="48">
        <v>1.2667999999999999</v>
      </c>
    </row>
    <row r="14" spans="1:25" x14ac:dyDescent="0.2">
      <c r="B14" s="47">
        <v>43990</v>
      </c>
      <c r="C14" s="46">
        <v>12943</v>
      </c>
      <c r="D14" s="45">
        <v>12943</v>
      </c>
      <c r="E14" s="44">
        <f t="shared" si="0"/>
        <v>12943</v>
      </c>
      <c r="F14" s="46">
        <v>13010</v>
      </c>
      <c r="G14" s="45">
        <v>13010</v>
      </c>
      <c r="H14" s="44">
        <f t="shared" si="1"/>
        <v>13010</v>
      </c>
      <c r="I14" s="46">
        <v>13321</v>
      </c>
      <c r="J14" s="45">
        <v>13321</v>
      </c>
      <c r="K14" s="44">
        <f t="shared" si="2"/>
        <v>13321</v>
      </c>
      <c r="L14" s="46">
        <v>13551</v>
      </c>
      <c r="M14" s="45">
        <v>13551</v>
      </c>
      <c r="N14" s="44">
        <f t="shared" si="3"/>
        <v>13551</v>
      </c>
      <c r="O14" s="46">
        <v>13771</v>
      </c>
      <c r="P14" s="45">
        <v>13771</v>
      </c>
      <c r="Q14" s="44">
        <f t="shared" si="4"/>
        <v>13771</v>
      </c>
      <c r="R14" s="52">
        <v>12943</v>
      </c>
      <c r="S14" s="51">
        <v>1.2656000000000001</v>
      </c>
      <c r="T14" s="51">
        <v>1.1276999999999999</v>
      </c>
      <c r="U14" s="50">
        <v>109.42</v>
      </c>
      <c r="V14" s="43">
        <v>10226.77</v>
      </c>
      <c r="W14" s="43">
        <v>10274.84</v>
      </c>
      <c r="X14" s="49">
        <f t="shared" si="5"/>
        <v>11477.343265052763</v>
      </c>
      <c r="Y14" s="48">
        <v>1.2662</v>
      </c>
    </row>
    <row r="15" spans="1:25" x14ac:dyDescent="0.2">
      <c r="B15" s="47">
        <v>43991</v>
      </c>
      <c r="C15" s="46">
        <v>12804</v>
      </c>
      <c r="D15" s="45">
        <v>12804</v>
      </c>
      <c r="E15" s="44">
        <f t="shared" si="0"/>
        <v>12804</v>
      </c>
      <c r="F15" s="46">
        <v>12879</v>
      </c>
      <c r="G15" s="45">
        <v>12879</v>
      </c>
      <c r="H15" s="44">
        <f t="shared" si="1"/>
        <v>12879</v>
      </c>
      <c r="I15" s="46">
        <v>13201</v>
      </c>
      <c r="J15" s="45">
        <v>13201</v>
      </c>
      <c r="K15" s="44">
        <f t="shared" si="2"/>
        <v>13201</v>
      </c>
      <c r="L15" s="46">
        <v>13441</v>
      </c>
      <c r="M15" s="45">
        <v>13441</v>
      </c>
      <c r="N15" s="44">
        <f t="shared" si="3"/>
        <v>13441</v>
      </c>
      <c r="O15" s="46">
        <v>13661</v>
      </c>
      <c r="P15" s="45">
        <v>13661</v>
      </c>
      <c r="Q15" s="44">
        <f t="shared" si="4"/>
        <v>13661</v>
      </c>
      <c r="R15" s="52">
        <v>12804</v>
      </c>
      <c r="S15" s="51">
        <v>1.2669999999999999</v>
      </c>
      <c r="T15" s="51">
        <v>1.1282000000000001</v>
      </c>
      <c r="U15" s="50">
        <v>108.14</v>
      </c>
      <c r="V15" s="43">
        <v>10105.76</v>
      </c>
      <c r="W15" s="43">
        <v>10160.15</v>
      </c>
      <c r="X15" s="49">
        <f t="shared" si="5"/>
        <v>11349.05158659812</v>
      </c>
      <c r="Y15" s="48">
        <v>1.2676000000000001</v>
      </c>
    </row>
    <row r="16" spans="1:25" x14ac:dyDescent="0.2">
      <c r="B16" s="47">
        <v>43992</v>
      </c>
      <c r="C16" s="46">
        <v>12881</v>
      </c>
      <c r="D16" s="45">
        <v>12881</v>
      </c>
      <c r="E16" s="44">
        <f t="shared" si="0"/>
        <v>12881</v>
      </c>
      <c r="F16" s="46">
        <v>12952</v>
      </c>
      <c r="G16" s="45">
        <v>12952</v>
      </c>
      <c r="H16" s="44">
        <f t="shared" si="1"/>
        <v>12952</v>
      </c>
      <c r="I16" s="46">
        <v>13271</v>
      </c>
      <c r="J16" s="45">
        <v>13271</v>
      </c>
      <c r="K16" s="44">
        <f t="shared" si="2"/>
        <v>13271</v>
      </c>
      <c r="L16" s="46">
        <v>13511</v>
      </c>
      <c r="M16" s="45">
        <v>13511</v>
      </c>
      <c r="N16" s="44">
        <f t="shared" si="3"/>
        <v>13511</v>
      </c>
      <c r="O16" s="46">
        <v>13731</v>
      </c>
      <c r="P16" s="45">
        <v>13731</v>
      </c>
      <c r="Q16" s="44">
        <f t="shared" si="4"/>
        <v>13731</v>
      </c>
      <c r="R16" s="52">
        <v>12881</v>
      </c>
      <c r="S16" s="51">
        <v>1.2793000000000001</v>
      </c>
      <c r="T16" s="51">
        <v>1.1387</v>
      </c>
      <c r="U16" s="50">
        <v>107.37</v>
      </c>
      <c r="V16" s="43">
        <v>10068.790000000001</v>
      </c>
      <c r="W16" s="43">
        <v>10119.540000000001</v>
      </c>
      <c r="X16" s="49">
        <f t="shared" si="5"/>
        <v>11312.022481777465</v>
      </c>
      <c r="Y16" s="48">
        <v>1.2799</v>
      </c>
    </row>
    <row r="17" spans="2:25" x14ac:dyDescent="0.2">
      <c r="B17" s="47">
        <v>43993</v>
      </c>
      <c r="C17" s="46">
        <v>12615</v>
      </c>
      <c r="D17" s="45">
        <v>12615</v>
      </c>
      <c r="E17" s="44">
        <f t="shared" si="0"/>
        <v>12615</v>
      </c>
      <c r="F17" s="46">
        <v>12681</v>
      </c>
      <c r="G17" s="45">
        <v>12681</v>
      </c>
      <c r="H17" s="44">
        <f t="shared" si="1"/>
        <v>12681</v>
      </c>
      <c r="I17" s="46">
        <v>12998</v>
      </c>
      <c r="J17" s="45">
        <v>12998</v>
      </c>
      <c r="K17" s="44">
        <f t="shared" si="2"/>
        <v>12998</v>
      </c>
      <c r="L17" s="46">
        <v>13233</v>
      </c>
      <c r="M17" s="45">
        <v>13233</v>
      </c>
      <c r="N17" s="44">
        <f t="shared" si="3"/>
        <v>13233</v>
      </c>
      <c r="O17" s="46">
        <v>13463</v>
      </c>
      <c r="P17" s="45">
        <v>13463</v>
      </c>
      <c r="Q17" s="44">
        <f t="shared" si="4"/>
        <v>13463</v>
      </c>
      <c r="R17" s="52">
        <v>12615</v>
      </c>
      <c r="S17" s="51">
        <v>1.2653000000000001</v>
      </c>
      <c r="T17" s="51">
        <v>1.1355999999999999</v>
      </c>
      <c r="U17" s="50">
        <v>107.09</v>
      </c>
      <c r="V17" s="43">
        <v>9969.9699999999993</v>
      </c>
      <c r="W17" s="43">
        <v>10017.379999999999</v>
      </c>
      <c r="X17" s="49">
        <f t="shared" si="5"/>
        <v>11108.665022895386</v>
      </c>
      <c r="Y17" s="48">
        <v>1.2659</v>
      </c>
    </row>
    <row r="18" spans="2:25" x14ac:dyDescent="0.2">
      <c r="B18" s="47">
        <v>43994</v>
      </c>
      <c r="C18" s="46">
        <v>12733</v>
      </c>
      <c r="D18" s="45">
        <v>12733</v>
      </c>
      <c r="E18" s="44">
        <f t="shared" si="0"/>
        <v>12733</v>
      </c>
      <c r="F18" s="46">
        <v>12795</v>
      </c>
      <c r="G18" s="45">
        <v>12795</v>
      </c>
      <c r="H18" s="44">
        <f t="shared" si="1"/>
        <v>12795</v>
      </c>
      <c r="I18" s="46">
        <v>13109</v>
      </c>
      <c r="J18" s="45">
        <v>13109</v>
      </c>
      <c r="K18" s="44">
        <f t="shared" si="2"/>
        <v>13109</v>
      </c>
      <c r="L18" s="46">
        <v>13332</v>
      </c>
      <c r="M18" s="45">
        <v>13332</v>
      </c>
      <c r="N18" s="44">
        <f t="shared" si="3"/>
        <v>13332</v>
      </c>
      <c r="O18" s="46">
        <v>13562</v>
      </c>
      <c r="P18" s="45">
        <v>13562</v>
      </c>
      <c r="Q18" s="44">
        <f t="shared" si="4"/>
        <v>13562</v>
      </c>
      <c r="R18" s="52">
        <v>12733</v>
      </c>
      <c r="S18" s="51">
        <v>1.262</v>
      </c>
      <c r="T18" s="51">
        <v>1.1309</v>
      </c>
      <c r="U18" s="50">
        <v>107.36</v>
      </c>
      <c r="V18" s="43">
        <v>10089.540000000001</v>
      </c>
      <c r="W18" s="43">
        <v>10133.049999999999</v>
      </c>
      <c r="X18" s="49">
        <f t="shared" si="5"/>
        <v>11259.174109116633</v>
      </c>
      <c r="Y18" s="48">
        <v>1.2626999999999999</v>
      </c>
    </row>
    <row r="19" spans="2:25" x14ac:dyDescent="0.2">
      <c r="B19" s="47">
        <v>43997</v>
      </c>
      <c r="C19" s="46">
        <v>12503</v>
      </c>
      <c r="D19" s="45">
        <v>12503</v>
      </c>
      <c r="E19" s="44">
        <f t="shared" si="0"/>
        <v>12503</v>
      </c>
      <c r="F19" s="46">
        <v>12575</v>
      </c>
      <c r="G19" s="45">
        <v>12575</v>
      </c>
      <c r="H19" s="44">
        <f t="shared" si="1"/>
        <v>12575</v>
      </c>
      <c r="I19" s="46">
        <v>12882</v>
      </c>
      <c r="J19" s="45">
        <v>12882</v>
      </c>
      <c r="K19" s="44">
        <f t="shared" si="2"/>
        <v>12882</v>
      </c>
      <c r="L19" s="46">
        <v>13104</v>
      </c>
      <c r="M19" s="45">
        <v>13104</v>
      </c>
      <c r="N19" s="44">
        <f t="shared" si="3"/>
        <v>13104</v>
      </c>
      <c r="O19" s="46">
        <v>13334</v>
      </c>
      <c r="P19" s="45">
        <v>13334</v>
      </c>
      <c r="Q19" s="44">
        <f t="shared" si="4"/>
        <v>13334</v>
      </c>
      <c r="R19" s="52">
        <v>12503</v>
      </c>
      <c r="S19" s="51">
        <v>1.2546999999999999</v>
      </c>
      <c r="T19" s="51">
        <v>1.1256999999999999</v>
      </c>
      <c r="U19" s="50">
        <v>107.37</v>
      </c>
      <c r="V19" s="43">
        <v>9964.93</v>
      </c>
      <c r="W19" s="43">
        <v>10016.73</v>
      </c>
      <c r="X19" s="49">
        <f t="shared" si="5"/>
        <v>11106.866838411655</v>
      </c>
      <c r="Y19" s="48">
        <v>1.2554000000000001</v>
      </c>
    </row>
    <row r="20" spans="2:25" x14ac:dyDescent="0.2">
      <c r="B20" s="47">
        <v>43998</v>
      </c>
      <c r="C20" s="46">
        <v>12930</v>
      </c>
      <c r="D20" s="45">
        <v>12930</v>
      </c>
      <c r="E20" s="44">
        <f t="shared" si="0"/>
        <v>12930</v>
      </c>
      <c r="F20" s="46">
        <v>12974</v>
      </c>
      <c r="G20" s="45">
        <v>12974</v>
      </c>
      <c r="H20" s="44">
        <f t="shared" si="1"/>
        <v>12974</v>
      </c>
      <c r="I20" s="46">
        <v>13279</v>
      </c>
      <c r="J20" s="45">
        <v>13279</v>
      </c>
      <c r="K20" s="44">
        <f t="shared" si="2"/>
        <v>13279</v>
      </c>
      <c r="L20" s="46">
        <v>13504</v>
      </c>
      <c r="M20" s="45">
        <v>13504</v>
      </c>
      <c r="N20" s="44">
        <f t="shared" si="3"/>
        <v>13504</v>
      </c>
      <c r="O20" s="46">
        <v>13734</v>
      </c>
      <c r="P20" s="45">
        <v>13734</v>
      </c>
      <c r="Q20" s="44">
        <f t="shared" si="4"/>
        <v>13734</v>
      </c>
      <c r="R20" s="52">
        <v>12930</v>
      </c>
      <c r="S20" s="51">
        <v>1.2649999999999999</v>
      </c>
      <c r="T20" s="51">
        <v>1.1304000000000001</v>
      </c>
      <c r="U20" s="50">
        <v>107.33</v>
      </c>
      <c r="V20" s="43">
        <v>10221.34</v>
      </c>
      <c r="W20" s="43">
        <v>10250.450000000001</v>
      </c>
      <c r="X20" s="49">
        <f t="shared" si="5"/>
        <v>11438.428874734607</v>
      </c>
      <c r="Y20" s="48">
        <v>1.2657</v>
      </c>
    </row>
    <row r="21" spans="2:25" x14ac:dyDescent="0.2">
      <c r="B21" s="47">
        <v>43999</v>
      </c>
      <c r="C21" s="46">
        <v>12900</v>
      </c>
      <c r="D21" s="45">
        <v>12900</v>
      </c>
      <c r="E21" s="44">
        <f t="shared" si="0"/>
        <v>12900</v>
      </c>
      <c r="F21" s="46">
        <v>12948</v>
      </c>
      <c r="G21" s="45">
        <v>12948</v>
      </c>
      <c r="H21" s="44">
        <f t="shared" si="1"/>
        <v>12948</v>
      </c>
      <c r="I21" s="46">
        <v>13248</v>
      </c>
      <c r="J21" s="45">
        <v>13248</v>
      </c>
      <c r="K21" s="44">
        <f t="shared" si="2"/>
        <v>13248</v>
      </c>
      <c r="L21" s="46">
        <v>13473</v>
      </c>
      <c r="M21" s="45">
        <v>13473</v>
      </c>
      <c r="N21" s="44">
        <f t="shared" si="3"/>
        <v>13473</v>
      </c>
      <c r="O21" s="46">
        <v>13703</v>
      </c>
      <c r="P21" s="45">
        <v>13703</v>
      </c>
      <c r="Q21" s="44">
        <f t="shared" si="4"/>
        <v>13703</v>
      </c>
      <c r="R21" s="52">
        <v>12900</v>
      </c>
      <c r="S21" s="51">
        <v>1.2563</v>
      </c>
      <c r="T21" s="51">
        <v>1.1232</v>
      </c>
      <c r="U21" s="50">
        <v>107.38</v>
      </c>
      <c r="V21" s="43">
        <v>10268.25</v>
      </c>
      <c r="W21" s="43">
        <v>10300.719999999999</v>
      </c>
      <c r="X21" s="49">
        <f t="shared" si="5"/>
        <v>11485.042735042734</v>
      </c>
      <c r="Y21" s="48">
        <v>1.2569999999999999</v>
      </c>
    </row>
    <row r="22" spans="2:25" x14ac:dyDescent="0.2">
      <c r="B22" s="47">
        <v>44000</v>
      </c>
      <c r="C22" s="46">
        <v>12760</v>
      </c>
      <c r="D22" s="45">
        <v>12760</v>
      </c>
      <c r="E22" s="44">
        <f t="shared" si="0"/>
        <v>12760</v>
      </c>
      <c r="F22" s="46">
        <v>12818</v>
      </c>
      <c r="G22" s="45">
        <v>12818</v>
      </c>
      <c r="H22" s="44">
        <f t="shared" si="1"/>
        <v>12818</v>
      </c>
      <c r="I22" s="46">
        <v>13120</v>
      </c>
      <c r="J22" s="45">
        <v>13120</v>
      </c>
      <c r="K22" s="44">
        <f t="shared" si="2"/>
        <v>13120</v>
      </c>
      <c r="L22" s="46">
        <v>13345</v>
      </c>
      <c r="M22" s="45">
        <v>13345</v>
      </c>
      <c r="N22" s="44">
        <f t="shared" si="3"/>
        <v>13345</v>
      </c>
      <c r="O22" s="46">
        <v>13575</v>
      </c>
      <c r="P22" s="45">
        <v>13575</v>
      </c>
      <c r="Q22" s="44">
        <f t="shared" si="4"/>
        <v>13575</v>
      </c>
      <c r="R22" s="52">
        <v>12760</v>
      </c>
      <c r="S22" s="51">
        <v>1.2485999999999999</v>
      </c>
      <c r="T22" s="51">
        <v>1.1234999999999999</v>
      </c>
      <c r="U22" s="50">
        <v>106.91</v>
      </c>
      <c r="V22" s="43">
        <v>10219.450000000001</v>
      </c>
      <c r="W22" s="43">
        <v>10260.969999999999</v>
      </c>
      <c r="X22" s="49">
        <f t="shared" si="5"/>
        <v>11357.365376056965</v>
      </c>
      <c r="Y22" s="48">
        <v>1.2492000000000001</v>
      </c>
    </row>
    <row r="23" spans="2:25" x14ac:dyDescent="0.2">
      <c r="B23" s="47">
        <v>44001</v>
      </c>
      <c r="C23" s="46">
        <v>12855</v>
      </c>
      <c r="D23" s="45">
        <v>12855</v>
      </c>
      <c r="E23" s="44">
        <f t="shared" si="0"/>
        <v>12855</v>
      </c>
      <c r="F23" s="46">
        <v>12921</v>
      </c>
      <c r="G23" s="45">
        <v>12921</v>
      </c>
      <c r="H23" s="44">
        <f t="shared" si="1"/>
        <v>12921</v>
      </c>
      <c r="I23" s="46">
        <v>13161</v>
      </c>
      <c r="J23" s="45">
        <v>13161</v>
      </c>
      <c r="K23" s="44">
        <f t="shared" si="2"/>
        <v>13161</v>
      </c>
      <c r="L23" s="46">
        <v>13440</v>
      </c>
      <c r="M23" s="45">
        <v>13440</v>
      </c>
      <c r="N23" s="44">
        <f t="shared" si="3"/>
        <v>13440</v>
      </c>
      <c r="O23" s="46">
        <v>13670</v>
      </c>
      <c r="P23" s="45">
        <v>13670</v>
      </c>
      <c r="Q23" s="44">
        <f t="shared" si="4"/>
        <v>13670</v>
      </c>
      <c r="R23" s="52">
        <v>12855</v>
      </c>
      <c r="S23" s="51">
        <v>1.2372000000000001</v>
      </c>
      <c r="T23" s="51">
        <v>1.1211</v>
      </c>
      <c r="U23" s="50">
        <v>106.86</v>
      </c>
      <c r="V23" s="43">
        <v>10390.4</v>
      </c>
      <c r="W23" s="43">
        <v>10438.68</v>
      </c>
      <c r="X23" s="49">
        <f t="shared" si="5"/>
        <v>11466.416911961467</v>
      </c>
      <c r="Y23" s="48">
        <v>1.2378</v>
      </c>
    </row>
    <row r="24" spans="2:25" x14ac:dyDescent="0.2">
      <c r="B24" s="47">
        <v>44004</v>
      </c>
      <c r="C24" s="46">
        <v>12625</v>
      </c>
      <c r="D24" s="45">
        <v>12625</v>
      </c>
      <c r="E24" s="44">
        <f t="shared" si="0"/>
        <v>12625</v>
      </c>
      <c r="F24" s="46">
        <v>12692</v>
      </c>
      <c r="G24" s="45">
        <v>12692</v>
      </c>
      <c r="H24" s="44">
        <f t="shared" si="1"/>
        <v>12692</v>
      </c>
      <c r="I24" s="46">
        <v>12985</v>
      </c>
      <c r="J24" s="45">
        <v>12985</v>
      </c>
      <c r="K24" s="44">
        <f t="shared" si="2"/>
        <v>12985</v>
      </c>
      <c r="L24" s="46">
        <v>13210</v>
      </c>
      <c r="M24" s="45">
        <v>13210</v>
      </c>
      <c r="N24" s="44">
        <f t="shared" si="3"/>
        <v>13210</v>
      </c>
      <c r="O24" s="46">
        <v>13440</v>
      </c>
      <c r="P24" s="45">
        <v>13440</v>
      </c>
      <c r="Q24" s="44">
        <f t="shared" si="4"/>
        <v>13440</v>
      </c>
      <c r="R24" s="52">
        <v>12625</v>
      </c>
      <c r="S24" s="51">
        <v>1.2404999999999999</v>
      </c>
      <c r="T24" s="51">
        <v>1.1213</v>
      </c>
      <c r="U24" s="50">
        <v>106.94</v>
      </c>
      <c r="V24" s="43">
        <v>10177.35</v>
      </c>
      <c r="W24" s="43">
        <v>10231.36</v>
      </c>
      <c r="X24" s="49">
        <f t="shared" si="5"/>
        <v>11259.252653170428</v>
      </c>
      <c r="Y24" s="48">
        <v>1.2404999999999999</v>
      </c>
    </row>
    <row r="25" spans="2:25" x14ac:dyDescent="0.2">
      <c r="B25" s="47">
        <v>44005</v>
      </c>
      <c r="C25" s="46">
        <v>12541</v>
      </c>
      <c r="D25" s="45">
        <v>12541</v>
      </c>
      <c r="E25" s="44">
        <f t="shared" si="0"/>
        <v>12541</v>
      </c>
      <c r="F25" s="46">
        <v>12592</v>
      </c>
      <c r="G25" s="45">
        <v>12592</v>
      </c>
      <c r="H25" s="44">
        <f t="shared" si="1"/>
        <v>12592</v>
      </c>
      <c r="I25" s="46">
        <v>12881</v>
      </c>
      <c r="J25" s="45">
        <v>12881</v>
      </c>
      <c r="K25" s="44">
        <f t="shared" si="2"/>
        <v>12881</v>
      </c>
      <c r="L25" s="46">
        <v>13106</v>
      </c>
      <c r="M25" s="45">
        <v>13106</v>
      </c>
      <c r="N25" s="44">
        <f t="shared" si="3"/>
        <v>13106</v>
      </c>
      <c r="O25" s="46">
        <v>13336</v>
      </c>
      <c r="P25" s="45">
        <v>13336</v>
      </c>
      <c r="Q25" s="44">
        <f t="shared" si="4"/>
        <v>13336</v>
      </c>
      <c r="R25" s="52">
        <v>12541</v>
      </c>
      <c r="S25" s="51">
        <v>1.2470000000000001</v>
      </c>
      <c r="T25" s="51">
        <v>1.1306</v>
      </c>
      <c r="U25" s="50">
        <v>106.99</v>
      </c>
      <c r="V25" s="43">
        <v>10056.94</v>
      </c>
      <c r="W25" s="43">
        <v>10097.83</v>
      </c>
      <c r="X25" s="49">
        <f t="shared" si="5"/>
        <v>11092.3403502565</v>
      </c>
      <c r="Y25" s="48">
        <v>1.2470000000000001</v>
      </c>
    </row>
    <row r="26" spans="2:25" x14ac:dyDescent="0.2">
      <c r="B26" s="47">
        <v>44006</v>
      </c>
      <c r="C26" s="46">
        <v>12510</v>
      </c>
      <c r="D26" s="45">
        <v>12510</v>
      </c>
      <c r="E26" s="44">
        <f t="shared" si="0"/>
        <v>12510</v>
      </c>
      <c r="F26" s="46">
        <v>12577</v>
      </c>
      <c r="G26" s="45">
        <v>12577</v>
      </c>
      <c r="H26" s="44">
        <f t="shared" si="1"/>
        <v>12577</v>
      </c>
      <c r="I26" s="46">
        <v>12869</v>
      </c>
      <c r="J26" s="45">
        <v>12869</v>
      </c>
      <c r="K26" s="44">
        <f t="shared" si="2"/>
        <v>12869</v>
      </c>
      <c r="L26" s="46">
        <v>13094</v>
      </c>
      <c r="M26" s="45">
        <v>13094</v>
      </c>
      <c r="N26" s="44">
        <f t="shared" si="3"/>
        <v>13094</v>
      </c>
      <c r="O26" s="46">
        <v>13324</v>
      </c>
      <c r="P26" s="45">
        <v>13324</v>
      </c>
      <c r="Q26" s="44">
        <f t="shared" si="4"/>
        <v>13324</v>
      </c>
      <c r="R26" s="52">
        <v>12510</v>
      </c>
      <c r="S26" s="51">
        <v>1.2488999999999999</v>
      </c>
      <c r="T26" s="51">
        <v>1.1283000000000001</v>
      </c>
      <c r="U26" s="50">
        <v>106.59</v>
      </c>
      <c r="V26" s="43">
        <v>10016.81</v>
      </c>
      <c r="W26" s="43">
        <v>10070.459999999999</v>
      </c>
      <c r="X26" s="49">
        <f t="shared" si="5"/>
        <v>11087.476734910928</v>
      </c>
      <c r="Y26" s="48">
        <v>1.2488999999999999</v>
      </c>
    </row>
    <row r="27" spans="2:25" x14ac:dyDescent="0.2">
      <c r="B27" s="47">
        <v>44007</v>
      </c>
      <c r="C27" s="46">
        <v>12386</v>
      </c>
      <c r="D27" s="45">
        <v>12386</v>
      </c>
      <c r="E27" s="44">
        <f t="shared" si="0"/>
        <v>12386</v>
      </c>
      <c r="F27" s="46">
        <v>12437</v>
      </c>
      <c r="G27" s="45">
        <v>12437</v>
      </c>
      <c r="H27" s="44">
        <f t="shared" si="1"/>
        <v>12437</v>
      </c>
      <c r="I27" s="46">
        <v>12723</v>
      </c>
      <c r="J27" s="45">
        <v>12723</v>
      </c>
      <c r="K27" s="44">
        <f t="shared" si="2"/>
        <v>12723</v>
      </c>
      <c r="L27" s="46">
        <v>12953</v>
      </c>
      <c r="M27" s="45">
        <v>12953</v>
      </c>
      <c r="N27" s="44">
        <f t="shared" si="3"/>
        <v>12953</v>
      </c>
      <c r="O27" s="46">
        <v>13183</v>
      </c>
      <c r="P27" s="45">
        <v>13183</v>
      </c>
      <c r="Q27" s="44">
        <f t="shared" si="4"/>
        <v>13183</v>
      </c>
      <c r="R27" s="52">
        <v>12386</v>
      </c>
      <c r="S27" s="51">
        <v>1.2417</v>
      </c>
      <c r="T27" s="51">
        <v>1.1196999999999999</v>
      </c>
      <c r="U27" s="50">
        <v>107.41</v>
      </c>
      <c r="V27" s="43">
        <v>9975.0300000000007</v>
      </c>
      <c r="W27" s="43">
        <v>10016.11</v>
      </c>
      <c r="X27" s="49">
        <f t="shared" si="5"/>
        <v>11061.891578101278</v>
      </c>
      <c r="Y27" s="48">
        <v>1.2417</v>
      </c>
    </row>
    <row r="28" spans="2:25" x14ac:dyDescent="0.2">
      <c r="B28" s="47">
        <v>44008</v>
      </c>
      <c r="C28" s="46">
        <v>12709</v>
      </c>
      <c r="D28" s="45">
        <v>12709</v>
      </c>
      <c r="E28" s="44">
        <f t="shared" si="0"/>
        <v>12709</v>
      </c>
      <c r="F28" s="46">
        <v>12751</v>
      </c>
      <c r="G28" s="45">
        <v>12751</v>
      </c>
      <c r="H28" s="44">
        <f t="shared" si="1"/>
        <v>12751</v>
      </c>
      <c r="I28" s="46">
        <v>13037</v>
      </c>
      <c r="J28" s="45">
        <v>13037</v>
      </c>
      <c r="K28" s="44">
        <f t="shared" si="2"/>
        <v>13037</v>
      </c>
      <c r="L28" s="46">
        <v>13267</v>
      </c>
      <c r="M28" s="45">
        <v>13267</v>
      </c>
      <c r="N28" s="44">
        <f t="shared" si="3"/>
        <v>13267</v>
      </c>
      <c r="O28" s="46">
        <v>13497</v>
      </c>
      <c r="P28" s="45">
        <v>13497</v>
      </c>
      <c r="Q28" s="44">
        <f t="shared" si="4"/>
        <v>13497</v>
      </c>
      <c r="R28" s="52">
        <v>12709</v>
      </c>
      <c r="S28" s="51">
        <v>1.2390000000000001</v>
      </c>
      <c r="T28" s="51">
        <v>1.1212</v>
      </c>
      <c r="U28" s="50">
        <v>106</v>
      </c>
      <c r="V28" s="43">
        <v>10257.469999999999</v>
      </c>
      <c r="W28" s="43">
        <v>10291.36</v>
      </c>
      <c r="X28" s="49">
        <f t="shared" si="5"/>
        <v>11335.176596503747</v>
      </c>
      <c r="Y28" s="48">
        <v>1.2390000000000001</v>
      </c>
    </row>
    <row r="29" spans="2:25" x14ac:dyDescent="0.2">
      <c r="B29" s="47">
        <v>44011</v>
      </c>
      <c r="C29" s="46">
        <v>12684</v>
      </c>
      <c r="D29" s="45">
        <v>12684</v>
      </c>
      <c r="E29" s="44">
        <f t="shared" si="0"/>
        <v>12684</v>
      </c>
      <c r="F29" s="46">
        <v>12723</v>
      </c>
      <c r="G29" s="45">
        <v>12723</v>
      </c>
      <c r="H29" s="44">
        <f t="shared" si="1"/>
        <v>12723</v>
      </c>
      <c r="I29" s="46">
        <v>12998</v>
      </c>
      <c r="J29" s="45">
        <v>12998</v>
      </c>
      <c r="K29" s="44">
        <f t="shared" si="2"/>
        <v>12998</v>
      </c>
      <c r="L29" s="46">
        <v>13228</v>
      </c>
      <c r="M29" s="45">
        <v>13228</v>
      </c>
      <c r="N29" s="44">
        <f t="shared" si="3"/>
        <v>13228</v>
      </c>
      <c r="O29" s="46">
        <v>13458</v>
      </c>
      <c r="P29" s="45">
        <v>13458</v>
      </c>
      <c r="Q29" s="44">
        <f t="shared" si="4"/>
        <v>13458</v>
      </c>
      <c r="R29" s="52">
        <v>12684</v>
      </c>
      <c r="S29" s="51">
        <v>1.2317</v>
      </c>
      <c r="T29" s="51">
        <v>1.1278999999999999</v>
      </c>
      <c r="U29" s="50">
        <v>107.27</v>
      </c>
      <c r="V29" s="43">
        <v>10297.959999999999</v>
      </c>
      <c r="W29" s="43">
        <v>10324.6</v>
      </c>
      <c r="X29" s="49">
        <f t="shared" si="5"/>
        <v>11245.677808316341</v>
      </c>
      <c r="Y29" s="48">
        <v>1.2323</v>
      </c>
    </row>
    <row r="30" spans="2:25" x14ac:dyDescent="0.2">
      <c r="B30" s="47">
        <v>44012</v>
      </c>
      <c r="C30" s="46">
        <v>12790</v>
      </c>
      <c r="D30" s="45">
        <v>12790</v>
      </c>
      <c r="E30" s="44">
        <f t="shared" si="0"/>
        <v>12790</v>
      </c>
      <c r="F30" s="46">
        <v>12837</v>
      </c>
      <c r="G30" s="45">
        <v>12837</v>
      </c>
      <c r="H30" s="44">
        <f t="shared" si="1"/>
        <v>12837</v>
      </c>
      <c r="I30" s="46">
        <v>13113</v>
      </c>
      <c r="J30" s="45">
        <v>13113</v>
      </c>
      <c r="K30" s="44">
        <f t="shared" si="2"/>
        <v>13113</v>
      </c>
      <c r="L30" s="46">
        <v>13344</v>
      </c>
      <c r="M30" s="45">
        <v>13344</v>
      </c>
      <c r="N30" s="44">
        <f t="shared" si="3"/>
        <v>13344</v>
      </c>
      <c r="O30" s="46">
        <v>13574</v>
      </c>
      <c r="P30" s="45">
        <v>13574</v>
      </c>
      <c r="Q30" s="44">
        <f t="shared" si="4"/>
        <v>13574</v>
      </c>
      <c r="R30" s="52">
        <v>12790</v>
      </c>
      <c r="S30" s="51">
        <v>1.2272000000000001</v>
      </c>
      <c r="T30" s="51">
        <v>1.1194</v>
      </c>
      <c r="U30" s="50">
        <v>107.77</v>
      </c>
      <c r="V30" s="43">
        <v>10422.1</v>
      </c>
      <c r="W30" s="43">
        <v>10455.290000000001</v>
      </c>
      <c r="X30" s="49">
        <f t="shared" si="5"/>
        <v>11425.763802036807</v>
      </c>
      <c r="Y30" s="48">
        <v>1.2278</v>
      </c>
    </row>
    <row r="31" spans="2:25" s="10" customFormat="1" x14ac:dyDescent="0.2">
      <c r="B31" s="42" t="s">
        <v>11</v>
      </c>
      <c r="C31" s="41">
        <f>ROUND(AVERAGE(C9:C30),2)</f>
        <v>12703.27</v>
      </c>
      <c r="D31" s="40">
        <f>ROUND(AVERAGE(D9:D30),2)</f>
        <v>12703.27</v>
      </c>
      <c r="E31" s="39">
        <f>ROUND(AVERAGE(C31:D31),2)</f>
        <v>12703.27</v>
      </c>
      <c r="F31" s="41">
        <f>ROUND(AVERAGE(F9:F30),2)</f>
        <v>12764.14</v>
      </c>
      <c r="G31" s="40">
        <f>ROUND(AVERAGE(G9:G30),2)</f>
        <v>12764.14</v>
      </c>
      <c r="H31" s="39">
        <f>ROUND(AVERAGE(F31:G31),2)</f>
        <v>12764.14</v>
      </c>
      <c r="I31" s="41">
        <f>ROUND(AVERAGE(I9:I30),2)</f>
        <v>13063.55</v>
      </c>
      <c r="J31" s="40">
        <f>ROUND(AVERAGE(J9:J30),2)</f>
        <v>13063.55</v>
      </c>
      <c r="K31" s="39">
        <f>ROUND(AVERAGE(I31:J31),2)</f>
        <v>13063.55</v>
      </c>
      <c r="L31" s="41">
        <f>ROUND(AVERAGE(L9:L30),2)</f>
        <v>13294.27</v>
      </c>
      <c r="M31" s="40">
        <f>ROUND(AVERAGE(M9:M30),2)</f>
        <v>13294.27</v>
      </c>
      <c r="N31" s="39">
        <f>ROUND(AVERAGE(L31:M31),2)</f>
        <v>13294.27</v>
      </c>
      <c r="O31" s="41">
        <f>ROUND(AVERAGE(O9:O30),2)</f>
        <v>13520.64</v>
      </c>
      <c r="P31" s="40">
        <f>ROUND(AVERAGE(P9:P30),2)</f>
        <v>13520.64</v>
      </c>
      <c r="Q31" s="39">
        <f>ROUND(AVERAGE(O31:P31),2)</f>
        <v>13520.64</v>
      </c>
      <c r="R31" s="38">
        <f>ROUND(AVERAGE(R9:R30),2)</f>
        <v>12703.27</v>
      </c>
      <c r="S31" s="37">
        <f>ROUND(AVERAGE(S9:S30),4)</f>
        <v>1.2522</v>
      </c>
      <c r="T31" s="36">
        <f>ROUND(AVERAGE(T9:T30),4)</f>
        <v>1.1254999999999999</v>
      </c>
      <c r="U31" s="175">
        <f>ROUND(AVERAGE(U9:U30),2)</f>
        <v>107.57</v>
      </c>
      <c r="V31" s="35">
        <f>AVERAGE(V9:V30)</f>
        <v>10144.976363636364</v>
      </c>
      <c r="W31" s="35">
        <f>AVERAGE(W9:W30)</f>
        <v>10189.731363636361</v>
      </c>
      <c r="X31" s="35">
        <f>AVERAGE(X9:X30)</f>
        <v>11286.679694224575</v>
      </c>
      <c r="Y31" s="34">
        <f>AVERAGE(Y9:Y30)</f>
        <v>1.2527136363636364</v>
      </c>
    </row>
    <row r="32" spans="2:25" s="5" customFormat="1" x14ac:dyDescent="0.2">
      <c r="B32" s="33" t="s">
        <v>12</v>
      </c>
      <c r="C32" s="32">
        <f t="shared" ref="C32:Y32" si="6">MAX(C9:C30)</f>
        <v>12943</v>
      </c>
      <c r="D32" s="31">
        <f t="shared" si="6"/>
        <v>12943</v>
      </c>
      <c r="E32" s="30">
        <f t="shared" si="6"/>
        <v>12943</v>
      </c>
      <c r="F32" s="32">
        <f t="shared" si="6"/>
        <v>13010</v>
      </c>
      <c r="G32" s="31">
        <f t="shared" si="6"/>
        <v>13010</v>
      </c>
      <c r="H32" s="30">
        <f t="shared" si="6"/>
        <v>13010</v>
      </c>
      <c r="I32" s="32">
        <f t="shared" si="6"/>
        <v>13321</v>
      </c>
      <c r="J32" s="31">
        <f t="shared" si="6"/>
        <v>13321</v>
      </c>
      <c r="K32" s="30">
        <f t="shared" si="6"/>
        <v>13321</v>
      </c>
      <c r="L32" s="32">
        <f t="shared" si="6"/>
        <v>13551</v>
      </c>
      <c r="M32" s="31">
        <f t="shared" si="6"/>
        <v>13551</v>
      </c>
      <c r="N32" s="30">
        <f t="shared" si="6"/>
        <v>13551</v>
      </c>
      <c r="O32" s="32">
        <f t="shared" si="6"/>
        <v>13771</v>
      </c>
      <c r="P32" s="31">
        <f t="shared" si="6"/>
        <v>13771</v>
      </c>
      <c r="Q32" s="30">
        <f t="shared" si="6"/>
        <v>13771</v>
      </c>
      <c r="R32" s="29">
        <f t="shared" si="6"/>
        <v>12943</v>
      </c>
      <c r="S32" s="28">
        <f t="shared" si="6"/>
        <v>1.2793000000000001</v>
      </c>
      <c r="T32" s="27">
        <f t="shared" si="6"/>
        <v>1.1387</v>
      </c>
      <c r="U32" s="26">
        <f t="shared" si="6"/>
        <v>109.42</v>
      </c>
      <c r="V32" s="25">
        <f t="shared" si="6"/>
        <v>10422.1</v>
      </c>
      <c r="W32" s="25">
        <f t="shared" si="6"/>
        <v>10455.290000000001</v>
      </c>
      <c r="X32" s="25">
        <f t="shared" si="6"/>
        <v>11485.042735042734</v>
      </c>
      <c r="Y32" s="24">
        <f t="shared" si="6"/>
        <v>1.2799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12386</v>
      </c>
      <c r="D33" s="21">
        <f t="shared" si="7"/>
        <v>12386</v>
      </c>
      <c r="E33" s="20">
        <f t="shared" si="7"/>
        <v>12386</v>
      </c>
      <c r="F33" s="22">
        <f t="shared" si="7"/>
        <v>12437</v>
      </c>
      <c r="G33" s="21">
        <f t="shared" si="7"/>
        <v>12437</v>
      </c>
      <c r="H33" s="20">
        <f t="shared" si="7"/>
        <v>12437</v>
      </c>
      <c r="I33" s="22">
        <f t="shared" si="7"/>
        <v>12723</v>
      </c>
      <c r="J33" s="21">
        <f t="shared" si="7"/>
        <v>12723</v>
      </c>
      <c r="K33" s="20">
        <f t="shared" si="7"/>
        <v>12723</v>
      </c>
      <c r="L33" s="22">
        <f t="shared" si="7"/>
        <v>12953</v>
      </c>
      <c r="M33" s="21">
        <f t="shared" si="7"/>
        <v>12953</v>
      </c>
      <c r="N33" s="20">
        <f t="shared" si="7"/>
        <v>12953</v>
      </c>
      <c r="O33" s="22">
        <f t="shared" si="7"/>
        <v>13183</v>
      </c>
      <c r="P33" s="21">
        <f t="shared" si="7"/>
        <v>13183</v>
      </c>
      <c r="Q33" s="20">
        <f t="shared" si="7"/>
        <v>13183</v>
      </c>
      <c r="R33" s="19">
        <f t="shared" si="7"/>
        <v>12386</v>
      </c>
      <c r="S33" s="18">
        <f t="shared" si="7"/>
        <v>1.2272000000000001</v>
      </c>
      <c r="T33" s="17">
        <f t="shared" si="7"/>
        <v>1.1112</v>
      </c>
      <c r="U33" s="16">
        <f t="shared" si="7"/>
        <v>106</v>
      </c>
      <c r="V33" s="15">
        <f t="shared" si="7"/>
        <v>9964.93</v>
      </c>
      <c r="W33" s="15">
        <f t="shared" si="7"/>
        <v>10016.11</v>
      </c>
      <c r="X33" s="15">
        <f t="shared" si="7"/>
        <v>11061.891578101278</v>
      </c>
      <c r="Y33" s="14">
        <f t="shared" si="7"/>
        <v>1.2278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 activeCell="G47" sqref="G47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43983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43983</v>
      </c>
      <c r="C9" s="46">
        <v>29500</v>
      </c>
      <c r="D9" s="45">
        <v>29500</v>
      </c>
      <c r="E9" s="44">
        <f t="shared" ref="E9:E30" si="0">AVERAGE(C9:D9)</f>
        <v>29500</v>
      </c>
      <c r="F9" s="46">
        <v>30000</v>
      </c>
      <c r="G9" s="45">
        <v>30000</v>
      </c>
      <c r="H9" s="44">
        <f t="shared" ref="H9:H30" si="1">AVERAGE(F9:G9)</f>
        <v>30000</v>
      </c>
      <c r="I9" s="46">
        <v>31880</v>
      </c>
      <c r="J9" s="45">
        <v>31880</v>
      </c>
      <c r="K9" s="44">
        <f t="shared" ref="K9:K30" si="2">AVERAGE(I9:J9)</f>
        <v>31880</v>
      </c>
      <c r="L9" s="52">
        <v>29500</v>
      </c>
      <c r="M9" s="51">
        <v>1.2388999999999999</v>
      </c>
      <c r="N9" s="53">
        <v>1.1112</v>
      </c>
      <c r="O9" s="50">
        <v>107.74</v>
      </c>
      <c r="P9" s="43">
        <v>23811.45</v>
      </c>
      <c r="Q9" s="43">
        <v>24205.26</v>
      </c>
      <c r="R9" s="49">
        <f t="shared" ref="R9:R30" si="3">L9/N9</f>
        <v>26547.876169906409</v>
      </c>
      <c r="S9" s="48">
        <v>1.2394000000000001</v>
      </c>
    </row>
    <row r="10" spans="1:19" x14ac:dyDescent="0.2">
      <c r="B10" s="47">
        <v>43984</v>
      </c>
      <c r="C10" s="46">
        <v>29500</v>
      </c>
      <c r="D10" s="45">
        <v>29500</v>
      </c>
      <c r="E10" s="44">
        <f t="shared" si="0"/>
        <v>29500</v>
      </c>
      <c r="F10" s="46">
        <v>30000</v>
      </c>
      <c r="G10" s="45">
        <v>30000</v>
      </c>
      <c r="H10" s="44">
        <f t="shared" si="1"/>
        <v>30000</v>
      </c>
      <c r="I10" s="46">
        <v>31875</v>
      </c>
      <c r="J10" s="45">
        <v>31875</v>
      </c>
      <c r="K10" s="44">
        <f t="shared" si="2"/>
        <v>31875</v>
      </c>
      <c r="L10" s="52">
        <v>29500</v>
      </c>
      <c r="M10" s="51">
        <v>1.254</v>
      </c>
      <c r="N10" s="51">
        <v>1.1169</v>
      </c>
      <c r="O10" s="50">
        <v>107.91</v>
      </c>
      <c r="P10" s="43">
        <v>23524.720000000001</v>
      </c>
      <c r="Q10" s="43">
        <v>23913.91</v>
      </c>
      <c r="R10" s="49">
        <f t="shared" si="3"/>
        <v>26412.391440594503</v>
      </c>
      <c r="S10" s="48">
        <v>1.2544999999999999</v>
      </c>
    </row>
    <row r="11" spans="1:19" x14ac:dyDescent="0.2">
      <c r="B11" s="47">
        <v>43985</v>
      </c>
      <c r="C11" s="46">
        <v>29500</v>
      </c>
      <c r="D11" s="45">
        <v>29500</v>
      </c>
      <c r="E11" s="44">
        <f t="shared" si="0"/>
        <v>29500</v>
      </c>
      <c r="F11" s="46">
        <v>30000</v>
      </c>
      <c r="G11" s="45">
        <v>30000</v>
      </c>
      <c r="H11" s="44">
        <f t="shared" si="1"/>
        <v>30000</v>
      </c>
      <c r="I11" s="46">
        <v>31870</v>
      </c>
      <c r="J11" s="45">
        <v>31870</v>
      </c>
      <c r="K11" s="44">
        <f t="shared" si="2"/>
        <v>31870</v>
      </c>
      <c r="L11" s="52">
        <v>29500</v>
      </c>
      <c r="M11" s="51">
        <v>1.2563</v>
      </c>
      <c r="N11" s="51">
        <v>1.1194999999999999</v>
      </c>
      <c r="O11" s="50">
        <v>108.59</v>
      </c>
      <c r="P11" s="43">
        <v>23481.65</v>
      </c>
      <c r="Q11" s="43">
        <v>23868.25</v>
      </c>
      <c r="R11" s="49">
        <f t="shared" si="3"/>
        <v>26351.04957570344</v>
      </c>
      <c r="S11" s="48">
        <v>1.2568999999999999</v>
      </c>
    </row>
    <row r="12" spans="1:19" x14ac:dyDescent="0.2">
      <c r="B12" s="47">
        <v>43986</v>
      </c>
      <c r="C12" s="46">
        <v>29500</v>
      </c>
      <c r="D12" s="45">
        <v>29500</v>
      </c>
      <c r="E12" s="44">
        <f t="shared" si="0"/>
        <v>29500</v>
      </c>
      <c r="F12" s="46">
        <v>30000</v>
      </c>
      <c r="G12" s="45">
        <v>30000</v>
      </c>
      <c r="H12" s="44">
        <f t="shared" si="1"/>
        <v>30000</v>
      </c>
      <c r="I12" s="46">
        <v>31865</v>
      </c>
      <c r="J12" s="45">
        <v>31865</v>
      </c>
      <c r="K12" s="44">
        <f t="shared" si="2"/>
        <v>31865</v>
      </c>
      <c r="L12" s="52">
        <v>29500</v>
      </c>
      <c r="M12" s="51">
        <v>1.2568999999999999</v>
      </c>
      <c r="N12" s="51">
        <v>1.1269</v>
      </c>
      <c r="O12" s="50">
        <v>108.9</v>
      </c>
      <c r="P12" s="43">
        <v>23470.44</v>
      </c>
      <c r="Q12" s="43">
        <v>23856.86</v>
      </c>
      <c r="R12" s="49">
        <f t="shared" si="3"/>
        <v>26178.010471204187</v>
      </c>
      <c r="S12" s="48">
        <v>1.2575000000000001</v>
      </c>
    </row>
    <row r="13" spans="1:19" x14ac:dyDescent="0.2">
      <c r="B13" s="47">
        <v>43987</v>
      </c>
      <c r="C13" s="46">
        <v>29500</v>
      </c>
      <c r="D13" s="45">
        <v>29500</v>
      </c>
      <c r="E13" s="44">
        <f t="shared" si="0"/>
        <v>29500</v>
      </c>
      <c r="F13" s="46">
        <v>30000</v>
      </c>
      <c r="G13" s="45">
        <v>30000</v>
      </c>
      <c r="H13" s="44">
        <f t="shared" si="1"/>
        <v>30000</v>
      </c>
      <c r="I13" s="46">
        <v>31865</v>
      </c>
      <c r="J13" s="45">
        <v>31865</v>
      </c>
      <c r="K13" s="44">
        <f t="shared" si="2"/>
        <v>31865</v>
      </c>
      <c r="L13" s="52">
        <v>29500</v>
      </c>
      <c r="M13" s="51">
        <v>1.2663</v>
      </c>
      <c r="N13" s="51">
        <v>1.1335999999999999</v>
      </c>
      <c r="O13" s="50">
        <v>109.24</v>
      </c>
      <c r="P13" s="43">
        <v>23296.22</v>
      </c>
      <c r="Q13" s="43">
        <v>23681.72</v>
      </c>
      <c r="R13" s="49">
        <f t="shared" si="3"/>
        <v>26023.28863796754</v>
      </c>
      <c r="S13" s="48">
        <v>1.2667999999999999</v>
      </c>
    </row>
    <row r="14" spans="1:19" x14ac:dyDescent="0.2">
      <c r="B14" s="47">
        <v>43990</v>
      </c>
      <c r="C14" s="46">
        <v>29500</v>
      </c>
      <c r="D14" s="45">
        <v>29500</v>
      </c>
      <c r="E14" s="44">
        <f t="shared" si="0"/>
        <v>29500</v>
      </c>
      <c r="F14" s="46">
        <v>30000</v>
      </c>
      <c r="G14" s="45">
        <v>30000</v>
      </c>
      <c r="H14" s="44">
        <f t="shared" si="1"/>
        <v>30000</v>
      </c>
      <c r="I14" s="46">
        <v>31840</v>
      </c>
      <c r="J14" s="45">
        <v>31840</v>
      </c>
      <c r="K14" s="44">
        <f t="shared" si="2"/>
        <v>31840</v>
      </c>
      <c r="L14" s="52">
        <v>29500</v>
      </c>
      <c r="M14" s="51">
        <v>1.2656000000000001</v>
      </c>
      <c r="N14" s="51">
        <v>1.1276999999999999</v>
      </c>
      <c r="O14" s="50">
        <v>109.42</v>
      </c>
      <c r="P14" s="43">
        <v>23309.1</v>
      </c>
      <c r="Q14" s="43">
        <v>23692.94</v>
      </c>
      <c r="R14" s="49">
        <f t="shared" si="3"/>
        <v>26159.439567260797</v>
      </c>
      <c r="S14" s="48">
        <v>1.2662</v>
      </c>
    </row>
    <row r="15" spans="1:19" x14ac:dyDescent="0.2">
      <c r="B15" s="47">
        <v>43991</v>
      </c>
      <c r="C15" s="46">
        <v>29500</v>
      </c>
      <c r="D15" s="45">
        <v>29500</v>
      </c>
      <c r="E15" s="44">
        <f t="shared" si="0"/>
        <v>29500</v>
      </c>
      <c r="F15" s="46">
        <v>30000</v>
      </c>
      <c r="G15" s="45">
        <v>30000</v>
      </c>
      <c r="H15" s="44">
        <f t="shared" si="1"/>
        <v>30000</v>
      </c>
      <c r="I15" s="46">
        <v>31835</v>
      </c>
      <c r="J15" s="45">
        <v>31835</v>
      </c>
      <c r="K15" s="44">
        <f t="shared" si="2"/>
        <v>31835</v>
      </c>
      <c r="L15" s="52">
        <v>29500</v>
      </c>
      <c r="M15" s="51">
        <v>1.2669999999999999</v>
      </c>
      <c r="N15" s="51">
        <v>1.1282000000000001</v>
      </c>
      <c r="O15" s="50">
        <v>108.14</v>
      </c>
      <c r="P15" s="43">
        <v>23283.35</v>
      </c>
      <c r="Q15" s="43">
        <v>23666.77</v>
      </c>
      <c r="R15" s="49">
        <f t="shared" si="3"/>
        <v>26147.846126573302</v>
      </c>
      <c r="S15" s="48">
        <v>1.2676000000000001</v>
      </c>
    </row>
    <row r="16" spans="1:19" x14ac:dyDescent="0.2">
      <c r="B16" s="47">
        <v>43992</v>
      </c>
      <c r="C16" s="46">
        <v>29500</v>
      </c>
      <c r="D16" s="45">
        <v>29500</v>
      </c>
      <c r="E16" s="44">
        <f t="shared" si="0"/>
        <v>29500</v>
      </c>
      <c r="F16" s="46">
        <v>30000</v>
      </c>
      <c r="G16" s="45">
        <v>30000</v>
      </c>
      <c r="H16" s="44">
        <f t="shared" si="1"/>
        <v>30000</v>
      </c>
      <c r="I16" s="46">
        <v>31830</v>
      </c>
      <c r="J16" s="45">
        <v>31830</v>
      </c>
      <c r="K16" s="44">
        <f t="shared" si="2"/>
        <v>31830</v>
      </c>
      <c r="L16" s="52">
        <v>29500</v>
      </c>
      <c r="M16" s="51">
        <v>1.2793000000000001</v>
      </c>
      <c r="N16" s="51">
        <v>1.1387</v>
      </c>
      <c r="O16" s="50">
        <v>107.37</v>
      </c>
      <c r="P16" s="43">
        <v>23059.49</v>
      </c>
      <c r="Q16" s="43">
        <v>23439.33</v>
      </c>
      <c r="R16" s="49">
        <f t="shared" si="3"/>
        <v>25906.735751295335</v>
      </c>
      <c r="S16" s="48">
        <v>1.2799</v>
      </c>
    </row>
    <row r="17" spans="2:19" x14ac:dyDescent="0.2">
      <c r="B17" s="47">
        <v>43993</v>
      </c>
      <c r="C17" s="46">
        <v>29500</v>
      </c>
      <c r="D17" s="45">
        <v>29500</v>
      </c>
      <c r="E17" s="44">
        <f t="shared" si="0"/>
        <v>29500</v>
      </c>
      <c r="F17" s="46">
        <v>30000</v>
      </c>
      <c r="G17" s="45">
        <v>30000</v>
      </c>
      <c r="H17" s="44">
        <f t="shared" si="1"/>
        <v>30000</v>
      </c>
      <c r="I17" s="46">
        <v>31825</v>
      </c>
      <c r="J17" s="45">
        <v>31825</v>
      </c>
      <c r="K17" s="44">
        <f t="shared" si="2"/>
        <v>31825</v>
      </c>
      <c r="L17" s="52">
        <v>29500</v>
      </c>
      <c r="M17" s="51">
        <v>1.2653000000000001</v>
      </c>
      <c r="N17" s="51">
        <v>1.1355999999999999</v>
      </c>
      <c r="O17" s="50">
        <v>107.09</v>
      </c>
      <c r="P17" s="43">
        <v>23314.63</v>
      </c>
      <c r="Q17" s="43">
        <v>23698.55</v>
      </c>
      <c r="R17" s="49">
        <f t="shared" si="3"/>
        <v>25977.456851003877</v>
      </c>
      <c r="S17" s="48">
        <v>1.2659</v>
      </c>
    </row>
    <row r="18" spans="2:19" x14ac:dyDescent="0.2">
      <c r="B18" s="47">
        <v>43994</v>
      </c>
      <c r="C18" s="46">
        <v>29500</v>
      </c>
      <c r="D18" s="45">
        <v>29500</v>
      </c>
      <c r="E18" s="44">
        <f t="shared" si="0"/>
        <v>29500</v>
      </c>
      <c r="F18" s="46">
        <v>30000</v>
      </c>
      <c r="G18" s="45">
        <v>30000</v>
      </c>
      <c r="H18" s="44">
        <f t="shared" si="1"/>
        <v>30000</v>
      </c>
      <c r="I18" s="46">
        <v>31825</v>
      </c>
      <c r="J18" s="45">
        <v>31825</v>
      </c>
      <c r="K18" s="44">
        <f t="shared" si="2"/>
        <v>31825</v>
      </c>
      <c r="L18" s="52">
        <v>29500</v>
      </c>
      <c r="M18" s="51">
        <v>1.262</v>
      </c>
      <c r="N18" s="51">
        <v>1.1309</v>
      </c>
      <c r="O18" s="50">
        <v>107.36</v>
      </c>
      <c r="P18" s="43">
        <v>23375.59</v>
      </c>
      <c r="Q18" s="43">
        <v>23758.61</v>
      </c>
      <c r="R18" s="49">
        <f t="shared" si="3"/>
        <v>26085.41869307631</v>
      </c>
      <c r="S18" s="48">
        <v>1.2626999999999999</v>
      </c>
    </row>
    <row r="19" spans="2:19" x14ac:dyDescent="0.2">
      <c r="B19" s="47">
        <v>43997</v>
      </c>
      <c r="C19" s="46">
        <v>29000</v>
      </c>
      <c r="D19" s="45">
        <v>29000</v>
      </c>
      <c r="E19" s="44">
        <f t="shared" si="0"/>
        <v>29000</v>
      </c>
      <c r="F19" s="46">
        <v>29500</v>
      </c>
      <c r="G19" s="45">
        <v>29500</v>
      </c>
      <c r="H19" s="44">
        <f t="shared" si="1"/>
        <v>29500</v>
      </c>
      <c r="I19" s="46">
        <v>31305</v>
      </c>
      <c r="J19" s="45">
        <v>31305</v>
      </c>
      <c r="K19" s="44">
        <f t="shared" si="2"/>
        <v>31305</v>
      </c>
      <c r="L19" s="52">
        <v>29000</v>
      </c>
      <c r="M19" s="51">
        <v>1.2546999999999999</v>
      </c>
      <c r="N19" s="51">
        <v>1.1256999999999999</v>
      </c>
      <c r="O19" s="50">
        <v>107.37</v>
      </c>
      <c r="P19" s="43">
        <v>23113.09</v>
      </c>
      <c r="Q19" s="43">
        <v>23498.49</v>
      </c>
      <c r="R19" s="49">
        <f t="shared" si="3"/>
        <v>25761.748245536113</v>
      </c>
      <c r="S19" s="48">
        <v>1.2554000000000001</v>
      </c>
    </row>
    <row r="20" spans="2:19" x14ac:dyDescent="0.2">
      <c r="B20" s="47">
        <v>43998</v>
      </c>
      <c r="C20" s="46">
        <v>29000</v>
      </c>
      <c r="D20" s="45">
        <v>29000</v>
      </c>
      <c r="E20" s="44">
        <f t="shared" si="0"/>
        <v>29000</v>
      </c>
      <c r="F20" s="46">
        <v>29000</v>
      </c>
      <c r="G20" s="45">
        <v>29000</v>
      </c>
      <c r="H20" s="44">
        <f t="shared" si="1"/>
        <v>29000</v>
      </c>
      <c r="I20" s="46">
        <v>30700</v>
      </c>
      <c r="J20" s="45">
        <v>30700</v>
      </c>
      <c r="K20" s="44">
        <f t="shared" si="2"/>
        <v>30700</v>
      </c>
      <c r="L20" s="52">
        <v>29000</v>
      </c>
      <c r="M20" s="51">
        <v>1.2649999999999999</v>
      </c>
      <c r="N20" s="51">
        <v>1.1304000000000001</v>
      </c>
      <c r="O20" s="50">
        <v>107.33</v>
      </c>
      <c r="P20" s="43">
        <v>22924.9</v>
      </c>
      <c r="Q20" s="43">
        <v>22912.22</v>
      </c>
      <c r="R20" s="49">
        <f t="shared" si="3"/>
        <v>25654.635527246992</v>
      </c>
      <c r="S20" s="48">
        <v>1.2657</v>
      </c>
    </row>
    <row r="21" spans="2:19" x14ac:dyDescent="0.2">
      <c r="B21" s="47">
        <v>43999</v>
      </c>
      <c r="C21" s="46">
        <v>29000</v>
      </c>
      <c r="D21" s="45">
        <v>29000</v>
      </c>
      <c r="E21" s="44">
        <f t="shared" si="0"/>
        <v>29000</v>
      </c>
      <c r="F21" s="46">
        <v>29000</v>
      </c>
      <c r="G21" s="45">
        <v>29000</v>
      </c>
      <c r="H21" s="44">
        <f t="shared" si="1"/>
        <v>29000</v>
      </c>
      <c r="I21" s="46">
        <v>30695</v>
      </c>
      <c r="J21" s="45">
        <v>30695</v>
      </c>
      <c r="K21" s="44">
        <f t="shared" si="2"/>
        <v>30695</v>
      </c>
      <c r="L21" s="52">
        <v>29000</v>
      </c>
      <c r="M21" s="51">
        <v>1.2563</v>
      </c>
      <c r="N21" s="51">
        <v>1.1232</v>
      </c>
      <c r="O21" s="50">
        <v>107.38</v>
      </c>
      <c r="P21" s="43">
        <v>23083.66</v>
      </c>
      <c r="Q21" s="43">
        <v>23070.799999999999</v>
      </c>
      <c r="R21" s="49">
        <f t="shared" si="3"/>
        <v>25819.088319088321</v>
      </c>
      <c r="S21" s="48">
        <v>1.2569999999999999</v>
      </c>
    </row>
    <row r="22" spans="2:19" x14ac:dyDescent="0.2">
      <c r="B22" s="47">
        <v>44000</v>
      </c>
      <c r="C22" s="46">
        <v>28850</v>
      </c>
      <c r="D22" s="45">
        <v>28850</v>
      </c>
      <c r="E22" s="44">
        <f t="shared" si="0"/>
        <v>28850</v>
      </c>
      <c r="F22" s="46">
        <v>29000</v>
      </c>
      <c r="G22" s="45">
        <v>29000</v>
      </c>
      <c r="H22" s="44">
        <f t="shared" si="1"/>
        <v>29000</v>
      </c>
      <c r="I22" s="46">
        <v>30695</v>
      </c>
      <c r="J22" s="45">
        <v>30695</v>
      </c>
      <c r="K22" s="44">
        <f t="shared" si="2"/>
        <v>30695</v>
      </c>
      <c r="L22" s="52">
        <v>28850</v>
      </c>
      <c r="M22" s="51">
        <v>1.2485999999999999</v>
      </c>
      <c r="N22" s="51">
        <v>1.1234999999999999</v>
      </c>
      <c r="O22" s="50">
        <v>106.91</v>
      </c>
      <c r="P22" s="43">
        <v>23105.88</v>
      </c>
      <c r="Q22" s="43">
        <v>23214.86</v>
      </c>
      <c r="R22" s="49">
        <f t="shared" si="3"/>
        <v>25678.682688028483</v>
      </c>
      <c r="S22" s="48">
        <v>1.2492000000000001</v>
      </c>
    </row>
    <row r="23" spans="2:19" x14ac:dyDescent="0.2">
      <c r="B23" s="47">
        <v>44001</v>
      </c>
      <c r="C23" s="46">
        <v>28850</v>
      </c>
      <c r="D23" s="45">
        <v>28850</v>
      </c>
      <c r="E23" s="44">
        <f t="shared" si="0"/>
        <v>28850</v>
      </c>
      <c r="F23" s="46">
        <v>29000</v>
      </c>
      <c r="G23" s="45">
        <v>29000</v>
      </c>
      <c r="H23" s="44">
        <f t="shared" si="1"/>
        <v>29000</v>
      </c>
      <c r="I23" s="46">
        <v>30695</v>
      </c>
      <c r="J23" s="45">
        <v>30695</v>
      </c>
      <c r="K23" s="44">
        <f t="shared" si="2"/>
        <v>30695</v>
      </c>
      <c r="L23" s="52">
        <v>28850</v>
      </c>
      <c r="M23" s="51">
        <v>1.2372000000000001</v>
      </c>
      <c r="N23" s="51">
        <v>1.1211</v>
      </c>
      <c r="O23" s="50">
        <v>106.86</v>
      </c>
      <c r="P23" s="43">
        <v>23318.78</v>
      </c>
      <c r="Q23" s="43">
        <v>23428.66</v>
      </c>
      <c r="R23" s="49">
        <f t="shared" si="3"/>
        <v>25733.654446525736</v>
      </c>
      <c r="S23" s="48">
        <v>1.2378</v>
      </c>
    </row>
    <row r="24" spans="2:19" x14ac:dyDescent="0.2">
      <c r="B24" s="47">
        <v>44004</v>
      </c>
      <c r="C24" s="46">
        <v>28850</v>
      </c>
      <c r="D24" s="45">
        <v>28850</v>
      </c>
      <c r="E24" s="44">
        <f t="shared" si="0"/>
        <v>28850</v>
      </c>
      <c r="F24" s="46">
        <v>29000</v>
      </c>
      <c r="G24" s="45">
        <v>29000</v>
      </c>
      <c r="H24" s="44">
        <f t="shared" si="1"/>
        <v>29000</v>
      </c>
      <c r="I24" s="46">
        <v>30680</v>
      </c>
      <c r="J24" s="45">
        <v>30680</v>
      </c>
      <c r="K24" s="44">
        <f t="shared" si="2"/>
        <v>30680</v>
      </c>
      <c r="L24" s="52">
        <v>28850</v>
      </c>
      <c r="M24" s="51">
        <v>1.2404999999999999</v>
      </c>
      <c r="N24" s="51">
        <v>1.1213</v>
      </c>
      <c r="O24" s="50">
        <v>106.94</v>
      </c>
      <c r="P24" s="43">
        <v>23256.75</v>
      </c>
      <c r="Q24" s="43">
        <v>23377.67</v>
      </c>
      <c r="R24" s="49">
        <f t="shared" si="3"/>
        <v>25729.064478730048</v>
      </c>
      <c r="S24" s="48">
        <v>1.2404999999999999</v>
      </c>
    </row>
    <row r="25" spans="2:19" x14ac:dyDescent="0.2">
      <c r="B25" s="47">
        <v>44005</v>
      </c>
      <c r="C25" s="46">
        <v>28850</v>
      </c>
      <c r="D25" s="45">
        <v>28850</v>
      </c>
      <c r="E25" s="44">
        <f t="shared" si="0"/>
        <v>28850</v>
      </c>
      <c r="F25" s="46">
        <v>29000</v>
      </c>
      <c r="G25" s="45">
        <v>29000</v>
      </c>
      <c r="H25" s="44">
        <f t="shared" si="1"/>
        <v>29000</v>
      </c>
      <c r="I25" s="46">
        <v>30680</v>
      </c>
      <c r="J25" s="45">
        <v>30680</v>
      </c>
      <c r="K25" s="44">
        <f t="shared" si="2"/>
        <v>30680</v>
      </c>
      <c r="L25" s="52">
        <v>28850</v>
      </c>
      <c r="M25" s="51">
        <v>1.2470000000000001</v>
      </c>
      <c r="N25" s="51">
        <v>1.1306</v>
      </c>
      <c r="O25" s="50">
        <v>106.99</v>
      </c>
      <c r="P25" s="43">
        <v>23135.53</v>
      </c>
      <c r="Q25" s="43">
        <v>23255.81</v>
      </c>
      <c r="R25" s="49">
        <f t="shared" si="3"/>
        <v>25517.424376437288</v>
      </c>
      <c r="S25" s="48">
        <v>1.2470000000000001</v>
      </c>
    </row>
    <row r="26" spans="2:19" x14ac:dyDescent="0.2">
      <c r="B26" s="47">
        <v>44006</v>
      </c>
      <c r="C26" s="46">
        <v>28850</v>
      </c>
      <c r="D26" s="45">
        <v>28850</v>
      </c>
      <c r="E26" s="44">
        <f t="shared" si="0"/>
        <v>28850</v>
      </c>
      <c r="F26" s="46">
        <v>29000</v>
      </c>
      <c r="G26" s="45">
        <v>29000</v>
      </c>
      <c r="H26" s="44">
        <f t="shared" si="1"/>
        <v>29000</v>
      </c>
      <c r="I26" s="46">
        <v>30675</v>
      </c>
      <c r="J26" s="45">
        <v>30675</v>
      </c>
      <c r="K26" s="44">
        <f t="shared" si="2"/>
        <v>30675</v>
      </c>
      <c r="L26" s="52">
        <v>28850</v>
      </c>
      <c r="M26" s="51">
        <v>1.2488999999999999</v>
      </c>
      <c r="N26" s="51">
        <v>1.1283000000000001</v>
      </c>
      <c r="O26" s="50">
        <v>106.59</v>
      </c>
      <c r="P26" s="43">
        <v>23100.33</v>
      </c>
      <c r="Q26" s="43">
        <v>23220.43</v>
      </c>
      <c r="R26" s="49">
        <f t="shared" si="3"/>
        <v>25569.440751573162</v>
      </c>
      <c r="S26" s="48">
        <v>1.2488999999999999</v>
      </c>
    </row>
    <row r="27" spans="2:19" x14ac:dyDescent="0.2">
      <c r="B27" s="47">
        <v>44007</v>
      </c>
      <c r="C27" s="46">
        <v>28500</v>
      </c>
      <c r="D27" s="45">
        <v>28500</v>
      </c>
      <c r="E27" s="44">
        <f t="shared" si="0"/>
        <v>28500</v>
      </c>
      <c r="F27" s="46">
        <v>28500</v>
      </c>
      <c r="G27" s="45">
        <v>28500</v>
      </c>
      <c r="H27" s="44">
        <f t="shared" si="1"/>
        <v>28500</v>
      </c>
      <c r="I27" s="46">
        <v>30170</v>
      </c>
      <c r="J27" s="45">
        <v>30170</v>
      </c>
      <c r="K27" s="44">
        <f t="shared" si="2"/>
        <v>30170</v>
      </c>
      <c r="L27" s="52">
        <v>28500</v>
      </c>
      <c r="M27" s="51">
        <v>1.2417</v>
      </c>
      <c r="N27" s="51">
        <v>1.1196999999999999</v>
      </c>
      <c r="O27" s="50">
        <v>107.41</v>
      </c>
      <c r="P27" s="43">
        <v>22952.400000000001</v>
      </c>
      <c r="Q27" s="43">
        <v>22952.400000000001</v>
      </c>
      <c r="R27" s="49">
        <f t="shared" si="3"/>
        <v>25453.246405287133</v>
      </c>
      <c r="S27" s="48">
        <v>1.2417</v>
      </c>
    </row>
    <row r="28" spans="2:19" x14ac:dyDescent="0.2">
      <c r="B28" s="47">
        <v>44008</v>
      </c>
      <c r="C28" s="46">
        <v>28500</v>
      </c>
      <c r="D28" s="45">
        <v>28500</v>
      </c>
      <c r="E28" s="44">
        <f t="shared" si="0"/>
        <v>28500</v>
      </c>
      <c r="F28" s="46">
        <v>28500</v>
      </c>
      <c r="G28" s="45">
        <v>28500</v>
      </c>
      <c r="H28" s="44">
        <f t="shared" si="1"/>
        <v>28500</v>
      </c>
      <c r="I28" s="46">
        <v>30170</v>
      </c>
      <c r="J28" s="45">
        <v>30170</v>
      </c>
      <c r="K28" s="44">
        <f t="shared" si="2"/>
        <v>30170</v>
      </c>
      <c r="L28" s="52">
        <v>28500</v>
      </c>
      <c r="M28" s="51">
        <v>1.2390000000000001</v>
      </c>
      <c r="N28" s="51">
        <v>1.1212</v>
      </c>
      <c r="O28" s="50">
        <v>106</v>
      </c>
      <c r="P28" s="43">
        <v>23002.42</v>
      </c>
      <c r="Q28" s="43">
        <v>23002.42</v>
      </c>
      <c r="R28" s="49">
        <f t="shared" si="3"/>
        <v>25419.193721013202</v>
      </c>
      <c r="S28" s="48">
        <v>1.2390000000000001</v>
      </c>
    </row>
    <row r="29" spans="2:19" x14ac:dyDescent="0.2">
      <c r="B29" s="47">
        <v>44011</v>
      </c>
      <c r="C29" s="46">
        <v>28500</v>
      </c>
      <c r="D29" s="45">
        <v>28500</v>
      </c>
      <c r="E29" s="44">
        <f t="shared" si="0"/>
        <v>28500</v>
      </c>
      <c r="F29" s="46">
        <v>28500</v>
      </c>
      <c r="G29" s="45">
        <v>28500</v>
      </c>
      <c r="H29" s="44">
        <f t="shared" si="1"/>
        <v>28500</v>
      </c>
      <c r="I29" s="46">
        <v>30160</v>
      </c>
      <c r="J29" s="45">
        <v>30160</v>
      </c>
      <c r="K29" s="44">
        <f t="shared" si="2"/>
        <v>30160</v>
      </c>
      <c r="L29" s="52">
        <v>28500</v>
      </c>
      <c r="M29" s="51">
        <v>1.2317</v>
      </c>
      <c r="N29" s="51">
        <v>1.1278999999999999</v>
      </c>
      <c r="O29" s="50">
        <v>107.27</v>
      </c>
      <c r="P29" s="43">
        <v>23138.75</v>
      </c>
      <c r="Q29" s="43">
        <v>23127.49</v>
      </c>
      <c r="R29" s="49">
        <f t="shared" si="3"/>
        <v>25268.197535242489</v>
      </c>
      <c r="S29" s="48">
        <v>1.2323</v>
      </c>
    </row>
    <row r="30" spans="2:19" x14ac:dyDescent="0.2">
      <c r="B30" s="47">
        <v>44012</v>
      </c>
      <c r="C30" s="46">
        <v>28500</v>
      </c>
      <c r="D30" s="45">
        <v>28500</v>
      </c>
      <c r="E30" s="44">
        <f t="shared" si="0"/>
        <v>28500</v>
      </c>
      <c r="F30" s="46">
        <v>28500</v>
      </c>
      <c r="G30" s="45">
        <v>28500</v>
      </c>
      <c r="H30" s="44">
        <f t="shared" si="1"/>
        <v>28500</v>
      </c>
      <c r="I30" s="46">
        <v>30155</v>
      </c>
      <c r="J30" s="45">
        <v>30155</v>
      </c>
      <c r="K30" s="44">
        <f t="shared" si="2"/>
        <v>30155</v>
      </c>
      <c r="L30" s="52">
        <v>28500</v>
      </c>
      <c r="M30" s="51">
        <v>1.2272000000000001</v>
      </c>
      <c r="N30" s="51">
        <v>1.1194</v>
      </c>
      <c r="O30" s="50">
        <v>107.77</v>
      </c>
      <c r="P30" s="43">
        <v>23223.599999999999</v>
      </c>
      <c r="Q30" s="43">
        <v>23212.25</v>
      </c>
      <c r="R30" s="49">
        <f t="shared" si="3"/>
        <v>25460.067893514384</v>
      </c>
      <c r="S30" s="48">
        <v>1.2278</v>
      </c>
    </row>
    <row r="31" spans="2:19" s="10" customFormat="1" x14ac:dyDescent="0.2">
      <c r="B31" s="42" t="s">
        <v>11</v>
      </c>
      <c r="C31" s="41">
        <f>ROUND(AVERAGE(C9:C30),2)</f>
        <v>29102.27</v>
      </c>
      <c r="D31" s="40">
        <f>ROUND(AVERAGE(D9:D30),2)</f>
        <v>29102.27</v>
      </c>
      <c r="E31" s="39">
        <f>ROUND(AVERAGE(C31:D31),2)</f>
        <v>29102.27</v>
      </c>
      <c r="F31" s="41">
        <f>ROUND(AVERAGE(F9:F30),2)</f>
        <v>29386.36</v>
      </c>
      <c r="G31" s="40">
        <f>ROUND(AVERAGE(G9:G30),2)</f>
        <v>29386.36</v>
      </c>
      <c r="H31" s="39">
        <f>ROUND(AVERAGE(F31:G31),2)</f>
        <v>29386.36</v>
      </c>
      <c r="I31" s="41">
        <f>ROUND(AVERAGE(I9:I30),2)</f>
        <v>31149.55</v>
      </c>
      <c r="J31" s="40">
        <f>ROUND(AVERAGE(J9:J30),2)</f>
        <v>31149.55</v>
      </c>
      <c r="K31" s="39">
        <f>ROUND(AVERAGE(I31:J31),2)</f>
        <v>31149.55</v>
      </c>
      <c r="L31" s="38">
        <f>ROUND(AVERAGE(L9:L30),2)</f>
        <v>29102.27</v>
      </c>
      <c r="M31" s="37">
        <f>ROUND(AVERAGE(M9:M30),4)</f>
        <v>1.2522</v>
      </c>
      <c r="N31" s="36">
        <f>ROUND(AVERAGE(N9:N30),4)</f>
        <v>1.1254999999999999</v>
      </c>
      <c r="O31" s="175">
        <f>ROUND(AVERAGE(O9:O30),2)</f>
        <v>107.57</v>
      </c>
      <c r="P31" s="35">
        <f>AVERAGE(P9:P30)</f>
        <v>23240.124090909088</v>
      </c>
      <c r="Q31" s="35">
        <f>AVERAGE(Q9:Q30)</f>
        <v>23457.077272727267</v>
      </c>
      <c r="R31" s="35">
        <f>AVERAGE(R9:R30)</f>
        <v>25856.99807603678</v>
      </c>
      <c r="S31" s="34">
        <f>AVERAGE(S9:S30)</f>
        <v>1.2527136363636364</v>
      </c>
    </row>
    <row r="32" spans="2:19" s="5" customFormat="1" x14ac:dyDescent="0.2">
      <c r="B32" s="33" t="s">
        <v>12</v>
      </c>
      <c r="C32" s="32">
        <f t="shared" ref="C32:S32" si="4">MAX(C9:C30)</f>
        <v>29500</v>
      </c>
      <c r="D32" s="31">
        <f t="shared" si="4"/>
        <v>29500</v>
      </c>
      <c r="E32" s="30">
        <f t="shared" si="4"/>
        <v>29500</v>
      </c>
      <c r="F32" s="32">
        <f t="shared" si="4"/>
        <v>30000</v>
      </c>
      <c r="G32" s="31">
        <f t="shared" si="4"/>
        <v>30000</v>
      </c>
      <c r="H32" s="30">
        <f t="shared" si="4"/>
        <v>30000</v>
      </c>
      <c r="I32" s="32">
        <f t="shared" si="4"/>
        <v>31880</v>
      </c>
      <c r="J32" s="31">
        <f t="shared" si="4"/>
        <v>31880</v>
      </c>
      <c r="K32" s="30">
        <f t="shared" si="4"/>
        <v>31880</v>
      </c>
      <c r="L32" s="29">
        <f t="shared" si="4"/>
        <v>29500</v>
      </c>
      <c r="M32" s="28">
        <f t="shared" si="4"/>
        <v>1.2793000000000001</v>
      </c>
      <c r="N32" s="27">
        <f t="shared" si="4"/>
        <v>1.1387</v>
      </c>
      <c r="O32" s="26">
        <f t="shared" si="4"/>
        <v>109.42</v>
      </c>
      <c r="P32" s="25">
        <f t="shared" si="4"/>
        <v>23811.45</v>
      </c>
      <c r="Q32" s="25">
        <f t="shared" si="4"/>
        <v>24205.26</v>
      </c>
      <c r="R32" s="25">
        <f t="shared" si="4"/>
        <v>26547.876169906409</v>
      </c>
      <c r="S32" s="24">
        <f t="shared" si="4"/>
        <v>1.2799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28500</v>
      </c>
      <c r="D33" s="21">
        <f t="shared" si="5"/>
        <v>28500</v>
      </c>
      <c r="E33" s="20">
        <f t="shared" si="5"/>
        <v>28500</v>
      </c>
      <c r="F33" s="22">
        <f t="shared" si="5"/>
        <v>28500</v>
      </c>
      <c r="G33" s="21">
        <f t="shared" si="5"/>
        <v>28500</v>
      </c>
      <c r="H33" s="20">
        <f t="shared" si="5"/>
        <v>28500</v>
      </c>
      <c r="I33" s="22">
        <f t="shared" si="5"/>
        <v>30155</v>
      </c>
      <c r="J33" s="21">
        <f t="shared" si="5"/>
        <v>30155</v>
      </c>
      <c r="K33" s="20">
        <f t="shared" si="5"/>
        <v>30155</v>
      </c>
      <c r="L33" s="19">
        <f t="shared" si="5"/>
        <v>28500</v>
      </c>
      <c r="M33" s="18">
        <f t="shared" si="5"/>
        <v>1.2272000000000001</v>
      </c>
      <c r="N33" s="17">
        <f t="shared" si="5"/>
        <v>1.1112</v>
      </c>
      <c r="O33" s="16">
        <f t="shared" si="5"/>
        <v>106</v>
      </c>
      <c r="P33" s="15">
        <f t="shared" si="5"/>
        <v>22924.9</v>
      </c>
      <c r="Q33" s="15">
        <f t="shared" si="5"/>
        <v>22912.22</v>
      </c>
      <c r="R33" s="15">
        <f t="shared" si="5"/>
        <v>25268.197535242489</v>
      </c>
      <c r="S33" s="14">
        <f t="shared" si="5"/>
        <v>1.2278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44012</v>
      </c>
      <c r="D5" s="74"/>
      <c r="F5" s="75">
        <v>44012</v>
      </c>
      <c r="G5" s="74"/>
      <c r="I5" s="75">
        <v>44012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43983</v>
      </c>
      <c r="D8" s="68">
        <v>5451.35</v>
      </c>
      <c r="F8" s="69">
        <f t="shared" ref="F8:F29" si="0">C8</f>
        <v>43983</v>
      </c>
      <c r="G8" s="68">
        <v>1551.38</v>
      </c>
      <c r="I8" s="69">
        <f t="shared" ref="I8:I29" si="1">C8</f>
        <v>43983</v>
      </c>
      <c r="J8" s="68">
        <v>1995.13</v>
      </c>
    </row>
    <row r="9" spans="2:10" x14ac:dyDescent="0.2">
      <c r="C9" s="69">
        <v>43984</v>
      </c>
      <c r="D9" s="68">
        <v>5460.36</v>
      </c>
      <c r="F9" s="69">
        <f t="shared" si="0"/>
        <v>43984</v>
      </c>
      <c r="G9" s="68">
        <v>1527.53</v>
      </c>
      <c r="I9" s="69">
        <f t="shared" si="1"/>
        <v>43984</v>
      </c>
      <c r="J9" s="68">
        <v>2011.14</v>
      </c>
    </row>
    <row r="10" spans="2:10" x14ac:dyDescent="0.2">
      <c r="C10" s="69">
        <v>43985</v>
      </c>
      <c r="D10" s="68">
        <v>5505.8</v>
      </c>
      <c r="F10" s="69">
        <f t="shared" si="0"/>
        <v>43985</v>
      </c>
      <c r="G10" s="68">
        <v>1554.48</v>
      </c>
      <c r="I10" s="69">
        <f t="shared" si="1"/>
        <v>43985</v>
      </c>
      <c r="J10" s="68">
        <v>2002.89</v>
      </c>
    </row>
    <row r="11" spans="2:10" x14ac:dyDescent="0.2">
      <c r="C11" s="69">
        <v>43986</v>
      </c>
      <c r="D11" s="68">
        <v>5490.39</v>
      </c>
      <c r="F11" s="69">
        <f t="shared" si="0"/>
        <v>43986</v>
      </c>
      <c r="G11" s="68">
        <v>1562.21</v>
      </c>
      <c r="I11" s="69">
        <f t="shared" si="1"/>
        <v>43986</v>
      </c>
      <c r="J11" s="68">
        <v>2008.56</v>
      </c>
    </row>
    <row r="12" spans="2:10" x14ac:dyDescent="0.2">
      <c r="C12" s="69">
        <v>43987</v>
      </c>
      <c r="D12" s="68">
        <v>5584.4</v>
      </c>
      <c r="F12" s="69">
        <f t="shared" si="0"/>
        <v>43987</v>
      </c>
      <c r="G12" s="68">
        <v>1572.08</v>
      </c>
      <c r="I12" s="69">
        <f t="shared" si="1"/>
        <v>43987</v>
      </c>
      <c r="J12" s="68">
        <v>2037</v>
      </c>
    </row>
    <row r="13" spans="2:10" x14ac:dyDescent="0.2">
      <c r="C13" s="69">
        <v>43990</v>
      </c>
      <c r="D13" s="68">
        <v>5677.86</v>
      </c>
      <c r="F13" s="69">
        <f t="shared" si="0"/>
        <v>43990</v>
      </c>
      <c r="G13" s="68">
        <v>1596.53</v>
      </c>
      <c r="I13" s="69">
        <f t="shared" si="1"/>
        <v>43990</v>
      </c>
      <c r="J13" s="68">
        <v>2019.39</v>
      </c>
    </row>
    <row r="14" spans="2:10" x14ac:dyDescent="0.2">
      <c r="C14" s="69">
        <v>43991</v>
      </c>
      <c r="D14" s="68">
        <v>5735.41</v>
      </c>
      <c r="F14" s="69">
        <f t="shared" si="0"/>
        <v>43991</v>
      </c>
      <c r="G14" s="68">
        <v>1609.5</v>
      </c>
      <c r="I14" s="69">
        <f t="shared" si="1"/>
        <v>43991</v>
      </c>
      <c r="J14" s="68">
        <v>2030.51</v>
      </c>
    </row>
    <row r="15" spans="2:10" x14ac:dyDescent="0.2">
      <c r="C15" s="69">
        <v>43992</v>
      </c>
      <c r="D15" s="68">
        <v>5799.2</v>
      </c>
      <c r="F15" s="69">
        <f t="shared" si="0"/>
        <v>43992</v>
      </c>
      <c r="G15" s="68">
        <v>1604.77</v>
      </c>
      <c r="I15" s="69">
        <f t="shared" si="1"/>
        <v>43992</v>
      </c>
      <c r="J15" s="68">
        <v>2005.39</v>
      </c>
    </row>
    <row r="16" spans="2:10" x14ac:dyDescent="0.2">
      <c r="C16" s="69">
        <v>43993</v>
      </c>
      <c r="D16" s="68">
        <v>5824.57</v>
      </c>
      <c r="F16" s="69">
        <f t="shared" si="0"/>
        <v>43993</v>
      </c>
      <c r="G16" s="68">
        <v>1609.42</v>
      </c>
      <c r="I16" s="69">
        <f t="shared" si="1"/>
        <v>43993</v>
      </c>
      <c r="J16" s="68">
        <v>2011.73</v>
      </c>
    </row>
    <row r="17" spans="2:10" x14ac:dyDescent="0.2">
      <c r="C17" s="69">
        <v>43994</v>
      </c>
      <c r="D17" s="68">
        <v>5786.66</v>
      </c>
      <c r="F17" s="69">
        <f t="shared" si="0"/>
        <v>43994</v>
      </c>
      <c r="G17" s="68">
        <v>1593.5</v>
      </c>
      <c r="I17" s="69">
        <f t="shared" si="1"/>
        <v>43994</v>
      </c>
      <c r="J17" s="68">
        <v>2008.96</v>
      </c>
    </row>
    <row r="18" spans="2:10" x14ac:dyDescent="0.2">
      <c r="C18" s="69">
        <v>43997</v>
      </c>
      <c r="D18" s="68">
        <v>5688.69</v>
      </c>
      <c r="F18" s="69">
        <f t="shared" si="0"/>
        <v>43997</v>
      </c>
      <c r="G18" s="68">
        <v>1566.37</v>
      </c>
      <c r="I18" s="69">
        <f t="shared" si="1"/>
        <v>43997</v>
      </c>
      <c r="J18" s="68">
        <v>1976</v>
      </c>
    </row>
    <row r="19" spans="2:10" x14ac:dyDescent="0.2">
      <c r="C19" s="69">
        <v>43998</v>
      </c>
      <c r="D19" s="68">
        <v>5822.04</v>
      </c>
      <c r="F19" s="69">
        <f t="shared" si="0"/>
        <v>43998</v>
      </c>
      <c r="G19" s="68">
        <v>1604.78</v>
      </c>
      <c r="I19" s="69">
        <f t="shared" si="1"/>
        <v>43998</v>
      </c>
      <c r="J19" s="68">
        <v>2017</v>
      </c>
    </row>
    <row r="20" spans="2:10" x14ac:dyDescent="0.2">
      <c r="C20" s="69">
        <v>43999</v>
      </c>
      <c r="D20" s="68">
        <v>5752.35</v>
      </c>
      <c r="F20" s="69">
        <f t="shared" si="0"/>
        <v>43999</v>
      </c>
      <c r="G20" s="68">
        <v>1600.07</v>
      </c>
      <c r="I20" s="69">
        <f t="shared" si="1"/>
        <v>43999</v>
      </c>
      <c r="J20" s="68">
        <v>2023.53</v>
      </c>
    </row>
    <row r="21" spans="2:10" x14ac:dyDescent="0.2">
      <c r="C21" s="69">
        <v>44000</v>
      </c>
      <c r="D21" s="68">
        <v>5782</v>
      </c>
      <c r="F21" s="69">
        <f t="shared" si="0"/>
        <v>44000</v>
      </c>
      <c r="G21" s="68">
        <v>1605.5</v>
      </c>
      <c r="I21" s="69">
        <f t="shared" si="1"/>
        <v>44000</v>
      </c>
      <c r="J21" s="68">
        <v>2023.37</v>
      </c>
    </row>
    <row r="22" spans="2:10" x14ac:dyDescent="0.2">
      <c r="C22" s="69">
        <v>44001</v>
      </c>
      <c r="D22" s="68">
        <v>5865.56</v>
      </c>
      <c r="F22" s="69">
        <f t="shared" si="0"/>
        <v>44001</v>
      </c>
      <c r="G22" s="68">
        <v>1603.81</v>
      </c>
      <c r="I22" s="69">
        <f t="shared" si="1"/>
        <v>44001</v>
      </c>
      <c r="J22" s="68">
        <v>2066.1799999999998</v>
      </c>
    </row>
    <row r="23" spans="2:10" x14ac:dyDescent="0.2">
      <c r="C23" s="69">
        <v>44004</v>
      </c>
      <c r="D23" s="68">
        <v>5844.47</v>
      </c>
      <c r="F23" s="69">
        <f t="shared" si="0"/>
        <v>44004</v>
      </c>
      <c r="G23" s="68">
        <v>1588.46</v>
      </c>
      <c r="I23" s="69">
        <f t="shared" si="1"/>
        <v>44004</v>
      </c>
      <c r="J23" s="68">
        <v>2067.36</v>
      </c>
    </row>
    <row r="24" spans="2:10" x14ac:dyDescent="0.2">
      <c r="C24" s="69">
        <v>44005</v>
      </c>
      <c r="D24" s="68">
        <v>5891.89</v>
      </c>
      <c r="F24" s="69">
        <f t="shared" si="0"/>
        <v>44005</v>
      </c>
      <c r="G24" s="68">
        <v>1592.54</v>
      </c>
      <c r="I24" s="69">
        <f t="shared" si="1"/>
        <v>44005</v>
      </c>
      <c r="J24" s="68">
        <v>2056.17</v>
      </c>
    </row>
    <row r="25" spans="2:10" x14ac:dyDescent="0.2">
      <c r="C25" s="69">
        <v>44006</v>
      </c>
      <c r="D25" s="68">
        <v>5912.91</v>
      </c>
      <c r="F25" s="69">
        <f t="shared" si="0"/>
        <v>44006</v>
      </c>
      <c r="G25" s="68">
        <v>1591.61</v>
      </c>
      <c r="I25" s="69">
        <f t="shared" si="1"/>
        <v>44006</v>
      </c>
      <c r="J25" s="68">
        <v>2040.54</v>
      </c>
    </row>
    <row r="26" spans="2:10" x14ac:dyDescent="0.2">
      <c r="C26" s="69">
        <v>44007</v>
      </c>
      <c r="D26" s="68">
        <v>5880.31</v>
      </c>
      <c r="F26" s="69">
        <f t="shared" si="0"/>
        <v>44007</v>
      </c>
      <c r="G26" s="68">
        <v>1567.8</v>
      </c>
      <c r="I26" s="69">
        <f t="shared" si="1"/>
        <v>44007</v>
      </c>
      <c r="J26" s="68">
        <v>2030.5</v>
      </c>
    </row>
    <row r="27" spans="2:10" x14ac:dyDescent="0.2">
      <c r="C27" s="69">
        <v>44008</v>
      </c>
      <c r="D27" s="68">
        <v>5942.94</v>
      </c>
      <c r="F27" s="69">
        <f t="shared" si="0"/>
        <v>44008</v>
      </c>
      <c r="G27" s="68">
        <v>1574.81</v>
      </c>
      <c r="I27" s="69">
        <f t="shared" si="1"/>
        <v>44008</v>
      </c>
      <c r="J27" s="68">
        <v>2056.91</v>
      </c>
    </row>
    <row r="28" spans="2:10" x14ac:dyDescent="0.2">
      <c r="C28" s="69">
        <v>44011</v>
      </c>
      <c r="D28" s="68">
        <v>5972.72</v>
      </c>
      <c r="F28" s="69">
        <f t="shared" si="0"/>
        <v>44011</v>
      </c>
      <c r="G28" s="68">
        <v>1605.57</v>
      </c>
      <c r="I28" s="69">
        <f t="shared" si="1"/>
        <v>44011</v>
      </c>
      <c r="J28" s="68">
        <v>2034.4</v>
      </c>
    </row>
    <row r="29" spans="2:10" ht="13.5" thickBot="1" x14ac:dyDescent="0.25">
      <c r="C29" s="69">
        <v>44012</v>
      </c>
      <c r="D29" s="68">
        <v>6010.69</v>
      </c>
      <c r="F29" s="69">
        <f t="shared" si="0"/>
        <v>44012</v>
      </c>
      <c r="G29" s="68">
        <v>1612.33</v>
      </c>
      <c r="I29" s="69">
        <f t="shared" si="1"/>
        <v>44012</v>
      </c>
      <c r="J29" s="68">
        <v>2065.02</v>
      </c>
    </row>
    <row r="30" spans="2:10" x14ac:dyDescent="0.2">
      <c r="B30" s="5"/>
      <c r="C30" s="67" t="s">
        <v>11</v>
      </c>
      <c r="D30" s="66">
        <f>ROUND(AVERAGE(D8:D29),2)</f>
        <v>5758.3</v>
      </c>
      <c r="F30" s="67" t="s">
        <v>11</v>
      </c>
      <c r="G30" s="66">
        <f>ROUND(AVERAGE(G8:G29),2)</f>
        <v>1586.14</v>
      </c>
      <c r="I30" s="67" t="s">
        <v>11</v>
      </c>
      <c r="J30" s="66">
        <f>ROUND(AVERAGE(J8:J29),2)</f>
        <v>2026.71</v>
      </c>
    </row>
    <row r="31" spans="2:10" x14ac:dyDescent="0.2">
      <c r="B31" s="5"/>
      <c r="C31" s="65" t="s">
        <v>12</v>
      </c>
      <c r="D31" s="64">
        <f>MAX(D8:D29)</f>
        <v>6010.69</v>
      </c>
      <c r="F31" s="65" t="s">
        <v>12</v>
      </c>
      <c r="G31" s="64">
        <f>MAX(G8:G29)</f>
        <v>1612.33</v>
      </c>
      <c r="I31" s="65" t="s">
        <v>12</v>
      </c>
      <c r="J31" s="64">
        <f>MAX(J8:J29)</f>
        <v>2067.36</v>
      </c>
    </row>
    <row r="32" spans="2:10" x14ac:dyDescent="0.2">
      <c r="B32" s="5"/>
      <c r="C32" s="63" t="s">
        <v>13</v>
      </c>
      <c r="D32" s="62">
        <f>MIN(D8:D29)</f>
        <v>5451.35</v>
      </c>
      <c r="F32" s="63" t="s">
        <v>13</v>
      </c>
      <c r="G32" s="62">
        <f>MIN(G8:G29)</f>
        <v>1527.53</v>
      </c>
      <c r="I32" s="63" t="s">
        <v>13</v>
      </c>
      <c r="J32" s="62">
        <f>MIN(J8:J29)</f>
        <v>1976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5758.3</v>
      </c>
      <c r="D11" s="155">
        <f>ABR!G30</f>
        <v>1586.14</v>
      </c>
      <c r="E11" s="155">
        <f>ABR!J30</f>
        <v>2026.71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1.2522</v>
      </c>
    </row>
    <row r="18" spans="2:9" x14ac:dyDescent="0.2">
      <c r="B18" s="151" t="s">
        <v>43</v>
      </c>
      <c r="C18" s="150">
        <f>'Averages Inc. Euro Eq'!F67</f>
        <v>107.57</v>
      </c>
    </row>
    <row r="19" spans="2:9" x14ac:dyDescent="0.2">
      <c r="B19" s="151" t="s">
        <v>41</v>
      </c>
      <c r="C19" s="149">
        <f>'Averages Inc. Euro Eq'!F68</f>
        <v>1.1254999999999999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1564.02</v>
      </c>
      <c r="D13" s="113">
        <v>1209.6099999999999</v>
      </c>
      <c r="E13" s="113">
        <v>5742.39</v>
      </c>
      <c r="F13" s="113">
        <v>1739.86</v>
      </c>
      <c r="G13" s="113">
        <v>12703.27</v>
      </c>
      <c r="H13" s="113">
        <v>16806.27</v>
      </c>
      <c r="I13" s="113">
        <v>2020.61</v>
      </c>
      <c r="J13" s="113">
        <v>1175.25</v>
      </c>
      <c r="K13" s="113">
        <v>0.5</v>
      </c>
      <c r="L13" s="113">
        <v>29102.27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1564.02</v>
      </c>
      <c r="D15" s="113">
        <v>1209.6099999999999</v>
      </c>
      <c r="E15" s="113">
        <v>5742.39</v>
      </c>
      <c r="F15" s="113">
        <v>1739.86</v>
      </c>
      <c r="G15" s="113">
        <v>12703.27</v>
      </c>
      <c r="H15" s="113">
        <v>16806.27</v>
      </c>
      <c r="I15" s="113">
        <v>2020.61</v>
      </c>
      <c r="J15" s="113">
        <v>1175.25</v>
      </c>
      <c r="K15" s="113">
        <v>1</v>
      </c>
      <c r="L15" s="113">
        <v>29102.27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1564.02</v>
      </c>
      <c r="D17" s="113">
        <v>1209.6099999999999</v>
      </c>
      <c r="E17" s="113">
        <v>5742.39</v>
      </c>
      <c r="F17" s="113">
        <v>1739.86</v>
      </c>
      <c r="G17" s="113">
        <v>12703.27</v>
      </c>
      <c r="H17" s="113">
        <v>16806.27</v>
      </c>
      <c r="I17" s="113">
        <v>2020.61</v>
      </c>
      <c r="J17" s="113">
        <v>1175.25</v>
      </c>
      <c r="K17" s="113">
        <v>0.75</v>
      </c>
      <c r="L17" s="113">
        <v>29102.27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1587.27</v>
      </c>
      <c r="D19" s="113">
        <v>1209.32</v>
      </c>
      <c r="E19" s="113">
        <v>5761.89</v>
      </c>
      <c r="F19" s="113">
        <v>1756.66</v>
      </c>
      <c r="G19" s="113">
        <v>12764.14</v>
      </c>
      <c r="H19" s="113">
        <v>16626.27</v>
      </c>
      <c r="I19" s="113">
        <v>2027.57</v>
      </c>
      <c r="J19" s="113">
        <v>1185.95</v>
      </c>
      <c r="K19" s="113">
        <v>0.5</v>
      </c>
      <c r="L19" s="113">
        <v>29386.36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1587.27</v>
      </c>
      <c r="D21" s="113">
        <v>1209.32</v>
      </c>
      <c r="E21" s="113">
        <v>5761.89</v>
      </c>
      <c r="F21" s="113">
        <v>1756.66</v>
      </c>
      <c r="G21" s="113">
        <v>12764.14</v>
      </c>
      <c r="H21" s="113">
        <v>16626.27</v>
      </c>
      <c r="I21" s="113">
        <v>2027.57</v>
      </c>
      <c r="J21" s="113">
        <v>1185.95</v>
      </c>
      <c r="K21" s="113">
        <v>1</v>
      </c>
      <c r="L21" s="113">
        <v>29386.36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1587.27</v>
      </c>
      <c r="D23" s="113">
        <v>1209.32</v>
      </c>
      <c r="E23" s="113">
        <v>5761.89</v>
      </c>
      <c r="F23" s="113">
        <v>1756.66</v>
      </c>
      <c r="G23" s="113">
        <v>12764.14</v>
      </c>
      <c r="H23" s="113">
        <v>16626.27</v>
      </c>
      <c r="I23" s="113">
        <v>2027.57</v>
      </c>
      <c r="J23" s="113">
        <v>1185.95</v>
      </c>
      <c r="K23" s="113">
        <v>0.75</v>
      </c>
      <c r="L23" s="113">
        <v>29386.36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1692.89</v>
      </c>
      <c r="D25" s="113">
        <v>1207.8</v>
      </c>
      <c r="E25" s="113">
        <v>5828.86</v>
      </c>
      <c r="F25" s="113">
        <v>1803</v>
      </c>
      <c r="G25" s="113">
        <v>13063.55</v>
      </c>
      <c r="H25" s="113"/>
      <c r="I25" s="113">
        <v>2076.4299999999998</v>
      </c>
      <c r="J25" s="113">
        <v>1203.05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1692.89</v>
      </c>
      <c r="D27" s="113">
        <v>1207.8</v>
      </c>
      <c r="E27" s="113">
        <v>5828.86</v>
      </c>
      <c r="F27" s="113">
        <v>1803</v>
      </c>
      <c r="G27" s="113">
        <v>13063.55</v>
      </c>
      <c r="H27" s="113"/>
      <c r="I27" s="113">
        <v>2076.4299999999998</v>
      </c>
      <c r="J27" s="113">
        <v>1203.05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1692.89</v>
      </c>
      <c r="D29" s="113">
        <v>1207.8</v>
      </c>
      <c r="E29" s="113">
        <v>5828.86</v>
      </c>
      <c r="F29" s="113">
        <v>1803</v>
      </c>
      <c r="G29" s="113">
        <v>13063.55</v>
      </c>
      <c r="H29" s="113"/>
      <c r="I29" s="113">
        <v>2076.4299999999998</v>
      </c>
      <c r="J29" s="113">
        <v>1203.05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1772.02</v>
      </c>
      <c r="D31" s="113"/>
      <c r="E31" s="113">
        <v>5876.55</v>
      </c>
      <c r="F31" s="113">
        <v>1836.73</v>
      </c>
      <c r="G31" s="113">
        <v>13294.27</v>
      </c>
      <c r="H31" s="113"/>
      <c r="I31" s="113">
        <v>2109.3200000000002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1772.02</v>
      </c>
      <c r="D33" s="113"/>
      <c r="E33" s="113">
        <v>5876.55</v>
      </c>
      <c r="F33" s="113">
        <v>1836.73</v>
      </c>
      <c r="G33" s="113">
        <v>13294.27</v>
      </c>
      <c r="H33" s="113"/>
      <c r="I33" s="113">
        <v>2109.3200000000002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1772.02</v>
      </c>
      <c r="D35" s="113"/>
      <c r="E35" s="113">
        <v>5876.55</v>
      </c>
      <c r="F35" s="113">
        <v>1836.73</v>
      </c>
      <c r="G35" s="113">
        <v>13294.27</v>
      </c>
      <c r="H35" s="113"/>
      <c r="I35" s="113">
        <v>2109.3200000000002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1851.25</v>
      </c>
      <c r="D37" s="113"/>
      <c r="E37" s="113">
        <v>5936.09</v>
      </c>
      <c r="F37" s="113">
        <v>1857</v>
      </c>
      <c r="G37" s="113">
        <v>13520.64</v>
      </c>
      <c r="H37" s="113"/>
      <c r="I37" s="113">
        <v>2115.8200000000002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1851.25</v>
      </c>
      <c r="D39" s="113"/>
      <c r="E39" s="113">
        <v>5936.09</v>
      </c>
      <c r="F39" s="113">
        <v>1857</v>
      </c>
      <c r="G39" s="113">
        <v>13520.64</v>
      </c>
      <c r="H39" s="113"/>
      <c r="I39" s="113">
        <v>2115.8200000000002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1851.25</v>
      </c>
      <c r="D41" s="113"/>
      <c r="E41" s="113">
        <v>5936.09</v>
      </c>
      <c r="F41" s="113">
        <v>1857</v>
      </c>
      <c r="G41" s="113">
        <v>13520.64</v>
      </c>
      <c r="H41" s="113"/>
      <c r="I41" s="113">
        <v>2115.8200000000002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16428.14</v>
      </c>
      <c r="I43" s="113"/>
      <c r="J43" s="113"/>
      <c r="K43" s="113">
        <v>0.5</v>
      </c>
      <c r="L43" s="113">
        <v>31149.55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16428.14</v>
      </c>
      <c r="I45" s="113"/>
      <c r="J45" s="113"/>
      <c r="K45" s="113">
        <v>1</v>
      </c>
      <c r="L45" s="113">
        <v>31149.55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16428.14</v>
      </c>
      <c r="I47" s="110"/>
      <c r="J47" s="110"/>
      <c r="K47" s="110">
        <v>0.75</v>
      </c>
      <c r="L47" s="110">
        <v>31149.55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1389.57</v>
      </c>
    </row>
    <row r="55" spans="2:5" x14ac:dyDescent="0.2">
      <c r="B55" s="100" t="s">
        <v>56</v>
      </c>
      <c r="C55" s="101">
        <v>1074.75</v>
      </c>
    </row>
    <row r="56" spans="2:5" x14ac:dyDescent="0.2">
      <c r="B56" s="100" t="s">
        <v>55</v>
      </c>
      <c r="C56" s="101">
        <v>5101.92</v>
      </c>
    </row>
    <row r="57" spans="2:5" x14ac:dyDescent="0.2">
      <c r="B57" s="100" t="s">
        <v>54</v>
      </c>
      <c r="C57" s="101">
        <v>1545.83</v>
      </c>
    </row>
    <row r="58" spans="2:5" x14ac:dyDescent="0.2">
      <c r="B58" s="100" t="s">
        <v>53</v>
      </c>
      <c r="C58" s="101">
        <v>11286.68</v>
      </c>
    </row>
    <row r="59" spans="2:5" x14ac:dyDescent="0.2">
      <c r="B59" s="100" t="s">
        <v>52</v>
      </c>
      <c r="C59" s="101">
        <v>14931.29</v>
      </c>
    </row>
    <row r="60" spans="2:5" x14ac:dyDescent="0.2">
      <c r="B60" s="100" t="s">
        <v>51</v>
      </c>
      <c r="C60" s="101">
        <v>1795.36</v>
      </c>
    </row>
    <row r="61" spans="2:5" x14ac:dyDescent="0.2">
      <c r="B61" s="98" t="s">
        <v>50</v>
      </c>
      <c r="C61" s="97">
        <v>1044.17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4586.75</v>
      </c>
      <c r="E65" s="96" t="s">
        <v>46</v>
      </c>
    </row>
    <row r="66" spans="2:9" x14ac:dyDescent="0.2">
      <c r="B66" s="93" t="s">
        <v>45</v>
      </c>
      <c r="D66" s="92">
        <v>4600.58</v>
      </c>
      <c r="E66" s="95" t="s">
        <v>10</v>
      </c>
      <c r="F66" s="90">
        <v>1.2522</v>
      </c>
    </row>
    <row r="67" spans="2:9" x14ac:dyDescent="0.2">
      <c r="B67" s="93" t="s">
        <v>44</v>
      </c>
      <c r="D67" s="92">
        <v>1389.65</v>
      </c>
      <c r="E67" s="95" t="s">
        <v>43</v>
      </c>
      <c r="F67" s="94">
        <v>107.57</v>
      </c>
    </row>
    <row r="68" spans="2:9" x14ac:dyDescent="0.2">
      <c r="B68" s="93" t="s">
        <v>42</v>
      </c>
      <c r="D68" s="92">
        <v>1402.52</v>
      </c>
      <c r="E68" s="91" t="s">
        <v>41</v>
      </c>
      <c r="F68" s="90">
        <v>1.1254999999999999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83B378-1CA0-4D93-8B70-8771E03D6070}"/>
</file>

<file path=customXml/itemProps2.xml><?xml version="1.0" encoding="utf-8"?>
<ds:datastoreItem xmlns:ds="http://schemas.openxmlformats.org/officeDocument/2006/customXml" ds:itemID="{2478928B-DD0B-48C3-916E-4424307CA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2020-06-30T12:19:27Z</cp:lastPrinted>
  <dcterms:created xsi:type="dcterms:W3CDTF">2012-05-31T12:49:12Z</dcterms:created>
  <dcterms:modified xsi:type="dcterms:W3CDTF">2020-07-01T13:08:57Z</dcterms:modified>
</cp:coreProperties>
</file>