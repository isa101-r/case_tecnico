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8_{6FE52754-63F1-4D20-B40D-36AEE7B6EE12}" xr6:coauthVersionLast="47" xr6:coauthVersionMax="47" xr10:uidLastSave="{00000000-0000-0000-0000-000000000000}"/>
  <bookViews>
    <workbookView xWindow="-120" yWindow="-120" windowWidth="38640" windowHeight="21120" tabRatio="993" activeTab="1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8" l="1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W29" i="8" s="1"/>
  <c r="V13" i="8"/>
  <c r="V31" i="8" s="1"/>
  <c r="W12" i="8"/>
  <c r="V12" i="8"/>
  <c r="W11" i="8"/>
  <c r="V11" i="8"/>
  <c r="W10" i="8"/>
  <c r="W31" i="8" s="1"/>
  <c r="V10" i="8"/>
  <c r="W9" i="8"/>
  <c r="V9" i="8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W29" i="5" s="1"/>
  <c r="V13" i="5"/>
  <c r="V31" i="5" s="1"/>
  <c r="W12" i="5"/>
  <c r="V12" i="5"/>
  <c r="W11" i="5"/>
  <c r="V11" i="5"/>
  <c r="W10" i="5"/>
  <c r="W31" i="5" s="1"/>
  <c r="V10" i="5"/>
  <c r="W9" i="5"/>
  <c r="V9" i="5"/>
  <c r="V10" i="4"/>
  <c r="W10" i="4"/>
  <c r="V11" i="4"/>
  <c r="V31" i="4" s="1"/>
  <c r="W11" i="4"/>
  <c r="V12" i="4"/>
  <c r="W12" i="4"/>
  <c r="W31" i="4" s="1"/>
  <c r="V13" i="4"/>
  <c r="V30" i="4" s="1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W9" i="4"/>
  <c r="V9" i="4"/>
  <c r="P15" i="10"/>
  <c r="Q28" i="10"/>
  <c r="P28" i="10"/>
  <c r="Q27" i="10"/>
  <c r="P27" i="10"/>
  <c r="Q26" i="10"/>
  <c r="P26" i="10"/>
  <c r="Q25" i="10"/>
  <c r="P25" i="10"/>
  <c r="Q24" i="10"/>
  <c r="P24" i="10"/>
  <c r="Q23" i="10"/>
  <c r="P23" i="10"/>
  <c r="Q22" i="10"/>
  <c r="P22" i="10"/>
  <c r="Q21" i="10"/>
  <c r="P21" i="10"/>
  <c r="Q20" i="10"/>
  <c r="P20" i="10"/>
  <c r="Q19" i="10"/>
  <c r="P19" i="10"/>
  <c r="Q18" i="10"/>
  <c r="P18" i="10"/>
  <c r="Q17" i="10"/>
  <c r="P17" i="10"/>
  <c r="Q16" i="10"/>
  <c r="P16" i="10"/>
  <c r="Q15" i="10"/>
  <c r="Q14" i="10"/>
  <c r="P14" i="10"/>
  <c r="Q13" i="10"/>
  <c r="Q30" i="10" s="1"/>
  <c r="P13" i="10"/>
  <c r="Q12" i="10"/>
  <c r="P12" i="10"/>
  <c r="Q11" i="10"/>
  <c r="P11" i="10"/>
  <c r="Q10" i="10"/>
  <c r="P10" i="10"/>
  <c r="P29" i="10" s="1"/>
  <c r="Q9" i="10"/>
  <c r="P9" i="10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Q13" i="7"/>
  <c r="P13" i="7"/>
  <c r="P31" i="7" s="1"/>
  <c r="Q12" i="7"/>
  <c r="P12" i="7"/>
  <c r="Q11" i="7"/>
  <c r="P11" i="7"/>
  <c r="Q10" i="7"/>
  <c r="P10" i="7"/>
  <c r="P30" i="7" s="1"/>
  <c r="Q9" i="7"/>
  <c r="Q30" i="7" s="1"/>
  <c r="P9" i="7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Q29" i="3" s="1"/>
  <c r="P13" i="3"/>
  <c r="P30" i="3" s="1"/>
  <c r="Q12" i="3"/>
  <c r="P12" i="3"/>
  <c r="Q11" i="3"/>
  <c r="P11" i="3"/>
  <c r="Q10" i="3"/>
  <c r="P10" i="3"/>
  <c r="P29" i="3" s="1"/>
  <c r="Q9" i="3"/>
  <c r="P9" i="3"/>
  <c r="Q10" i="2"/>
  <c r="Q11" i="2"/>
  <c r="Q12" i="2"/>
  <c r="Q13" i="2"/>
  <c r="Q14" i="2"/>
  <c r="Q15" i="2"/>
  <c r="Q29" i="2" s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9" i="2"/>
  <c r="P10" i="2"/>
  <c r="P30" i="2" s="1"/>
  <c r="P11" i="2"/>
  <c r="P29" i="2" s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9" i="2"/>
  <c r="C19" i="13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O29" i="10"/>
  <c r="N29" i="10"/>
  <c r="M29" i="10"/>
  <c r="L29" i="10"/>
  <c r="J29" i="10"/>
  <c r="I29" i="10"/>
  <c r="K29" i="10" s="1"/>
  <c r="H29" i="10"/>
  <c r="G29" i="10"/>
  <c r="F29" i="10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R30" i="10" s="1"/>
  <c r="K12" i="10"/>
  <c r="H12" i="10"/>
  <c r="E12" i="10"/>
  <c r="R11" i="10"/>
  <c r="K11" i="10"/>
  <c r="K31" i="10" s="1"/>
  <c r="H11" i="10"/>
  <c r="E11" i="10"/>
  <c r="R10" i="10"/>
  <c r="K10" i="10"/>
  <c r="K30" i="10" s="1"/>
  <c r="H10" i="10"/>
  <c r="H30" i="10" s="1"/>
  <c r="E10" i="10"/>
  <c r="R9" i="10"/>
  <c r="R31" i="10" s="1"/>
  <c r="K9" i="10"/>
  <c r="H9" i="10"/>
  <c r="H31" i="10" s="1"/>
  <c r="E9" i="10"/>
  <c r="E31" i="10" s="1"/>
  <c r="Y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U29" i="8"/>
  <c r="T29" i="8"/>
  <c r="S29" i="8"/>
  <c r="R29" i="8"/>
  <c r="P29" i="8"/>
  <c r="Q29" i="8" s="1"/>
  <c r="O29" i="8"/>
  <c r="N29" i="8"/>
  <c r="M29" i="8"/>
  <c r="L29" i="8"/>
  <c r="J29" i="8"/>
  <c r="K29" i="8" s="1"/>
  <c r="I29" i="8"/>
  <c r="G29" i="8"/>
  <c r="F29" i="8"/>
  <c r="H29" i="8" s="1"/>
  <c r="E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N30" i="8" s="1"/>
  <c r="K11" i="8"/>
  <c r="H11" i="8"/>
  <c r="E11" i="8"/>
  <c r="X10" i="8"/>
  <c r="Q10" i="8"/>
  <c r="Q30" i="8" s="1"/>
  <c r="N10" i="8"/>
  <c r="K10" i="8"/>
  <c r="K30" i="8" s="1"/>
  <c r="H10" i="8"/>
  <c r="E10" i="8"/>
  <c r="X9" i="8"/>
  <c r="X31" i="8" s="1"/>
  <c r="Q9" i="8"/>
  <c r="Q31" i="8" s="1"/>
  <c r="N9" i="8"/>
  <c r="N31" i="8" s="1"/>
  <c r="K9" i="8"/>
  <c r="H9" i="8"/>
  <c r="H31" i="8" s="1"/>
  <c r="E9" i="8"/>
  <c r="E31" i="8" s="1"/>
  <c r="S31" i="7"/>
  <c r="Q31" i="7"/>
  <c r="O31" i="7"/>
  <c r="N31" i="7"/>
  <c r="M31" i="7"/>
  <c r="L31" i="7"/>
  <c r="J31" i="7"/>
  <c r="I31" i="7"/>
  <c r="G31" i="7"/>
  <c r="F31" i="7"/>
  <c r="D31" i="7"/>
  <c r="C31" i="7"/>
  <c r="S30" i="7"/>
  <c r="O30" i="7"/>
  <c r="N30" i="7"/>
  <c r="M30" i="7"/>
  <c r="L30" i="7"/>
  <c r="J30" i="7"/>
  <c r="I30" i="7"/>
  <c r="G30" i="7"/>
  <c r="F30" i="7"/>
  <c r="D30" i="7"/>
  <c r="C30" i="7"/>
  <c r="S29" i="7"/>
  <c r="P29" i="7"/>
  <c r="O29" i="7"/>
  <c r="N29" i="7"/>
  <c r="M29" i="7"/>
  <c r="L29" i="7"/>
  <c r="K29" i="7"/>
  <c r="J29" i="7"/>
  <c r="I29" i="7"/>
  <c r="G29" i="7"/>
  <c r="F29" i="7"/>
  <c r="H29" i="7" s="1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H30" i="7" s="1"/>
  <c r="E11" i="7"/>
  <c r="E30" i="7" s="1"/>
  <c r="R10" i="7"/>
  <c r="K10" i="7"/>
  <c r="H10" i="7"/>
  <c r="E10" i="7"/>
  <c r="E31" i="7" s="1"/>
  <c r="R9" i="7"/>
  <c r="R31" i="7" s="1"/>
  <c r="K9" i="7"/>
  <c r="K31" i="7" s="1"/>
  <c r="H9" i="7"/>
  <c r="H31" i="7" s="1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Q29" i="6" s="1"/>
  <c r="O29" i="6"/>
  <c r="N29" i="6"/>
  <c r="M29" i="6"/>
  <c r="L29" i="6"/>
  <c r="J29" i="6"/>
  <c r="K29" i="6" s="1"/>
  <c r="I29" i="6"/>
  <c r="G29" i="6"/>
  <c r="F29" i="6"/>
  <c r="H29" i="6" s="1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N30" i="6" s="1"/>
  <c r="K11" i="6"/>
  <c r="H11" i="6"/>
  <c r="E11" i="6"/>
  <c r="X10" i="6"/>
  <c r="Q10" i="6"/>
  <c r="Q30" i="6" s="1"/>
  <c r="N10" i="6"/>
  <c r="K10" i="6"/>
  <c r="K30" i="6" s="1"/>
  <c r="H10" i="6"/>
  <c r="E10" i="6"/>
  <c r="X9" i="6"/>
  <c r="X31" i="6" s="1"/>
  <c r="Q9" i="6"/>
  <c r="Q31" i="6" s="1"/>
  <c r="N9" i="6"/>
  <c r="N31" i="6" s="1"/>
  <c r="K9" i="6"/>
  <c r="H9" i="6"/>
  <c r="H31" i="6" s="1"/>
  <c r="E9" i="6"/>
  <c r="E31" i="6" s="1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U29" i="5"/>
  <c r="T29" i="5"/>
  <c r="S29" i="5"/>
  <c r="R29" i="5"/>
  <c r="P29" i="5"/>
  <c r="Q29" i="5" s="1"/>
  <c r="O29" i="5"/>
  <c r="M29" i="5"/>
  <c r="N29" i="5" s="1"/>
  <c r="L29" i="5"/>
  <c r="J29" i="5"/>
  <c r="I29" i="5"/>
  <c r="K29" i="5" s="1"/>
  <c r="G29" i="5"/>
  <c r="H29" i="5" s="1"/>
  <c r="F29" i="5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X29" i="5" s="1"/>
  <c r="Q13" i="5"/>
  <c r="Q30" i="5" s="1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0" i="5" s="1"/>
  <c r="E10" i="5"/>
  <c r="X9" i="5"/>
  <c r="X30" i="5" s="1"/>
  <c r="Q9" i="5"/>
  <c r="Q31" i="5" s="1"/>
  <c r="N9" i="5"/>
  <c r="N31" i="5" s="1"/>
  <c r="K9" i="5"/>
  <c r="K30" i="5" s="1"/>
  <c r="H9" i="5"/>
  <c r="E9" i="5"/>
  <c r="E31" i="5" s="1"/>
  <c r="Y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V29" i="4"/>
  <c r="U29" i="4"/>
  <c r="T29" i="4"/>
  <c r="S29" i="4"/>
  <c r="R29" i="4"/>
  <c r="P29" i="4"/>
  <c r="O29" i="4"/>
  <c r="Q29" i="4" s="1"/>
  <c r="M29" i="4"/>
  <c r="N29" i="4" s="1"/>
  <c r="L29" i="4"/>
  <c r="J29" i="4"/>
  <c r="K29" i="4" s="1"/>
  <c r="I29" i="4"/>
  <c r="G29" i="4"/>
  <c r="F29" i="4"/>
  <c r="H29" i="4" s="1"/>
  <c r="D29" i="4"/>
  <c r="E29" i="4" s="1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X30" i="4" s="1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H30" i="4" s="1"/>
  <c r="E13" i="4"/>
  <c r="X12" i="4"/>
  <c r="Q12" i="4"/>
  <c r="N12" i="4"/>
  <c r="K12" i="4"/>
  <c r="H12" i="4"/>
  <c r="E12" i="4"/>
  <c r="X11" i="4"/>
  <c r="Q11" i="4"/>
  <c r="N11" i="4"/>
  <c r="K11" i="4"/>
  <c r="H11" i="4"/>
  <c r="H31" i="4" s="1"/>
  <c r="E11" i="4"/>
  <c r="X10" i="4"/>
  <c r="X29" i="4" s="1"/>
  <c r="Q10" i="4"/>
  <c r="Q31" i="4" s="1"/>
  <c r="N10" i="4"/>
  <c r="N30" i="4" s="1"/>
  <c r="K10" i="4"/>
  <c r="H10" i="4"/>
  <c r="E10" i="4"/>
  <c r="X9" i="4"/>
  <c r="Q9" i="4"/>
  <c r="Q30" i="4" s="1"/>
  <c r="N9" i="4"/>
  <c r="N31" i="4" s="1"/>
  <c r="K9" i="4"/>
  <c r="K31" i="4" s="1"/>
  <c r="H9" i="4"/>
  <c r="E9" i="4"/>
  <c r="E30" i="4" s="1"/>
  <c r="S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J30" i="3"/>
  <c r="I30" i="3"/>
  <c r="G30" i="3"/>
  <c r="F30" i="3"/>
  <c r="D30" i="3"/>
  <c r="C30" i="3"/>
  <c r="S29" i="3"/>
  <c r="O29" i="3"/>
  <c r="N29" i="3"/>
  <c r="M29" i="3"/>
  <c r="L29" i="3"/>
  <c r="J29" i="3"/>
  <c r="I29" i="3"/>
  <c r="K29" i="3" s="1"/>
  <c r="H29" i="3"/>
  <c r="G29" i="3"/>
  <c r="F29" i="3"/>
  <c r="E29" i="3"/>
  <c r="D29" i="3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E30" i="3" s="1"/>
  <c r="R11" i="3"/>
  <c r="K11" i="3"/>
  <c r="H11" i="3"/>
  <c r="E11" i="3"/>
  <c r="R10" i="3"/>
  <c r="K10" i="3"/>
  <c r="H10" i="3"/>
  <c r="H31" i="3" s="1"/>
  <c r="E10" i="3"/>
  <c r="R9" i="3"/>
  <c r="R31" i="3" s="1"/>
  <c r="K9" i="3"/>
  <c r="K31" i="3" s="1"/>
  <c r="H9" i="3"/>
  <c r="E9" i="3"/>
  <c r="E31" i="3" s="1"/>
  <c r="S31" i="2"/>
  <c r="O31" i="2"/>
  <c r="N31" i="2"/>
  <c r="M31" i="2"/>
  <c r="L31" i="2"/>
  <c r="J31" i="2"/>
  <c r="I31" i="2"/>
  <c r="G31" i="2"/>
  <c r="F31" i="2"/>
  <c r="D31" i="2"/>
  <c r="C31" i="2"/>
  <c r="S30" i="2"/>
  <c r="Q30" i="2"/>
  <c r="O30" i="2"/>
  <c r="N30" i="2"/>
  <c r="M30" i="2"/>
  <c r="L30" i="2"/>
  <c r="J30" i="2"/>
  <c r="I30" i="2"/>
  <c r="G30" i="2"/>
  <c r="F30" i="2"/>
  <c r="D30" i="2"/>
  <c r="C30" i="2"/>
  <c r="S29" i="2"/>
  <c r="O29" i="2"/>
  <c r="N29" i="2"/>
  <c r="M29" i="2"/>
  <c r="L29" i="2"/>
  <c r="K29" i="2"/>
  <c r="J29" i="2"/>
  <c r="I29" i="2"/>
  <c r="H29" i="2"/>
  <c r="G29" i="2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R30" i="2" s="1"/>
  <c r="K12" i="2"/>
  <c r="H12" i="2"/>
  <c r="E12" i="2"/>
  <c r="R11" i="2"/>
  <c r="K11" i="2"/>
  <c r="H11" i="2"/>
  <c r="E11" i="2"/>
  <c r="R10" i="2"/>
  <c r="K10" i="2"/>
  <c r="K31" i="2" s="1"/>
  <c r="H10" i="2"/>
  <c r="H30" i="2" s="1"/>
  <c r="E10" i="2"/>
  <c r="R9" i="2"/>
  <c r="R31" i="2" s="1"/>
  <c r="K9" i="2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Q29" i="1" s="1"/>
  <c r="O29" i="1"/>
  <c r="M29" i="1"/>
  <c r="N29" i="1" s="1"/>
  <c r="L29" i="1"/>
  <c r="J29" i="1"/>
  <c r="I29" i="1"/>
  <c r="K29" i="1" s="1"/>
  <c r="G29" i="1"/>
  <c r="H29" i="1" s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X29" i="1" s="1"/>
  <c r="Q13" i="1"/>
  <c r="Q30" i="1" s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H30" i="1" s="1"/>
  <c r="E10" i="1"/>
  <c r="X9" i="1"/>
  <c r="X30" i="1" s="1"/>
  <c r="Q9" i="1"/>
  <c r="Q31" i="1" s="1"/>
  <c r="N9" i="1"/>
  <c r="N31" i="1" s="1"/>
  <c r="K9" i="1"/>
  <c r="K31" i="1" s="1"/>
  <c r="H9" i="1"/>
  <c r="E9" i="1"/>
  <c r="E31" i="1" s="1"/>
  <c r="V29" i="8" l="1"/>
  <c r="V30" i="8"/>
  <c r="W30" i="8"/>
  <c r="V29" i="5"/>
  <c r="V30" i="5"/>
  <c r="W30" i="5"/>
  <c r="W29" i="4"/>
  <c r="W30" i="4"/>
  <c r="P31" i="10"/>
  <c r="Q31" i="10"/>
  <c r="P30" i="10"/>
  <c r="Q29" i="7"/>
  <c r="P31" i="3"/>
  <c r="Q31" i="3"/>
  <c r="Q30" i="3"/>
  <c r="Q31" i="2"/>
  <c r="P31" i="2"/>
  <c r="K30" i="3"/>
  <c r="R29" i="7"/>
  <c r="N30" i="1"/>
  <c r="K30" i="4"/>
  <c r="N30" i="5"/>
  <c r="X29" i="6"/>
  <c r="R30" i="7"/>
  <c r="X29" i="8"/>
  <c r="K30" i="1"/>
  <c r="H31" i="1"/>
  <c r="X31" i="1"/>
  <c r="E31" i="4"/>
  <c r="H31" i="5"/>
  <c r="X31" i="5"/>
  <c r="K31" i="6"/>
  <c r="K31" i="8"/>
  <c r="R29" i="2"/>
  <c r="R29" i="10"/>
  <c r="X31" i="4"/>
  <c r="K31" i="5"/>
  <c r="E30" i="6"/>
  <c r="E30" i="8"/>
  <c r="R29" i="3"/>
  <c r="E30" i="2"/>
  <c r="R30" i="3"/>
  <c r="E30" i="10"/>
  <c r="E30" i="1"/>
  <c r="E30" i="5"/>
  <c r="H30" i="6"/>
  <c r="X30" i="6"/>
  <c r="H30" i="8"/>
  <c r="X30" i="8"/>
  <c r="K30" i="7"/>
  <c r="K30" i="2"/>
  <c r="H30" i="3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<sst xmlns="http://schemas.openxmlformats.org/spreadsheetml/2006/main" count="429" uniqueCount="99">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</sst>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17" fontId="6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5" fillId="0" borderId="0" xfId="0" applyNumberFormat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9" fontId="4" fillId="0" borderId="9" xfId="0" applyNumberFormat="1" applyFont="1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9" fontId="4" fillId="0" borderId="11" xfId="0" applyNumberFormat="1" applyFont="1" applyBorder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9" fontId="4" fillId="0" borderId="14" xfId="0" applyNumberFormat="1" applyFont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4" fontId="8" fillId="0" borderId="11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2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6" fontId="8" fillId="0" borderId="11" xfId="0" applyNumberFormat="1" applyFont="1" applyBorder="1" applyAlignment="1">
      <alignment horizontal="center"/>
    </xf>
    <xf numFmtId="167" fontId="8" fillId="0" borderId="1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/>
    <xf numFmtId="165" fontId="2" fillId="0" borderId="19" xfId="0" applyNumberFormat="1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17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0" fontId="0" fillId="2" borderId="0" xfId="0" applyFill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/>
    <xf numFmtId="171" fontId="2" fillId="2" borderId="0" xfId="0" applyNumberFormat="1" applyFont="1" applyFill="1" applyAlignment="1">
      <alignment horizontal="left"/>
    </xf>
    <xf numFmtId="167" fontId="2" fillId="2" borderId="43" xfId="0" applyNumberFormat="1" applyFont="1" applyFill="1" applyBorder="1"/>
    <xf numFmtId="2" fontId="2" fillId="2" borderId="43" xfId="0" applyNumberFormat="1" applyFont="1" applyFill="1" applyBorder="1"/>
    <xf numFmtId="174" fontId="2" fillId="2" borderId="43" xfId="0" applyNumberFormat="1" applyFont="1" applyFill="1" applyBorder="1"/>
    <xf numFmtId="0" fontId="2" fillId="2" borderId="43" xfId="0" applyFont="1" applyFill="1" applyBorder="1"/>
    <xf numFmtId="0" fontId="6" fillId="2" borderId="43" xfId="0" applyFont="1" applyFill="1" applyBorder="1"/>
    <xf numFmtId="0" fontId="13" fillId="2" borderId="43" xfId="0" applyFont="1" applyFill="1" applyBorder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0" fontId="1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14" fillId="2" borderId="0" xfId="0" applyFont="1" applyFill="1"/>
    <xf numFmtId="177" fontId="2" fillId="2" borderId="0" xfId="0" applyNumberFormat="1" applyFont="1" applyFill="1" applyAlignment="1">
      <alignment horizontal="center"/>
    </xf>
    <xf numFmtId="0" fontId="5" fillId="2" borderId="0" xfId="0" applyFont="1" applyFill="1"/>
    <xf numFmtId="2" fontId="8" fillId="0" borderId="14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45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/>
    <xf numFmtId="0" fontId="0" fillId="0" borderId="44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45964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45964</v>
      </c>
      <c r="C9" s="44">
        <v>10872</v>
      </c>
      <c r="D9" s="43">
        <v>10872.5</v>
      </c>
      <c r="E9" s="42">
        <f t="shared" ref="E9:E28" si="0">AVERAGE(C9:D9)</f>
        <v>10872.25</v>
      </c>
      <c r="F9" s="44">
        <v>10887</v>
      </c>
      <c r="G9" s="43">
        <v>10888</v>
      </c>
      <c r="H9" s="42">
        <f t="shared" ref="H9:H28" si="1">AVERAGE(F9:G9)</f>
        <v>10887.5</v>
      </c>
      <c r="I9" s="44">
        <v>10805</v>
      </c>
      <c r="J9" s="43">
        <v>10815</v>
      </c>
      <c r="K9" s="42">
        <f t="shared" ref="K9:K28" si="2">AVERAGE(I9:J9)</f>
        <v>10810</v>
      </c>
      <c r="L9" s="44">
        <v>10645</v>
      </c>
      <c r="M9" s="43">
        <v>10655</v>
      </c>
      <c r="N9" s="42">
        <f t="shared" ref="N9:N28" si="3">AVERAGE(L9:M9)</f>
        <v>10650</v>
      </c>
      <c r="O9" s="44">
        <v>10460</v>
      </c>
      <c r="P9" s="43">
        <v>10470</v>
      </c>
      <c r="Q9" s="42">
        <f t="shared" ref="Q9:Q28" si="4">AVERAGE(O9:P9)</f>
        <v>10465</v>
      </c>
      <c r="R9" s="50">
        <v>10872.5</v>
      </c>
      <c r="S9" s="49">
        <v>1.3142</v>
      </c>
      <c r="T9" s="51">
        <v>1.1516999999999999</v>
      </c>
      <c r="U9" s="48">
        <v>154.18</v>
      </c>
      <c r="V9" s="41">
        <v>8273.09</v>
      </c>
      <c r="W9" s="41">
        <v>8284.89</v>
      </c>
      <c r="X9" s="47">
        <f t="shared" ref="X9:X28" si="5">R9/T9</f>
        <v>9440.3924633151</v>
      </c>
      <c r="Y9" s="46">
        <v>1.3142</v>
      </c>
    </row>
    <row r="10" spans="1:25" x14ac:dyDescent="0.2">
      <c r="B10" s="45">
        <v>45965</v>
      </c>
      <c r="C10" s="44">
        <v>10599.5</v>
      </c>
      <c r="D10" s="43">
        <v>10600.5</v>
      </c>
      <c r="E10" s="42">
        <f t="shared" si="0"/>
        <v>10600</v>
      </c>
      <c r="F10" s="44">
        <v>10624.5</v>
      </c>
      <c r="G10" s="43">
        <v>10625</v>
      </c>
      <c r="H10" s="42">
        <f t="shared" si="1"/>
        <v>10624.75</v>
      </c>
      <c r="I10" s="44">
        <v>10575</v>
      </c>
      <c r="J10" s="43">
        <v>10585</v>
      </c>
      <c r="K10" s="42">
        <f t="shared" si="2"/>
        <v>10580</v>
      </c>
      <c r="L10" s="44">
        <v>10485</v>
      </c>
      <c r="M10" s="43">
        <v>10495</v>
      </c>
      <c r="N10" s="42">
        <f t="shared" si="3"/>
        <v>10490</v>
      </c>
      <c r="O10" s="44">
        <v>10365</v>
      </c>
      <c r="P10" s="43">
        <v>10375</v>
      </c>
      <c r="Q10" s="42">
        <f t="shared" si="4"/>
        <v>10370</v>
      </c>
      <c r="R10" s="50">
        <v>10600.5</v>
      </c>
      <c r="S10" s="49">
        <v>1.3068</v>
      </c>
      <c r="T10" s="49">
        <v>1.1489</v>
      </c>
      <c r="U10" s="48">
        <v>153.53</v>
      </c>
      <c r="V10" s="41">
        <v>8111.8</v>
      </c>
      <c r="W10" s="41">
        <v>8130.55</v>
      </c>
      <c r="X10" s="47">
        <f t="shared" si="5"/>
        <v>9226.6515797719549</v>
      </c>
      <c r="Y10" s="46">
        <v>1.3068</v>
      </c>
    </row>
    <row r="11" spans="1:25" x14ac:dyDescent="0.2">
      <c r="B11" s="45">
        <v>45966</v>
      </c>
      <c r="C11" s="44">
        <v>10602</v>
      </c>
      <c r="D11" s="43">
        <v>10603</v>
      </c>
      <c r="E11" s="42">
        <f t="shared" si="0"/>
        <v>10602.5</v>
      </c>
      <c r="F11" s="44">
        <v>10639.5</v>
      </c>
      <c r="G11" s="43">
        <v>10640</v>
      </c>
      <c r="H11" s="42">
        <f t="shared" si="1"/>
        <v>10639.75</v>
      </c>
      <c r="I11" s="44">
        <v>10590</v>
      </c>
      <c r="J11" s="43">
        <v>10600</v>
      </c>
      <c r="K11" s="42">
        <f t="shared" si="2"/>
        <v>10595</v>
      </c>
      <c r="L11" s="44">
        <v>10500</v>
      </c>
      <c r="M11" s="43">
        <v>10510</v>
      </c>
      <c r="N11" s="42">
        <f t="shared" si="3"/>
        <v>10505</v>
      </c>
      <c r="O11" s="44">
        <v>10380</v>
      </c>
      <c r="P11" s="43">
        <v>10390</v>
      </c>
      <c r="Q11" s="42">
        <f t="shared" si="4"/>
        <v>10385</v>
      </c>
      <c r="R11" s="50">
        <v>10603</v>
      </c>
      <c r="S11" s="49">
        <v>1.3042</v>
      </c>
      <c r="T11" s="49">
        <v>1.1491</v>
      </c>
      <c r="U11" s="48">
        <v>153.71</v>
      </c>
      <c r="V11" s="41">
        <v>8129.89</v>
      </c>
      <c r="W11" s="41">
        <v>8158.88</v>
      </c>
      <c r="X11" s="47">
        <f t="shared" si="5"/>
        <v>9227.2213036289268</v>
      </c>
      <c r="Y11" s="46">
        <v>1.3041</v>
      </c>
    </row>
    <row r="12" spans="1:25" x14ac:dyDescent="0.2">
      <c r="B12" s="45">
        <v>45967</v>
      </c>
      <c r="C12" s="44">
        <v>10722</v>
      </c>
      <c r="D12" s="43">
        <v>10723</v>
      </c>
      <c r="E12" s="42">
        <f t="shared" si="0"/>
        <v>10722.5</v>
      </c>
      <c r="F12" s="44">
        <v>10758</v>
      </c>
      <c r="G12" s="43">
        <v>10760</v>
      </c>
      <c r="H12" s="42">
        <f t="shared" si="1"/>
        <v>10759</v>
      </c>
      <c r="I12" s="44">
        <v>10705</v>
      </c>
      <c r="J12" s="43">
        <v>10715</v>
      </c>
      <c r="K12" s="42">
        <f t="shared" si="2"/>
        <v>10710</v>
      </c>
      <c r="L12" s="44">
        <v>10600</v>
      </c>
      <c r="M12" s="43">
        <v>10610</v>
      </c>
      <c r="N12" s="42">
        <f t="shared" si="3"/>
        <v>10605</v>
      </c>
      <c r="O12" s="44">
        <v>10480</v>
      </c>
      <c r="P12" s="43">
        <v>10490</v>
      </c>
      <c r="Q12" s="42">
        <f t="shared" si="4"/>
        <v>10485</v>
      </c>
      <c r="R12" s="50">
        <v>10723</v>
      </c>
      <c r="S12" s="49">
        <v>1.31</v>
      </c>
      <c r="T12" s="49">
        <v>1.1531</v>
      </c>
      <c r="U12" s="48">
        <v>153.61000000000001</v>
      </c>
      <c r="V12" s="41">
        <v>8185.5</v>
      </c>
      <c r="W12" s="41">
        <v>8214.99</v>
      </c>
      <c r="X12" s="47">
        <f t="shared" si="5"/>
        <v>9299.2802011967742</v>
      </c>
      <c r="Y12" s="46">
        <v>1.3098000000000001</v>
      </c>
    </row>
    <row r="13" spans="1:25" x14ac:dyDescent="0.2">
      <c r="B13" s="45">
        <v>45968</v>
      </c>
      <c r="C13" s="44">
        <v>10715</v>
      </c>
      <c r="D13" s="43">
        <v>10720</v>
      </c>
      <c r="E13" s="42">
        <f t="shared" si="0"/>
        <v>10717.5</v>
      </c>
      <c r="F13" s="44">
        <v>10744</v>
      </c>
      <c r="G13" s="43">
        <v>10745</v>
      </c>
      <c r="H13" s="42">
        <f t="shared" si="1"/>
        <v>10744.5</v>
      </c>
      <c r="I13" s="44">
        <v>10690</v>
      </c>
      <c r="J13" s="43">
        <v>10700</v>
      </c>
      <c r="K13" s="42">
        <f t="shared" si="2"/>
        <v>10695</v>
      </c>
      <c r="L13" s="44">
        <v>10580</v>
      </c>
      <c r="M13" s="43">
        <v>10590</v>
      </c>
      <c r="N13" s="42">
        <f t="shared" si="3"/>
        <v>10585</v>
      </c>
      <c r="O13" s="44">
        <v>10470</v>
      </c>
      <c r="P13" s="43">
        <v>10480</v>
      </c>
      <c r="Q13" s="42">
        <f t="shared" si="4"/>
        <v>10475</v>
      </c>
      <c r="R13" s="50">
        <v>10720</v>
      </c>
      <c r="S13" s="49">
        <v>1.3115000000000001</v>
      </c>
      <c r="T13" s="49">
        <v>1.1556</v>
      </c>
      <c r="U13" s="48">
        <v>153.1</v>
      </c>
      <c r="V13" s="41">
        <v>8173.85</v>
      </c>
      <c r="W13" s="41">
        <v>8194.16</v>
      </c>
      <c r="X13" s="47">
        <f t="shared" si="5"/>
        <v>9276.5662859120803</v>
      </c>
      <c r="Y13" s="46">
        <v>1.3112999999999999</v>
      </c>
    </row>
    <row r="14" spans="1:25" x14ac:dyDescent="0.2">
      <c r="B14" s="45">
        <v>45971</v>
      </c>
      <c r="C14" s="44">
        <v>10798</v>
      </c>
      <c r="D14" s="43">
        <v>10800</v>
      </c>
      <c r="E14" s="42">
        <f t="shared" si="0"/>
        <v>10799</v>
      </c>
      <c r="F14" s="44">
        <v>10815</v>
      </c>
      <c r="G14" s="43">
        <v>10820</v>
      </c>
      <c r="H14" s="42">
        <f t="shared" si="1"/>
        <v>10817.5</v>
      </c>
      <c r="I14" s="44">
        <v>10755</v>
      </c>
      <c r="J14" s="43">
        <v>10765</v>
      </c>
      <c r="K14" s="42">
        <f t="shared" si="2"/>
        <v>10760</v>
      </c>
      <c r="L14" s="44">
        <v>10635</v>
      </c>
      <c r="M14" s="43">
        <v>10645</v>
      </c>
      <c r="N14" s="42">
        <f t="shared" si="3"/>
        <v>10640</v>
      </c>
      <c r="O14" s="44">
        <v>10515</v>
      </c>
      <c r="P14" s="43">
        <v>10525</v>
      </c>
      <c r="Q14" s="42">
        <f t="shared" si="4"/>
        <v>10520</v>
      </c>
      <c r="R14" s="50">
        <v>10800</v>
      </c>
      <c r="S14" s="49">
        <v>1.3181</v>
      </c>
      <c r="T14" s="49">
        <v>1.1568000000000001</v>
      </c>
      <c r="U14" s="48">
        <v>154.12</v>
      </c>
      <c r="V14" s="41">
        <v>8193.61</v>
      </c>
      <c r="W14" s="41">
        <v>8210.0300000000007</v>
      </c>
      <c r="X14" s="47">
        <f t="shared" si="5"/>
        <v>9336.0995850622403</v>
      </c>
      <c r="Y14" s="46">
        <v>1.3179000000000001</v>
      </c>
    </row>
    <row r="15" spans="1:25" x14ac:dyDescent="0.2">
      <c r="B15" s="45">
        <v>45972</v>
      </c>
      <c r="C15" s="44">
        <v>10776.5</v>
      </c>
      <c r="D15" s="43">
        <v>10777</v>
      </c>
      <c r="E15" s="42">
        <f t="shared" si="0"/>
        <v>10776.75</v>
      </c>
      <c r="F15" s="44">
        <v>10804</v>
      </c>
      <c r="G15" s="43">
        <v>10805</v>
      </c>
      <c r="H15" s="42">
        <f t="shared" si="1"/>
        <v>10804.5</v>
      </c>
      <c r="I15" s="44">
        <v>10740</v>
      </c>
      <c r="J15" s="43">
        <v>10750</v>
      </c>
      <c r="K15" s="42">
        <f t="shared" si="2"/>
        <v>10745</v>
      </c>
      <c r="L15" s="44">
        <v>10595</v>
      </c>
      <c r="M15" s="43">
        <v>10605</v>
      </c>
      <c r="N15" s="42">
        <f t="shared" si="3"/>
        <v>10600</v>
      </c>
      <c r="O15" s="44">
        <v>10495</v>
      </c>
      <c r="P15" s="43">
        <v>10505</v>
      </c>
      <c r="Q15" s="42">
        <f t="shared" si="4"/>
        <v>10500</v>
      </c>
      <c r="R15" s="50">
        <v>10777</v>
      </c>
      <c r="S15" s="49">
        <v>1.3143</v>
      </c>
      <c r="T15" s="49">
        <v>1.157</v>
      </c>
      <c r="U15" s="48">
        <v>154.19999999999999</v>
      </c>
      <c r="V15" s="41">
        <v>8199.7999999999993</v>
      </c>
      <c r="W15" s="41">
        <v>8221.11</v>
      </c>
      <c r="X15" s="47">
        <f t="shared" si="5"/>
        <v>9314.606741573034</v>
      </c>
      <c r="Y15" s="46">
        <v>1.3143</v>
      </c>
    </row>
    <row r="16" spans="1:25" x14ac:dyDescent="0.2">
      <c r="B16" s="45">
        <v>45973</v>
      </c>
      <c r="C16" s="44">
        <v>10831</v>
      </c>
      <c r="D16" s="43">
        <v>10833</v>
      </c>
      <c r="E16" s="42">
        <f t="shared" si="0"/>
        <v>10832</v>
      </c>
      <c r="F16" s="44">
        <v>10853</v>
      </c>
      <c r="G16" s="43">
        <v>10854</v>
      </c>
      <c r="H16" s="42">
        <f t="shared" si="1"/>
        <v>10853.5</v>
      </c>
      <c r="I16" s="44">
        <v>10780</v>
      </c>
      <c r="J16" s="43">
        <v>10790</v>
      </c>
      <c r="K16" s="42">
        <f t="shared" si="2"/>
        <v>10785</v>
      </c>
      <c r="L16" s="44">
        <v>10650</v>
      </c>
      <c r="M16" s="43">
        <v>10660</v>
      </c>
      <c r="N16" s="42">
        <f t="shared" si="3"/>
        <v>10655</v>
      </c>
      <c r="O16" s="44">
        <v>10525</v>
      </c>
      <c r="P16" s="43">
        <v>10535</v>
      </c>
      <c r="Q16" s="42">
        <f t="shared" si="4"/>
        <v>10530</v>
      </c>
      <c r="R16" s="50">
        <v>10833</v>
      </c>
      <c r="S16" s="49">
        <v>1.3118000000000001</v>
      </c>
      <c r="T16" s="49">
        <v>1.1577</v>
      </c>
      <c r="U16" s="48">
        <v>154.81</v>
      </c>
      <c r="V16" s="41">
        <v>8258.1200000000008</v>
      </c>
      <c r="W16" s="41">
        <v>8274.76</v>
      </c>
      <c r="X16" s="47">
        <f t="shared" si="5"/>
        <v>9357.346462814201</v>
      </c>
      <c r="Y16" s="46">
        <v>1.3117000000000001</v>
      </c>
    </row>
    <row r="17" spans="2:25" x14ac:dyDescent="0.2">
      <c r="B17" s="45">
        <v>45974</v>
      </c>
      <c r="C17" s="44">
        <v>10940</v>
      </c>
      <c r="D17" s="43">
        <v>10942</v>
      </c>
      <c r="E17" s="42">
        <f t="shared" si="0"/>
        <v>10941</v>
      </c>
      <c r="F17" s="44">
        <v>10957</v>
      </c>
      <c r="G17" s="43">
        <v>10959</v>
      </c>
      <c r="H17" s="42">
        <f t="shared" si="1"/>
        <v>10958</v>
      </c>
      <c r="I17" s="44">
        <v>10870</v>
      </c>
      <c r="J17" s="43">
        <v>10880</v>
      </c>
      <c r="K17" s="42">
        <f t="shared" si="2"/>
        <v>10875</v>
      </c>
      <c r="L17" s="44">
        <v>10725</v>
      </c>
      <c r="M17" s="43">
        <v>10735</v>
      </c>
      <c r="N17" s="42">
        <f t="shared" si="3"/>
        <v>10730</v>
      </c>
      <c r="O17" s="44">
        <v>10595</v>
      </c>
      <c r="P17" s="43">
        <v>10605</v>
      </c>
      <c r="Q17" s="42">
        <f t="shared" si="4"/>
        <v>10600</v>
      </c>
      <c r="R17" s="50">
        <v>10942</v>
      </c>
      <c r="S17" s="49">
        <v>1.3181</v>
      </c>
      <c r="T17" s="49">
        <v>1.1623000000000001</v>
      </c>
      <c r="U17" s="48">
        <v>154.61000000000001</v>
      </c>
      <c r="V17" s="41">
        <v>8301.34</v>
      </c>
      <c r="W17" s="41">
        <v>8314.24</v>
      </c>
      <c r="X17" s="47">
        <f t="shared" si="5"/>
        <v>9414.0927471392915</v>
      </c>
      <c r="Y17" s="46">
        <v>1.3181</v>
      </c>
    </row>
    <row r="18" spans="2:25" x14ac:dyDescent="0.2">
      <c r="B18" s="45">
        <v>45975</v>
      </c>
      <c r="C18" s="44">
        <v>10850.5</v>
      </c>
      <c r="D18" s="43">
        <v>10851</v>
      </c>
      <c r="E18" s="42">
        <f t="shared" si="0"/>
        <v>10850.75</v>
      </c>
      <c r="F18" s="44">
        <v>10850</v>
      </c>
      <c r="G18" s="43">
        <v>10855</v>
      </c>
      <c r="H18" s="42">
        <f t="shared" si="1"/>
        <v>10852.5</v>
      </c>
      <c r="I18" s="44">
        <v>10755</v>
      </c>
      <c r="J18" s="43">
        <v>10765</v>
      </c>
      <c r="K18" s="42">
        <f t="shared" si="2"/>
        <v>10760</v>
      </c>
      <c r="L18" s="44">
        <v>10610</v>
      </c>
      <c r="M18" s="43">
        <v>10620</v>
      </c>
      <c r="N18" s="42">
        <f t="shared" si="3"/>
        <v>10615</v>
      </c>
      <c r="O18" s="44">
        <v>10485</v>
      </c>
      <c r="P18" s="43">
        <v>10495</v>
      </c>
      <c r="Q18" s="42">
        <f t="shared" si="4"/>
        <v>10490</v>
      </c>
      <c r="R18" s="50">
        <v>10851</v>
      </c>
      <c r="S18" s="49">
        <v>1.3180000000000001</v>
      </c>
      <c r="T18" s="49">
        <v>1.1653</v>
      </c>
      <c r="U18" s="48">
        <v>153.81</v>
      </c>
      <c r="V18" s="41">
        <v>8232.93</v>
      </c>
      <c r="W18" s="41">
        <v>8235.9599999999991</v>
      </c>
      <c r="X18" s="47">
        <f t="shared" si="5"/>
        <v>9311.7652106753631</v>
      </c>
      <c r="Y18" s="46">
        <v>1.3180000000000001</v>
      </c>
    </row>
    <row r="19" spans="2:25" x14ac:dyDescent="0.2">
      <c r="B19" s="45">
        <v>45978</v>
      </c>
      <c r="C19" s="44">
        <v>10798</v>
      </c>
      <c r="D19" s="43">
        <v>10799</v>
      </c>
      <c r="E19" s="42">
        <f t="shared" si="0"/>
        <v>10798.5</v>
      </c>
      <c r="F19" s="44">
        <v>10802.5</v>
      </c>
      <c r="G19" s="43">
        <v>10803</v>
      </c>
      <c r="H19" s="42">
        <f t="shared" si="1"/>
        <v>10802.75</v>
      </c>
      <c r="I19" s="44">
        <v>10710</v>
      </c>
      <c r="J19" s="43">
        <v>10720</v>
      </c>
      <c r="K19" s="42">
        <f t="shared" si="2"/>
        <v>10715</v>
      </c>
      <c r="L19" s="44">
        <v>10580</v>
      </c>
      <c r="M19" s="43">
        <v>10590</v>
      </c>
      <c r="N19" s="42">
        <f t="shared" si="3"/>
        <v>10585</v>
      </c>
      <c r="O19" s="44">
        <v>10455</v>
      </c>
      <c r="P19" s="43">
        <v>10465</v>
      </c>
      <c r="Q19" s="42">
        <f t="shared" si="4"/>
        <v>10460</v>
      </c>
      <c r="R19" s="50">
        <v>10799</v>
      </c>
      <c r="S19" s="49">
        <v>1.3180000000000001</v>
      </c>
      <c r="T19" s="49">
        <v>1.1598999999999999</v>
      </c>
      <c r="U19" s="48">
        <v>154.85</v>
      </c>
      <c r="V19" s="41">
        <v>8193.4699999999993</v>
      </c>
      <c r="W19" s="41">
        <v>8196.51</v>
      </c>
      <c r="X19" s="47">
        <f t="shared" si="5"/>
        <v>9310.2853694284004</v>
      </c>
      <c r="Y19" s="46">
        <v>1.3180000000000001</v>
      </c>
    </row>
    <row r="20" spans="2:25" x14ac:dyDescent="0.2">
      <c r="B20" s="45">
        <v>45979</v>
      </c>
      <c r="C20" s="44">
        <v>10647</v>
      </c>
      <c r="D20" s="43">
        <v>10649</v>
      </c>
      <c r="E20" s="42">
        <f t="shared" si="0"/>
        <v>10648</v>
      </c>
      <c r="F20" s="44">
        <v>10690</v>
      </c>
      <c r="G20" s="43">
        <v>10695</v>
      </c>
      <c r="H20" s="42">
        <f t="shared" si="1"/>
        <v>10692.5</v>
      </c>
      <c r="I20" s="44">
        <v>10615</v>
      </c>
      <c r="J20" s="43">
        <v>10625</v>
      </c>
      <c r="K20" s="42">
        <f t="shared" si="2"/>
        <v>10620</v>
      </c>
      <c r="L20" s="44">
        <v>10525</v>
      </c>
      <c r="M20" s="43">
        <v>10535</v>
      </c>
      <c r="N20" s="42">
        <f t="shared" si="3"/>
        <v>10530</v>
      </c>
      <c r="O20" s="44">
        <v>10400</v>
      </c>
      <c r="P20" s="43">
        <v>10410</v>
      </c>
      <c r="Q20" s="42">
        <f t="shared" si="4"/>
        <v>10405</v>
      </c>
      <c r="R20" s="50">
        <v>10649</v>
      </c>
      <c r="S20" s="49">
        <v>1.3152999999999999</v>
      </c>
      <c r="T20" s="49">
        <v>1.1592</v>
      </c>
      <c r="U20" s="48">
        <v>155.19</v>
      </c>
      <c r="V20" s="41">
        <v>8096.25</v>
      </c>
      <c r="W20" s="41">
        <v>8131.22</v>
      </c>
      <c r="X20" s="47">
        <f t="shared" si="5"/>
        <v>9186.5079365079364</v>
      </c>
      <c r="Y20" s="46">
        <v>1.3152999999999999</v>
      </c>
    </row>
    <row r="21" spans="2:25" x14ac:dyDescent="0.2">
      <c r="B21" s="45">
        <v>45980</v>
      </c>
      <c r="C21" s="44">
        <v>10783</v>
      </c>
      <c r="D21" s="43">
        <v>10784</v>
      </c>
      <c r="E21" s="42">
        <f t="shared" si="0"/>
        <v>10783.5</v>
      </c>
      <c r="F21" s="44">
        <v>10810</v>
      </c>
      <c r="G21" s="43">
        <v>10815</v>
      </c>
      <c r="H21" s="42">
        <f t="shared" si="1"/>
        <v>10812.5</v>
      </c>
      <c r="I21" s="44">
        <v>10720</v>
      </c>
      <c r="J21" s="43">
        <v>10730</v>
      </c>
      <c r="K21" s="42">
        <f t="shared" si="2"/>
        <v>10725</v>
      </c>
      <c r="L21" s="44">
        <v>10610</v>
      </c>
      <c r="M21" s="43">
        <v>10620</v>
      </c>
      <c r="N21" s="42">
        <f t="shared" si="3"/>
        <v>10615</v>
      </c>
      <c r="O21" s="44">
        <v>10495</v>
      </c>
      <c r="P21" s="43">
        <v>10505</v>
      </c>
      <c r="Q21" s="42">
        <f t="shared" si="4"/>
        <v>10500</v>
      </c>
      <c r="R21" s="50">
        <v>10784</v>
      </c>
      <c r="S21" s="49">
        <v>1.3118000000000001</v>
      </c>
      <c r="T21" s="49">
        <v>1.1578999999999999</v>
      </c>
      <c r="U21" s="48">
        <v>156.25</v>
      </c>
      <c r="V21" s="41">
        <v>8220.77</v>
      </c>
      <c r="W21" s="41">
        <v>8244.4</v>
      </c>
      <c r="X21" s="47">
        <f t="shared" si="5"/>
        <v>9313.4122117626739</v>
      </c>
      <c r="Y21" s="46">
        <v>1.3118000000000001</v>
      </c>
    </row>
    <row r="22" spans="2:25" x14ac:dyDescent="0.2">
      <c r="B22" s="45">
        <v>45981</v>
      </c>
      <c r="C22" s="44">
        <v>10788.5</v>
      </c>
      <c r="D22" s="43">
        <v>10789</v>
      </c>
      <c r="E22" s="42">
        <f t="shared" si="0"/>
        <v>10788.75</v>
      </c>
      <c r="F22" s="44">
        <v>10801</v>
      </c>
      <c r="G22" s="43">
        <v>10803</v>
      </c>
      <c r="H22" s="42">
        <f t="shared" si="1"/>
        <v>10802</v>
      </c>
      <c r="I22" s="44">
        <v>10680</v>
      </c>
      <c r="J22" s="43">
        <v>10690</v>
      </c>
      <c r="K22" s="42">
        <f t="shared" si="2"/>
        <v>10685</v>
      </c>
      <c r="L22" s="44">
        <v>10580</v>
      </c>
      <c r="M22" s="43">
        <v>10590</v>
      </c>
      <c r="N22" s="42">
        <f t="shared" si="3"/>
        <v>10585</v>
      </c>
      <c r="O22" s="44">
        <v>10515</v>
      </c>
      <c r="P22" s="43">
        <v>10525</v>
      </c>
      <c r="Q22" s="42">
        <f t="shared" si="4"/>
        <v>10520</v>
      </c>
      <c r="R22" s="50">
        <v>10789</v>
      </c>
      <c r="S22" s="49">
        <v>1.3057000000000001</v>
      </c>
      <c r="T22" s="49">
        <v>1.1511</v>
      </c>
      <c r="U22" s="48">
        <v>157.71</v>
      </c>
      <c r="V22" s="41">
        <v>8263</v>
      </c>
      <c r="W22" s="41">
        <v>8272.4599999999991</v>
      </c>
      <c r="X22" s="47">
        <f t="shared" si="5"/>
        <v>9372.7738684736341</v>
      </c>
      <c r="Y22" s="46">
        <v>1.3059000000000001</v>
      </c>
    </row>
    <row r="23" spans="2:25" x14ac:dyDescent="0.2">
      <c r="B23" s="45">
        <v>45982</v>
      </c>
      <c r="C23" s="44">
        <v>10685</v>
      </c>
      <c r="D23" s="43">
        <v>10685.5</v>
      </c>
      <c r="E23" s="42">
        <f t="shared" si="0"/>
        <v>10685.25</v>
      </c>
      <c r="F23" s="44">
        <v>10700</v>
      </c>
      <c r="G23" s="43">
        <v>10705</v>
      </c>
      <c r="H23" s="42">
        <f t="shared" si="1"/>
        <v>10702.5</v>
      </c>
      <c r="I23" s="44">
        <v>10610</v>
      </c>
      <c r="J23" s="43">
        <v>10620</v>
      </c>
      <c r="K23" s="42">
        <f t="shared" si="2"/>
        <v>10615</v>
      </c>
      <c r="L23" s="44">
        <v>10510</v>
      </c>
      <c r="M23" s="43">
        <v>10520</v>
      </c>
      <c r="N23" s="42">
        <f t="shared" si="3"/>
        <v>10515</v>
      </c>
      <c r="O23" s="44">
        <v>10425</v>
      </c>
      <c r="P23" s="43">
        <v>10435</v>
      </c>
      <c r="Q23" s="42">
        <f t="shared" si="4"/>
        <v>10430</v>
      </c>
      <c r="R23" s="50">
        <v>10685.5</v>
      </c>
      <c r="S23" s="49">
        <v>1.3089</v>
      </c>
      <c r="T23" s="49">
        <v>1.1525000000000001</v>
      </c>
      <c r="U23" s="48">
        <v>156.76</v>
      </c>
      <c r="V23" s="41">
        <v>8163.73</v>
      </c>
      <c r="W23" s="41">
        <v>8178.62</v>
      </c>
      <c r="X23" s="47">
        <f t="shared" si="5"/>
        <v>9271.5835140997824</v>
      </c>
      <c r="Y23" s="46">
        <v>1.3089</v>
      </c>
    </row>
    <row r="24" spans="2:25" x14ac:dyDescent="0.2">
      <c r="B24" s="45">
        <v>45985</v>
      </c>
      <c r="C24" s="44">
        <v>10790</v>
      </c>
      <c r="D24" s="43">
        <v>10795</v>
      </c>
      <c r="E24" s="42">
        <f t="shared" si="0"/>
        <v>10792.5</v>
      </c>
      <c r="F24" s="44">
        <v>10775</v>
      </c>
      <c r="G24" s="43">
        <v>10780</v>
      </c>
      <c r="H24" s="42">
        <f t="shared" si="1"/>
        <v>10777.5</v>
      </c>
      <c r="I24" s="44">
        <v>10640</v>
      </c>
      <c r="J24" s="43">
        <v>10650</v>
      </c>
      <c r="K24" s="42">
        <f t="shared" si="2"/>
        <v>10645</v>
      </c>
      <c r="L24" s="44">
        <v>10520</v>
      </c>
      <c r="M24" s="43">
        <v>10530</v>
      </c>
      <c r="N24" s="42">
        <f t="shared" si="3"/>
        <v>10525</v>
      </c>
      <c r="O24" s="44">
        <v>10425</v>
      </c>
      <c r="P24" s="43">
        <v>10435</v>
      </c>
      <c r="Q24" s="42">
        <f t="shared" si="4"/>
        <v>10430</v>
      </c>
      <c r="R24" s="50">
        <v>10795</v>
      </c>
      <c r="S24" s="49">
        <v>1.3111999999999999</v>
      </c>
      <c r="T24" s="49">
        <v>1.1547000000000001</v>
      </c>
      <c r="U24" s="48">
        <v>156.55000000000001</v>
      </c>
      <c r="V24" s="41">
        <v>8232.92</v>
      </c>
      <c r="W24" s="41">
        <v>8221.48</v>
      </c>
      <c r="X24" s="47">
        <f t="shared" si="5"/>
        <v>9348.7485927080616</v>
      </c>
      <c r="Y24" s="46">
        <v>1.3111999999999999</v>
      </c>
    </row>
    <row r="25" spans="2:25" x14ac:dyDescent="0.2">
      <c r="B25" s="45">
        <v>45986</v>
      </c>
      <c r="C25" s="44">
        <v>10875</v>
      </c>
      <c r="D25" s="43">
        <v>10876</v>
      </c>
      <c r="E25" s="42">
        <f t="shared" si="0"/>
        <v>10875.5</v>
      </c>
      <c r="F25" s="44">
        <v>10855</v>
      </c>
      <c r="G25" s="43">
        <v>10858</v>
      </c>
      <c r="H25" s="42">
        <f t="shared" si="1"/>
        <v>10856.5</v>
      </c>
      <c r="I25" s="44">
        <v>10725</v>
      </c>
      <c r="J25" s="43">
        <v>10735</v>
      </c>
      <c r="K25" s="42">
        <f t="shared" si="2"/>
        <v>10730</v>
      </c>
      <c r="L25" s="44">
        <v>10590</v>
      </c>
      <c r="M25" s="43">
        <v>10600</v>
      </c>
      <c r="N25" s="42">
        <f t="shared" si="3"/>
        <v>10595</v>
      </c>
      <c r="O25" s="44">
        <v>10490</v>
      </c>
      <c r="P25" s="43">
        <v>10500</v>
      </c>
      <c r="Q25" s="42">
        <f t="shared" si="4"/>
        <v>10495</v>
      </c>
      <c r="R25" s="50">
        <v>10876</v>
      </c>
      <c r="S25" s="49">
        <v>1.3136000000000001</v>
      </c>
      <c r="T25" s="49">
        <v>1.1544000000000001</v>
      </c>
      <c r="U25" s="48">
        <v>156.30000000000001</v>
      </c>
      <c r="V25" s="41">
        <v>8279.5400000000009</v>
      </c>
      <c r="W25" s="41">
        <v>8265.83</v>
      </c>
      <c r="X25" s="47">
        <f t="shared" si="5"/>
        <v>9421.34442134442</v>
      </c>
      <c r="Y25" s="46">
        <v>1.3136000000000001</v>
      </c>
    </row>
    <row r="26" spans="2:25" x14ac:dyDescent="0.2">
      <c r="B26" s="45">
        <v>45987</v>
      </c>
      <c r="C26" s="44">
        <v>10976</v>
      </c>
      <c r="D26" s="43">
        <v>10978</v>
      </c>
      <c r="E26" s="42">
        <f t="shared" si="0"/>
        <v>10977</v>
      </c>
      <c r="F26" s="44">
        <v>10963</v>
      </c>
      <c r="G26" s="43">
        <v>10965</v>
      </c>
      <c r="H26" s="42">
        <f t="shared" si="1"/>
        <v>10964</v>
      </c>
      <c r="I26" s="44">
        <v>10830</v>
      </c>
      <c r="J26" s="43">
        <v>10840</v>
      </c>
      <c r="K26" s="42">
        <f t="shared" si="2"/>
        <v>10835</v>
      </c>
      <c r="L26" s="44">
        <v>10685</v>
      </c>
      <c r="M26" s="43">
        <v>10695</v>
      </c>
      <c r="N26" s="42">
        <f t="shared" si="3"/>
        <v>10690</v>
      </c>
      <c r="O26" s="44">
        <v>10580</v>
      </c>
      <c r="P26" s="43">
        <v>10590</v>
      </c>
      <c r="Q26" s="42">
        <f t="shared" si="4"/>
        <v>10585</v>
      </c>
      <c r="R26" s="50">
        <v>10978</v>
      </c>
      <c r="S26" s="49">
        <v>1.3185</v>
      </c>
      <c r="T26" s="49">
        <v>1.1573</v>
      </c>
      <c r="U26" s="48">
        <v>156.47999999999999</v>
      </c>
      <c r="V26" s="41">
        <v>8326.1299999999992</v>
      </c>
      <c r="W26" s="41">
        <v>8316.27</v>
      </c>
      <c r="X26" s="47">
        <f t="shared" si="5"/>
        <v>9485.8722889484143</v>
      </c>
      <c r="Y26" s="46">
        <v>1.3185</v>
      </c>
    </row>
    <row r="27" spans="2:25" x14ac:dyDescent="0.2">
      <c r="B27" s="45">
        <v>45988</v>
      </c>
      <c r="C27" s="44">
        <v>10933</v>
      </c>
      <c r="D27" s="43">
        <v>10934</v>
      </c>
      <c r="E27" s="42">
        <f t="shared" si="0"/>
        <v>10933.5</v>
      </c>
      <c r="F27" s="44">
        <v>10920</v>
      </c>
      <c r="G27" s="43">
        <v>10925</v>
      </c>
      <c r="H27" s="42">
        <f t="shared" si="1"/>
        <v>10922.5</v>
      </c>
      <c r="I27" s="44">
        <v>10790</v>
      </c>
      <c r="J27" s="43">
        <v>10800</v>
      </c>
      <c r="K27" s="42">
        <f t="shared" si="2"/>
        <v>10795</v>
      </c>
      <c r="L27" s="44">
        <v>10650</v>
      </c>
      <c r="M27" s="43">
        <v>10660</v>
      </c>
      <c r="N27" s="42">
        <f t="shared" si="3"/>
        <v>10655</v>
      </c>
      <c r="O27" s="44">
        <v>10550</v>
      </c>
      <c r="P27" s="43">
        <v>10560</v>
      </c>
      <c r="Q27" s="42">
        <f t="shared" si="4"/>
        <v>10555</v>
      </c>
      <c r="R27" s="50">
        <v>10934</v>
      </c>
      <c r="S27" s="49">
        <v>1.3233999999999999</v>
      </c>
      <c r="T27" s="49">
        <v>1.1583000000000001</v>
      </c>
      <c r="U27" s="48">
        <v>156.38</v>
      </c>
      <c r="V27" s="41">
        <v>8262.0499999999993</v>
      </c>
      <c r="W27" s="41">
        <v>8255.25</v>
      </c>
      <c r="X27" s="47">
        <f t="shared" si="5"/>
        <v>9439.6961063627714</v>
      </c>
      <c r="Y27" s="46">
        <v>1.3233999999999999</v>
      </c>
    </row>
    <row r="28" spans="2:25" x14ac:dyDescent="0.2">
      <c r="B28" s="45">
        <v>45989</v>
      </c>
      <c r="C28" s="44">
        <v>11003</v>
      </c>
      <c r="D28" s="43">
        <v>11004</v>
      </c>
      <c r="E28" s="42">
        <f t="shared" si="0"/>
        <v>11003.5</v>
      </c>
      <c r="F28" s="44">
        <v>10985</v>
      </c>
      <c r="G28" s="43">
        <v>10985.5</v>
      </c>
      <c r="H28" s="42">
        <f t="shared" si="1"/>
        <v>10985.25</v>
      </c>
      <c r="I28" s="44">
        <v>10830</v>
      </c>
      <c r="J28" s="43">
        <v>10840</v>
      </c>
      <c r="K28" s="42">
        <f t="shared" si="2"/>
        <v>10835</v>
      </c>
      <c r="L28" s="44">
        <v>10700</v>
      </c>
      <c r="M28" s="43">
        <v>10710</v>
      </c>
      <c r="N28" s="42">
        <f t="shared" si="3"/>
        <v>10705</v>
      </c>
      <c r="O28" s="44">
        <v>10605</v>
      </c>
      <c r="P28" s="43">
        <v>10615</v>
      </c>
      <c r="Q28" s="42">
        <f t="shared" si="4"/>
        <v>10610</v>
      </c>
      <c r="R28" s="50">
        <v>11004</v>
      </c>
      <c r="S28" s="49">
        <v>1.3219000000000001</v>
      </c>
      <c r="T28" s="49">
        <v>1.1567000000000001</v>
      </c>
      <c r="U28" s="48">
        <v>156.12</v>
      </c>
      <c r="V28" s="41">
        <v>8324.3799999999992</v>
      </c>
      <c r="W28" s="41">
        <v>8310.39</v>
      </c>
      <c r="X28" s="47">
        <f t="shared" si="5"/>
        <v>9513.2705109362832</v>
      </c>
      <c r="Y28" s="46">
        <v>1.3219000000000001</v>
      </c>
    </row>
    <row r="29" spans="2:25" x14ac:dyDescent="0.2">
      <c r="B29" s="40" t="s">
        <v>11</v>
      </c>
      <c r="C29" s="39">
        <f>ROUND(AVERAGE(C9:C28),2)</f>
        <v>10799.25</v>
      </c>
      <c r="D29" s="38">
        <f>ROUND(AVERAGE(D9:D28),2)</f>
        <v>10800.78</v>
      </c>
      <c r="E29" s="37">
        <f>ROUND(AVERAGE(C29:D29),2)</f>
        <v>10800.02</v>
      </c>
      <c r="F29" s="39">
        <f>ROUND(AVERAGE(F9:F28),2)</f>
        <v>10811.68</v>
      </c>
      <c r="G29" s="38">
        <f>ROUND(AVERAGE(G9:G28),2)</f>
        <v>10814.28</v>
      </c>
      <c r="H29" s="37">
        <f>ROUND(AVERAGE(F29:G29),2)</f>
        <v>10812.98</v>
      </c>
      <c r="I29" s="39">
        <f>ROUND(AVERAGE(I9:I28),2)</f>
        <v>10720.75</v>
      </c>
      <c r="J29" s="38">
        <f>ROUND(AVERAGE(J9:J28),2)</f>
        <v>10730.75</v>
      </c>
      <c r="K29" s="37">
        <f>ROUND(AVERAGE(I29:J29),2)</f>
        <v>10725.75</v>
      </c>
      <c r="L29" s="39">
        <f>ROUND(AVERAGE(L9:L28),2)</f>
        <v>10598.75</v>
      </c>
      <c r="M29" s="38">
        <f>ROUND(AVERAGE(M9:M28),2)</f>
        <v>10608.75</v>
      </c>
      <c r="N29" s="37">
        <f>ROUND(AVERAGE(L29:M29),2)</f>
        <v>10603.75</v>
      </c>
      <c r="O29" s="39">
        <f>ROUND(AVERAGE(O9:O28),2)</f>
        <v>10485.5</v>
      </c>
      <c r="P29" s="38">
        <f>ROUND(AVERAGE(P9:P28),2)</f>
        <v>10495.5</v>
      </c>
      <c r="Q29" s="37">
        <f>ROUND(AVERAGE(O29:P29),2)</f>
        <v>10490.5</v>
      </c>
      <c r="R29" s="36">
        <f>ROUND(AVERAGE(R9:R28),2)</f>
        <v>10800.78</v>
      </c>
      <c r="S29" s="35">
        <f>ROUND(AVERAGE(S9:S28),4)</f>
        <v>1.3138000000000001</v>
      </c>
      <c r="T29" s="34">
        <f>ROUND(AVERAGE(T9:T28),4)</f>
        <v>1.1559999999999999</v>
      </c>
      <c r="U29" s="167">
        <f>ROUND(AVERAGE(U9:U28),2)</f>
        <v>155.11000000000001</v>
      </c>
      <c r="V29" s="33">
        <f>AVERAGE(V9:V28)</f>
        <v>8221.1085000000003</v>
      </c>
      <c r="W29" s="33">
        <f>AVERAGE(W9:W28)</f>
        <v>8231.6</v>
      </c>
      <c r="X29" s="33">
        <f>AVERAGE(X9:X28)</f>
        <v>9343.3758700830676</v>
      </c>
      <c r="Y29" s="32">
        <f>AVERAGE(Y9:Y28)</f>
        <v>1.3137350000000001</v>
      </c>
    </row>
    <row r="30" spans="2:25" x14ac:dyDescent="0.2">
      <c r="B30" s="31" t="s">
        <v>12</v>
      </c>
      <c r="C30" s="30">
        <f t="shared" ref="C30:Y30" si="6">MAX(C9:C28)</f>
        <v>11003</v>
      </c>
      <c r="D30" s="29">
        <f t="shared" si="6"/>
        <v>11004</v>
      </c>
      <c r="E30" s="28">
        <f t="shared" si="6"/>
        <v>11003.5</v>
      </c>
      <c r="F30" s="30">
        <f t="shared" si="6"/>
        <v>10985</v>
      </c>
      <c r="G30" s="29">
        <f t="shared" si="6"/>
        <v>10985.5</v>
      </c>
      <c r="H30" s="28">
        <f t="shared" si="6"/>
        <v>10985.25</v>
      </c>
      <c r="I30" s="30">
        <f t="shared" si="6"/>
        <v>10870</v>
      </c>
      <c r="J30" s="29">
        <f t="shared" si="6"/>
        <v>10880</v>
      </c>
      <c r="K30" s="28">
        <f t="shared" si="6"/>
        <v>10875</v>
      </c>
      <c r="L30" s="30">
        <f t="shared" si="6"/>
        <v>10725</v>
      </c>
      <c r="M30" s="29">
        <f t="shared" si="6"/>
        <v>10735</v>
      </c>
      <c r="N30" s="28">
        <f t="shared" si="6"/>
        <v>10730</v>
      </c>
      <c r="O30" s="30">
        <f t="shared" si="6"/>
        <v>10605</v>
      </c>
      <c r="P30" s="29">
        <f t="shared" si="6"/>
        <v>10615</v>
      </c>
      <c r="Q30" s="28">
        <f t="shared" si="6"/>
        <v>10610</v>
      </c>
      <c r="R30" s="27">
        <f t="shared" si="6"/>
        <v>11004</v>
      </c>
      <c r="S30" s="26">
        <f t="shared" si="6"/>
        <v>1.3233999999999999</v>
      </c>
      <c r="T30" s="25">
        <f t="shared" si="6"/>
        <v>1.1653</v>
      </c>
      <c r="U30" s="24">
        <f t="shared" si="6"/>
        <v>157.71</v>
      </c>
      <c r="V30" s="23">
        <f t="shared" si="6"/>
        <v>8326.1299999999992</v>
      </c>
      <c r="W30" s="23">
        <f t="shared" si="6"/>
        <v>8316.27</v>
      </c>
      <c r="X30" s="23">
        <f t="shared" si="6"/>
        <v>9513.2705109362832</v>
      </c>
      <c r="Y30" s="22">
        <f t="shared" si="6"/>
        <v>1.3233999999999999</v>
      </c>
    </row>
    <row r="31" spans="2:25" ht="13.5" thickBot="1" x14ac:dyDescent="0.25">
      <c r="B31" s="21" t="s">
        <v>13</v>
      </c>
      <c r="C31" s="20">
        <f t="shared" ref="C31:Y31" si="7">MIN(C9:C28)</f>
        <v>10599.5</v>
      </c>
      <c r="D31" s="19">
        <f t="shared" si="7"/>
        <v>10600.5</v>
      </c>
      <c r="E31" s="18">
        <f t="shared" si="7"/>
        <v>10600</v>
      </c>
      <c r="F31" s="20">
        <f t="shared" si="7"/>
        <v>10624.5</v>
      </c>
      <c r="G31" s="19">
        <f t="shared" si="7"/>
        <v>10625</v>
      </c>
      <c r="H31" s="18">
        <f t="shared" si="7"/>
        <v>10624.75</v>
      </c>
      <c r="I31" s="20">
        <f t="shared" si="7"/>
        <v>10575</v>
      </c>
      <c r="J31" s="19">
        <f t="shared" si="7"/>
        <v>10585</v>
      </c>
      <c r="K31" s="18">
        <f t="shared" si="7"/>
        <v>10580</v>
      </c>
      <c r="L31" s="20">
        <f t="shared" si="7"/>
        <v>10485</v>
      </c>
      <c r="M31" s="19">
        <f t="shared" si="7"/>
        <v>10495</v>
      </c>
      <c r="N31" s="18">
        <f t="shared" si="7"/>
        <v>10490</v>
      </c>
      <c r="O31" s="20">
        <f t="shared" si="7"/>
        <v>10365</v>
      </c>
      <c r="P31" s="19">
        <f t="shared" si="7"/>
        <v>10375</v>
      </c>
      <c r="Q31" s="18">
        <f t="shared" si="7"/>
        <v>10370</v>
      </c>
      <c r="R31" s="17">
        <f t="shared" si="7"/>
        <v>10600.5</v>
      </c>
      <c r="S31" s="16">
        <f t="shared" si="7"/>
        <v>1.3042</v>
      </c>
      <c r="T31" s="15">
        <f t="shared" si="7"/>
        <v>1.1489</v>
      </c>
      <c r="U31" s="14">
        <f t="shared" si="7"/>
        <v>153.1</v>
      </c>
      <c r="V31" s="13">
        <f t="shared" si="7"/>
        <v>8096.25</v>
      </c>
      <c r="W31" s="13">
        <f t="shared" si="7"/>
        <v>8130.55</v>
      </c>
      <c r="X31" s="13">
        <f t="shared" si="7"/>
        <v>9186.5079365079364</v>
      </c>
      <c r="Y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45964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45964</v>
      </c>
      <c r="C9" s="44">
        <v>2499</v>
      </c>
      <c r="D9" s="43">
        <v>2509</v>
      </c>
      <c r="E9" s="42">
        <f t="shared" ref="E9:E28" si="0">AVERAGE(C9:D9)</f>
        <v>2504</v>
      </c>
      <c r="F9" s="44">
        <v>2499</v>
      </c>
      <c r="G9" s="43">
        <v>2509</v>
      </c>
      <c r="H9" s="42">
        <f t="shared" ref="H9:H28" si="1">AVERAGE(F9:G9)</f>
        <v>2504</v>
      </c>
      <c r="I9" s="44">
        <v>2500</v>
      </c>
      <c r="J9" s="43">
        <v>2510</v>
      </c>
      <c r="K9" s="42">
        <f t="shared" ref="K9:K28" si="2">AVERAGE(I9:J9)</f>
        <v>2505</v>
      </c>
      <c r="L9" s="50">
        <v>2509</v>
      </c>
      <c r="M9" s="49">
        <v>1.3142</v>
      </c>
      <c r="N9" s="51">
        <v>1.1516999999999999</v>
      </c>
      <c r="O9" s="48">
        <v>154.18</v>
      </c>
      <c r="P9" s="41">
        <f>D9/M9</f>
        <v>1909.1462486683913</v>
      </c>
      <c r="Q9" s="41">
        <f>G9/M9</f>
        <v>1909.1462486683913</v>
      </c>
      <c r="R9" s="47">
        <f t="shared" ref="R9:R28" si="3">L9/N9</f>
        <v>2178.5187114700011</v>
      </c>
      <c r="S9" s="46">
        <v>1.3142</v>
      </c>
    </row>
    <row r="10" spans="1:19" x14ac:dyDescent="0.2">
      <c r="B10" s="45">
        <v>45965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1.3068</v>
      </c>
      <c r="N10" s="49">
        <v>1.1489</v>
      </c>
      <c r="O10" s="48">
        <v>153.53</v>
      </c>
      <c r="P10" s="41">
        <f t="shared" ref="P10:P28" si="4">D10/M10</f>
        <v>1919.9571472298746</v>
      </c>
      <c r="Q10" s="41">
        <f t="shared" ref="Q10:Q28" si="5">G10/M10</f>
        <v>1919.9571472298746</v>
      </c>
      <c r="R10" s="47">
        <f t="shared" si="3"/>
        <v>2183.8280094002957</v>
      </c>
      <c r="S10" s="46">
        <v>1.3068</v>
      </c>
    </row>
    <row r="11" spans="1:19" x14ac:dyDescent="0.2">
      <c r="B11" s="45">
        <v>45966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1.3042</v>
      </c>
      <c r="N11" s="49">
        <v>1.1491</v>
      </c>
      <c r="O11" s="48">
        <v>153.71</v>
      </c>
      <c r="P11" s="41">
        <f t="shared" si="4"/>
        <v>1923.7846955988346</v>
      </c>
      <c r="Q11" s="41">
        <f t="shared" si="5"/>
        <v>1923.7846955988346</v>
      </c>
      <c r="R11" s="47">
        <f t="shared" si="3"/>
        <v>2183.44791576016</v>
      </c>
      <c r="S11" s="46">
        <v>1.3041</v>
      </c>
    </row>
    <row r="12" spans="1:19" x14ac:dyDescent="0.2">
      <c r="B12" s="45">
        <v>45967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1.31</v>
      </c>
      <c r="N12" s="49">
        <v>1.1531</v>
      </c>
      <c r="O12" s="48">
        <v>153.61000000000001</v>
      </c>
      <c r="P12" s="41">
        <f t="shared" si="4"/>
        <v>1915.2671755725189</v>
      </c>
      <c r="Q12" s="41">
        <f t="shared" si="5"/>
        <v>1915.2671755725189</v>
      </c>
      <c r="R12" s="47">
        <f t="shared" si="3"/>
        <v>2175.8737316798197</v>
      </c>
      <c r="S12" s="46">
        <v>1.3098000000000001</v>
      </c>
    </row>
    <row r="13" spans="1:19" x14ac:dyDescent="0.2">
      <c r="B13" s="45">
        <v>45968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1.3115000000000001</v>
      </c>
      <c r="N13" s="49">
        <v>1.1556</v>
      </c>
      <c r="O13" s="48">
        <v>153.1</v>
      </c>
      <c r="P13" s="41">
        <f t="shared" si="4"/>
        <v>1913.0766298131909</v>
      </c>
      <c r="Q13" s="41">
        <f t="shared" si="5"/>
        <v>1913.0766298131909</v>
      </c>
      <c r="R13" s="47">
        <f t="shared" si="3"/>
        <v>2171.1664935964004</v>
      </c>
      <c r="S13" s="46">
        <v>1.3112999999999999</v>
      </c>
    </row>
    <row r="14" spans="1:19" x14ac:dyDescent="0.2">
      <c r="B14" s="45">
        <v>45971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1.3181</v>
      </c>
      <c r="N14" s="49">
        <v>1.1568000000000001</v>
      </c>
      <c r="O14" s="48">
        <v>154.12</v>
      </c>
      <c r="P14" s="41">
        <f t="shared" si="4"/>
        <v>1903.497458462939</v>
      </c>
      <c r="Q14" s="41">
        <f t="shared" si="5"/>
        <v>1903.497458462939</v>
      </c>
      <c r="R14" s="47">
        <f t="shared" si="3"/>
        <v>2168.9142461964038</v>
      </c>
      <c r="S14" s="46">
        <v>1.3179000000000001</v>
      </c>
    </row>
    <row r="15" spans="1:19" x14ac:dyDescent="0.2">
      <c r="B15" s="45">
        <v>45972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1.3143</v>
      </c>
      <c r="N15" s="49">
        <v>1.157</v>
      </c>
      <c r="O15" s="48">
        <v>154.19999999999999</v>
      </c>
      <c r="P15" s="41">
        <f t="shared" si="4"/>
        <v>1909.0009891196835</v>
      </c>
      <c r="Q15" s="41">
        <f t="shared" si="5"/>
        <v>1909.0009891196835</v>
      </c>
      <c r="R15" s="47">
        <f t="shared" si="3"/>
        <v>2168.5393258426966</v>
      </c>
      <c r="S15" s="46">
        <v>1.3143</v>
      </c>
    </row>
    <row r="16" spans="1:19" x14ac:dyDescent="0.2">
      <c r="B16" s="45">
        <v>45973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1.3118000000000001</v>
      </c>
      <c r="N16" s="49">
        <v>1.1577</v>
      </c>
      <c r="O16" s="48">
        <v>154.81</v>
      </c>
      <c r="P16" s="41">
        <f t="shared" si="4"/>
        <v>1912.6391218173501</v>
      </c>
      <c r="Q16" s="41">
        <f t="shared" si="5"/>
        <v>1912.6391218173501</v>
      </c>
      <c r="R16" s="47">
        <f t="shared" si="3"/>
        <v>2167.2281247300684</v>
      </c>
      <c r="S16" s="46">
        <v>1.3117000000000001</v>
      </c>
    </row>
    <row r="17" spans="2:19" x14ac:dyDescent="0.2">
      <c r="B17" s="45">
        <v>45974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1.3181</v>
      </c>
      <c r="N17" s="49">
        <v>1.1623000000000001</v>
      </c>
      <c r="O17" s="48">
        <v>154.61000000000001</v>
      </c>
      <c r="P17" s="41">
        <f t="shared" si="4"/>
        <v>1903.497458462939</v>
      </c>
      <c r="Q17" s="41">
        <f t="shared" si="5"/>
        <v>1903.497458462939</v>
      </c>
      <c r="R17" s="47">
        <f t="shared" si="3"/>
        <v>2158.6509507011956</v>
      </c>
      <c r="S17" s="46">
        <v>1.3181</v>
      </c>
    </row>
    <row r="18" spans="2:19" x14ac:dyDescent="0.2">
      <c r="B18" s="45">
        <v>45975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1.3180000000000001</v>
      </c>
      <c r="N18" s="49">
        <v>1.1653</v>
      </c>
      <c r="O18" s="48">
        <v>153.81</v>
      </c>
      <c r="P18" s="41">
        <f t="shared" si="4"/>
        <v>1903.6418816388466</v>
      </c>
      <c r="Q18" s="41">
        <f t="shared" si="5"/>
        <v>1903.6418816388466</v>
      </c>
      <c r="R18" s="47">
        <f t="shared" si="3"/>
        <v>2153.0936239594953</v>
      </c>
      <c r="S18" s="46">
        <v>1.3180000000000001</v>
      </c>
    </row>
    <row r="19" spans="2:19" x14ac:dyDescent="0.2">
      <c r="B19" s="45">
        <v>45978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1.3180000000000001</v>
      </c>
      <c r="N19" s="49">
        <v>1.1598999999999999</v>
      </c>
      <c r="O19" s="48">
        <v>154.85</v>
      </c>
      <c r="P19" s="41">
        <f t="shared" si="4"/>
        <v>1903.6418816388466</v>
      </c>
      <c r="Q19" s="41">
        <f t="shared" si="5"/>
        <v>1903.6418816388466</v>
      </c>
      <c r="R19" s="47">
        <f t="shared" si="3"/>
        <v>2163.1175101301837</v>
      </c>
      <c r="S19" s="46">
        <v>1.3180000000000001</v>
      </c>
    </row>
    <row r="20" spans="2:19" x14ac:dyDescent="0.2">
      <c r="B20" s="45">
        <v>45979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1.3152999999999999</v>
      </c>
      <c r="N20" s="49">
        <v>1.1592</v>
      </c>
      <c r="O20" s="48">
        <v>155.19</v>
      </c>
      <c r="P20" s="41">
        <f t="shared" si="4"/>
        <v>1907.5496084543452</v>
      </c>
      <c r="Q20" s="41">
        <f t="shared" si="5"/>
        <v>1907.5496084543452</v>
      </c>
      <c r="R20" s="47">
        <f t="shared" si="3"/>
        <v>2164.4237405106969</v>
      </c>
      <c r="S20" s="46">
        <v>1.3152999999999999</v>
      </c>
    </row>
    <row r="21" spans="2:19" x14ac:dyDescent="0.2">
      <c r="B21" s="45">
        <v>45980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1.3118000000000001</v>
      </c>
      <c r="N21" s="49">
        <v>1.1578999999999999</v>
      </c>
      <c r="O21" s="48">
        <v>156.25</v>
      </c>
      <c r="P21" s="41">
        <f t="shared" si="4"/>
        <v>1912.6391218173501</v>
      </c>
      <c r="Q21" s="41">
        <f t="shared" si="5"/>
        <v>1912.6391218173501</v>
      </c>
      <c r="R21" s="47">
        <f t="shared" si="3"/>
        <v>2166.8537870282407</v>
      </c>
      <c r="S21" s="46">
        <v>1.3118000000000001</v>
      </c>
    </row>
    <row r="22" spans="2:19" x14ac:dyDescent="0.2">
      <c r="B22" s="45">
        <v>45981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1.3057000000000001</v>
      </c>
      <c r="N22" s="49">
        <v>1.1511</v>
      </c>
      <c r="O22" s="48">
        <v>157.71</v>
      </c>
      <c r="P22" s="41">
        <f t="shared" si="4"/>
        <v>1921.57463429578</v>
      </c>
      <c r="Q22" s="41">
        <f t="shared" si="5"/>
        <v>1921.57463429578</v>
      </c>
      <c r="R22" s="47">
        <f t="shared" si="3"/>
        <v>2179.6542437668318</v>
      </c>
      <c r="S22" s="46">
        <v>1.3059000000000001</v>
      </c>
    </row>
    <row r="23" spans="2:19" x14ac:dyDescent="0.2">
      <c r="B23" s="45">
        <v>45982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1.3089</v>
      </c>
      <c r="N23" s="49">
        <v>1.1525000000000001</v>
      </c>
      <c r="O23" s="48">
        <v>156.76</v>
      </c>
      <c r="P23" s="41">
        <f t="shared" si="4"/>
        <v>1916.8767667507068</v>
      </c>
      <c r="Q23" s="41">
        <f t="shared" si="5"/>
        <v>1916.8767667507068</v>
      </c>
      <c r="R23" s="47">
        <f t="shared" si="3"/>
        <v>2177.0065075921907</v>
      </c>
      <c r="S23" s="46">
        <v>1.3089</v>
      </c>
    </row>
    <row r="24" spans="2:19" x14ac:dyDescent="0.2">
      <c r="B24" s="45">
        <v>45985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1.3111999999999999</v>
      </c>
      <c r="N24" s="49">
        <v>1.1547000000000001</v>
      </c>
      <c r="O24" s="48">
        <v>156.55000000000001</v>
      </c>
      <c r="P24" s="41">
        <f t="shared" si="4"/>
        <v>1913.5143380109823</v>
      </c>
      <c r="Q24" s="41">
        <f t="shared" si="5"/>
        <v>1913.5143380109823</v>
      </c>
      <c r="R24" s="47">
        <f t="shared" si="3"/>
        <v>2172.8587511907854</v>
      </c>
      <c r="S24" s="46">
        <v>1.3111999999999999</v>
      </c>
    </row>
    <row r="25" spans="2:19" x14ac:dyDescent="0.2">
      <c r="B25" s="45">
        <v>45986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1.3136000000000001</v>
      </c>
      <c r="N25" s="49">
        <v>1.1544000000000001</v>
      </c>
      <c r="O25" s="48">
        <v>156.30000000000001</v>
      </c>
      <c r="P25" s="41">
        <f t="shared" si="4"/>
        <v>1910.0182704019487</v>
      </c>
      <c r="Q25" s="41">
        <f t="shared" si="5"/>
        <v>1910.0182704019487</v>
      </c>
      <c r="R25" s="47">
        <f t="shared" si="3"/>
        <v>2173.4234234234232</v>
      </c>
      <c r="S25" s="46">
        <v>1.3136000000000001</v>
      </c>
    </row>
    <row r="26" spans="2:19" x14ac:dyDescent="0.2">
      <c r="B26" s="45">
        <v>45987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1.3185</v>
      </c>
      <c r="N26" s="49">
        <v>1.1573</v>
      </c>
      <c r="O26" s="48">
        <v>156.47999999999999</v>
      </c>
      <c r="P26" s="41">
        <f t="shared" si="4"/>
        <v>1902.9199848312476</v>
      </c>
      <c r="Q26" s="41">
        <f t="shared" si="5"/>
        <v>1902.9199848312476</v>
      </c>
      <c r="R26" s="47">
        <f t="shared" si="3"/>
        <v>2167.9771882830728</v>
      </c>
      <c r="S26" s="46">
        <v>1.3185</v>
      </c>
    </row>
    <row r="27" spans="2:19" x14ac:dyDescent="0.2">
      <c r="B27" s="45">
        <v>45988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1.3233999999999999</v>
      </c>
      <c r="N27" s="49">
        <v>1.1583000000000001</v>
      </c>
      <c r="O27" s="48">
        <v>156.38</v>
      </c>
      <c r="P27" s="41">
        <f t="shared" si="4"/>
        <v>1895.8742632612968</v>
      </c>
      <c r="Q27" s="41">
        <f t="shared" si="5"/>
        <v>1895.8742632612968</v>
      </c>
      <c r="R27" s="47">
        <f t="shared" si="3"/>
        <v>2166.1054994388328</v>
      </c>
      <c r="S27" s="46">
        <v>1.3233999999999999</v>
      </c>
    </row>
    <row r="28" spans="2:19" x14ac:dyDescent="0.2">
      <c r="B28" s="45">
        <v>45989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1.3219000000000001</v>
      </c>
      <c r="N28" s="49">
        <v>1.1567000000000001</v>
      </c>
      <c r="O28" s="48">
        <v>156.12</v>
      </c>
      <c r="P28" s="41">
        <f t="shared" si="4"/>
        <v>1898.0255692563733</v>
      </c>
      <c r="Q28" s="41">
        <f t="shared" si="5"/>
        <v>1898.0255692563733</v>
      </c>
      <c r="R28" s="47">
        <f t="shared" si="3"/>
        <v>2169.1017549926514</v>
      </c>
      <c r="S28" s="46">
        <v>1.3219000000000001</v>
      </c>
    </row>
    <row r="29" spans="2:19" x14ac:dyDescent="0.2">
      <c r="B29" s="40" t="s">
        <v>11</v>
      </c>
      <c r="C29" s="39">
        <f>ROUND(AVERAGE(C9:C28),2)</f>
        <v>2499</v>
      </c>
      <c r="D29" s="38">
        <f>ROUND(AVERAGE(D9:D28),2)</f>
        <v>2509</v>
      </c>
      <c r="E29" s="37">
        <f>ROUND(AVERAGE(C29:D29),2)</f>
        <v>2504</v>
      </c>
      <c r="F29" s="39">
        <f>ROUND(AVERAGE(F9:F28),2)</f>
        <v>2499</v>
      </c>
      <c r="G29" s="38">
        <f>ROUND(AVERAGE(G9:G28),2)</f>
        <v>2509</v>
      </c>
      <c r="H29" s="37">
        <f>ROUND(AVERAGE(F29:G29),2)</f>
        <v>2504</v>
      </c>
      <c r="I29" s="39">
        <f>ROUND(AVERAGE(I9:I28),2)</f>
        <v>2500</v>
      </c>
      <c r="J29" s="38">
        <f>ROUND(AVERAGE(J9:J28),2)</f>
        <v>2510</v>
      </c>
      <c r="K29" s="37">
        <f>ROUND(AVERAGE(I29:J29),2)</f>
        <v>2505</v>
      </c>
      <c r="L29" s="36">
        <f>ROUND(AVERAGE(L9:L28),2)</f>
        <v>2509</v>
      </c>
      <c r="M29" s="35">
        <f>ROUND(AVERAGE(M9:M28),4)</f>
        <v>1.3138000000000001</v>
      </c>
      <c r="N29" s="34">
        <f>ROUND(AVERAGE(N9:N28),4)</f>
        <v>1.1559999999999999</v>
      </c>
      <c r="O29" s="167">
        <f>ROUND(AVERAGE(O9:O28),2)</f>
        <v>155.11000000000001</v>
      </c>
      <c r="P29" s="33">
        <f>AVERAGE(P9:P28)</f>
        <v>1909.8071622551724</v>
      </c>
      <c r="Q29" s="33">
        <f>AVERAGE(Q9:Q28)</f>
        <v>1909.8071622551724</v>
      </c>
      <c r="R29" s="33">
        <f>AVERAGE(R9:R28)</f>
        <v>2170.4891769846727</v>
      </c>
      <c r="S29" s="32">
        <f>AVERAGE(S9:S28)</f>
        <v>1.3137350000000001</v>
      </c>
    </row>
    <row r="30" spans="2:19" x14ac:dyDescent="0.2">
      <c r="B30" s="31" t="s">
        <v>12</v>
      </c>
      <c r="C30" s="30">
        <f t="shared" ref="C30:S30" si="6">MAX(C9:C28)</f>
        <v>2499</v>
      </c>
      <c r="D30" s="29">
        <f t="shared" si="6"/>
        <v>2509</v>
      </c>
      <c r="E30" s="28">
        <f t="shared" si="6"/>
        <v>2504</v>
      </c>
      <c r="F30" s="30">
        <f t="shared" si="6"/>
        <v>2499</v>
      </c>
      <c r="G30" s="29">
        <f t="shared" si="6"/>
        <v>2509</v>
      </c>
      <c r="H30" s="28">
        <f t="shared" si="6"/>
        <v>2504</v>
      </c>
      <c r="I30" s="30">
        <f t="shared" si="6"/>
        <v>2500</v>
      </c>
      <c r="J30" s="29">
        <f t="shared" si="6"/>
        <v>2510</v>
      </c>
      <c r="K30" s="28">
        <f t="shared" si="6"/>
        <v>2505</v>
      </c>
      <c r="L30" s="27">
        <f t="shared" si="6"/>
        <v>2509</v>
      </c>
      <c r="M30" s="26">
        <f t="shared" si="6"/>
        <v>1.3233999999999999</v>
      </c>
      <c r="N30" s="25">
        <f t="shared" si="6"/>
        <v>1.1653</v>
      </c>
      <c r="O30" s="24">
        <f t="shared" si="6"/>
        <v>157.71</v>
      </c>
      <c r="P30" s="23">
        <f t="shared" si="6"/>
        <v>1923.7846955988346</v>
      </c>
      <c r="Q30" s="23">
        <f t="shared" si="6"/>
        <v>1923.7846955988346</v>
      </c>
      <c r="R30" s="23">
        <f t="shared" si="6"/>
        <v>2183.8280094002957</v>
      </c>
      <c r="S30" s="22">
        <f t="shared" si="6"/>
        <v>1.3233999999999999</v>
      </c>
    </row>
    <row r="31" spans="2:19" ht="13.5" thickBot="1" x14ac:dyDescent="0.25">
      <c r="B31" s="21" t="s">
        <v>13</v>
      </c>
      <c r="C31" s="20">
        <f t="shared" ref="C31:S31" si="7">MIN(C9:C28)</f>
        <v>2499</v>
      </c>
      <c r="D31" s="19">
        <f t="shared" si="7"/>
        <v>2509</v>
      </c>
      <c r="E31" s="18">
        <f t="shared" si="7"/>
        <v>2504</v>
      </c>
      <c r="F31" s="20">
        <f t="shared" si="7"/>
        <v>2499</v>
      </c>
      <c r="G31" s="19">
        <f t="shared" si="7"/>
        <v>2509</v>
      </c>
      <c r="H31" s="18">
        <f t="shared" si="7"/>
        <v>2504</v>
      </c>
      <c r="I31" s="20">
        <f t="shared" si="7"/>
        <v>2500</v>
      </c>
      <c r="J31" s="19">
        <f t="shared" si="7"/>
        <v>2510</v>
      </c>
      <c r="K31" s="18">
        <f t="shared" si="7"/>
        <v>2505</v>
      </c>
      <c r="L31" s="17">
        <f t="shared" si="7"/>
        <v>2509</v>
      </c>
      <c r="M31" s="16">
        <f t="shared" si="7"/>
        <v>1.3042</v>
      </c>
      <c r="N31" s="15">
        <f t="shared" si="7"/>
        <v>1.1489</v>
      </c>
      <c r="O31" s="14">
        <f t="shared" si="7"/>
        <v>153.1</v>
      </c>
      <c r="P31" s="13">
        <f t="shared" si="7"/>
        <v>1895.8742632612968</v>
      </c>
      <c r="Q31" s="13">
        <f t="shared" si="7"/>
        <v>1895.8742632612968</v>
      </c>
      <c r="R31" s="13">
        <f t="shared" si="7"/>
        <v>2153.0936239594953</v>
      </c>
      <c r="S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45964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45964</v>
      </c>
      <c r="C9" s="44">
        <v>2390</v>
      </c>
      <c r="D9" s="43">
        <v>2400</v>
      </c>
      <c r="E9" s="42">
        <f t="shared" ref="E9:E28" si="0">AVERAGE(C9:D9)</f>
        <v>2395</v>
      </c>
      <c r="F9" s="44">
        <v>2390</v>
      </c>
      <c r="G9" s="43">
        <v>2400</v>
      </c>
      <c r="H9" s="42">
        <f t="shared" ref="H9:H28" si="1">AVERAGE(F9:G9)</f>
        <v>2395</v>
      </c>
      <c r="I9" s="44">
        <v>2390</v>
      </c>
      <c r="J9" s="43">
        <v>2400</v>
      </c>
      <c r="K9" s="42">
        <f t="shared" ref="K9:K28" si="2">AVERAGE(I9:J9)</f>
        <v>2395</v>
      </c>
      <c r="L9" s="50">
        <v>2400</v>
      </c>
      <c r="M9" s="49">
        <v>1.3142</v>
      </c>
      <c r="N9" s="51">
        <v>1.1516999999999999</v>
      </c>
      <c r="O9" s="48">
        <v>154.18</v>
      </c>
      <c r="P9" s="41">
        <f>D9/M9</f>
        <v>1826.2060569167554</v>
      </c>
      <c r="Q9" s="41">
        <f>G9/M9</f>
        <v>1826.2060569167554</v>
      </c>
      <c r="R9" s="47">
        <f t="shared" ref="R9:R28" si="3">L9/N9</f>
        <v>2083.8760093774422</v>
      </c>
      <c r="S9" s="46">
        <v>1.3142</v>
      </c>
    </row>
    <row r="10" spans="1:19" x14ac:dyDescent="0.2">
      <c r="B10" s="45">
        <v>45965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1.3068</v>
      </c>
      <c r="N10" s="49">
        <v>1.1489</v>
      </c>
      <c r="O10" s="48">
        <v>153.53</v>
      </c>
      <c r="P10" s="41">
        <f t="shared" ref="P10:P28" si="4">D10/M10</f>
        <v>1836.5472910927456</v>
      </c>
      <c r="Q10" s="41">
        <f t="shared" ref="Q10:Q28" si="5">G10/M10</f>
        <v>1836.5472910927456</v>
      </c>
      <c r="R10" s="47">
        <f t="shared" si="3"/>
        <v>2088.9546522760902</v>
      </c>
      <c r="S10" s="46">
        <v>1.3068</v>
      </c>
    </row>
    <row r="11" spans="1:19" x14ac:dyDescent="0.2">
      <c r="B11" s="45">
        <v>45966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1.3042</v>
      </c>
      <c r="N11" s="49">
        <v>1.1491</v>
      </c>
      <c r="O11" s="48">
        <v>153.71</v>
      </c>
      <c r="P11" s="41">
        <f t="shared" si="4"/>
        <v>1840.2085569697899</v>
      </c>
      <c r="Q11" s="41">
        <f t="shared" si="5"/>
        <v>1840.2085569697899</v>
      </c>
      <c r="R11" s="47">
        <f t="shared" si="3"/>
        <v>2088.5910712731702</v>
      </c>
      <c r="S11" s="46">
        <v>1.3041</v>
      </c>
    </row>
    <row r="12" spans="1:19" x14ac:dyDescent="0.2">
      <c r="B12" s="45">
        <v>45967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1.31</v>
      </c>
      <c r="N12" s="49">
        <v>1.1531</v>
      </c>
      <c r="O12" s="48">
        <v>153.61000000000001</v>
      </c>
      <c r="P12" s="41">
        <f t="shared" si="4"/>
        <v>1832.06106870229</v>
      </c>
      <c r="Q12" s="41">
        <f t="shared" si="5"/>
        <v>1832.06106870229</v>
      </c>
      <c r="R12" s="47">
        <f t="shared" si="3"/>
        <v>2081.3459370392852</v>
      </c>
      <c r="S12" s="46">
        <v>1.3098000000000001</v>
      </c>
    </row>
    <row r="13" spans="1:19" x14ac:dyDescent="0.2">
      <c r="B13" s="45">
        <v>45968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1.3115000000000001</v>
      </c>
      <c r="N13" s="49">
        <v>1.1556</v>
      </c>
      <c r="O13" s="48">
        <v>153.1</v>
      </c>
      <c r="P13" s="41">
        <f t="shared" si="4"/>
        <v>1829.9656881433471</v>
      </c>
      <c r="Q13" s="41">
        <f t="shared" si="5"/>
        <v>1829.9656881433471</v>
      </c>
      <c r="R13" s="47">
        <f t="shared" si="3"/>
        <v>2076.8431983385253</v>
      </c>
      <c r="S13" s="46">
        <v>1.3112999999999999</v>
      </c>
    </row>
    <row r="14" spans="1:19" x14ac:dyDescent="0.2">
      <c r="B14" s="45">
        <v>45971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1.3181</v>
      </c>
      <c r="N14" s="49">
        <v>1.1568000000000001</v>
      </c>
      <c r="O14" s="48">
        <v>154.12</v>
      </c>
      <c r="P14" s="41">
        <f t="shared" si="4"/>
        <v>1820.8026705105833</v>
      </c>
      <c r="Q14" s="41">
        <f t="shared" si="5"/>
        <v>1820.8026705105833</v>
      </c>
      <c r="R14" s="47">
        <f t="shared" si="3"/>
        <v>2074.6887966804979</v>
      </c>
      <c r="S14" s="46">
        <v>1.3179000000000001</v>
      </c>
    </row>
    <row r="15" spans="1:19" x14ac:dyDescent="0.2">
      <c r="B15" s="45">
        <v>45972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1.3143</v>
      </c>
      <c r="N15" s="49">
        <v>1.157</v>
      </c>
      <c r="O15" s="48">
        <v>154.19999999999999</v>
      </c>
      <c r="P15" s="41">
        <f t="shared" si="4"/>
        <v>1826.0671079662177</v>
      </c>
      <c r="Q15" s="41">
        <f t="shared" si="5"/>
        <v>1826.0671079662177</v>
      </c>
      <c r="R15" s="47">
        <f t="shared" si="3"/>
        <v>2074.3301642178044</v>
      </c>
      <c r="S15" s="46">
        <v>1.3143</v>
      </c>
    </row>
    <row r="16" spans="1:19" x14ac:dyDescent="0.2">
      <c r="B16" s="45">
        <v>45973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1.3118000000000001</v>
      </c>
      <c r="N16" s="49">
        <v>1.1577</v>
      </c>
      <c r="O16" s="48">
        <v>154.81</v>
      </c>
      <c r="P16" s="41">
        <f t="shared" si="4"/>
        <v>1829.5471870711997</v>
      </c>
      <c r="Q16" s="41">
        <f t="shared" si="5"/>
        <v>1829.5471870711997</v>
      </c>
      <c r="R16" s="47">
        <f t="shared" si="3"/>
        <v>2073.0759264058047</v>
      </c>
      <c r="S16" s="46">
        <v>1.3117000000000001</v>
      </c>
    </row>
    <row r="17" spans="2:19" x14ac:dyDescent="0.2">
      <c r="B17" s="45">
        <v>45974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1.3181</v>
      </c>
      <c r="N17" s="49">
        <v>1.1623000000000001</v>
      </c>
      <c r="O17" s="48">
        <v>154.61000000000001</v>
      </c>
      <c r="P17" s="41">
        <f t="shared" si="4"/>
        <v>1820.8026705105833</v>
      </c>
      <c r="Q17" s="41">
        <f t="shared" si="5"/>
        <v>1820.8026705105833</v>
      </c>
      <c r="R17" s="47">
        <f t="shared" si="3"/>
        <v>2064.8713757205537</v>
      </c>
      <c r="S17" s="46">
        <v>1.3181</v>
      </c>
    </row>
    <row r="18" spans="2:19" x14ac:dyDescent="0.2">
      <c r="B18" s="45">
        <v>45975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1.3180000000000001</v>
      </c>
      <c r="N18" s="49">
        <v>1.1653</v>
      </c>
      <c r="O18" s="48">
        <v>153.81</v>
      </c>
      <c r="P18" s="41">
        <f t="shared" si="4"/>
        <v>1820.9408194233686</v>
      </c>
      <c r="Q18" s="41">
        <f t="shared" si="5"/>
        <v>1820.9408194233686</v>
      </c>
      <c r="R18" s="47">
        <f t="shared" si="3"/>
        <v>2059.555479275723</v>
      </c>
      <c r="S18" s="46">
        <v>1.3180000000000001</v>
      </c>
    </row>
    <row r="19" spans="2:19" x14ac:dyDescent="0.2">
      <c r="B19" s="45">
        <v>45978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1.3180000000000001</v>
      </c>
      <c r="N19" s="49">
        <v>1.1598999999999999</v>
      </c>
      <c r="O19" s="48">
        <v>154.85</v>
      </c>
      <c r="P19" s="41">
        <f t="shared" si="4"/>
        <v>1820.9408194233686</v>
      </c>
      <c r="Q19" s="41">
        <f t="shared" si="5"/>
        <v>1820.9408194233686</v>
      </c>
      <c r="R19" s="47">
        <f t="shared" si="3"/>
        <v>2069.143891714803</v>
      </c>
      <c r="S19" s="46">
        <v>1.3180000000000001</v>
      </c>
    </row>
    <row r="20" spans="2:19" x14ac:dyDescent="0.2">
      <c r="B20" s="45">
        <v>45979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1.3152999999999999</v>
      </c>
      <c r="N20" s="49">
        <v>1.1592</v>
      </c>
      <c r="O20" s="48">
        <v>155.19</v>
      </c>
      <c r="P20" s="41">
        <f t="shared" si="4"/>
        <v>1824.6787805063484</v>
      </c>
      <c r="Q20" s="41">
        <f t="shared" si="5"/>
        <v>1824.6787805063484</v>
      </c>
      <c r="R20" s="47">
        <f t="shared" si="3"/>
        <v>2070.3933747412007</v>
      </c>
      <c r="S20" s="46">
        <v>1.3152999999999999</v>
      </c>
    </row>
    <row r="21" spans="2:19" x14ac:dyDescent="0.2">
      <c r="B21" s="45">
        <v>45980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1.3118000000000001</v>
      </c>
      <c r="N21" s="49">
        <v>1.1578999999999999</v>
      </c>
      <c r="O21" s="48">
        <v>156.25</v>
      </c>
      <c r="P21" s="41">
        <f t="shared" si="4"/>
        <v>1829.5471870711997</v>
      </c>
      <c r="Q21" s="41">
        <f t="shared" si="5"/>
        <v>1829.5471870711997</v>
      </c>
      <c r="R21" s="47">
        <f t="shared" si="3"/>
        <v>2072.7178512824944</v>
      </c>
      <c r="S21" s="46">
        <v>1.3118000000000001</v>
      </c>
    </row>
    <row r="22" spans="2:19" x14ac:dyDescent="0.2">
      <c r="B22" s="45">
        <v>45981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1.3057000000000001</v>
      </c>
      <c r="N22" s="49">
        <v>1.1511</v>
      </c>
      <c r="O22" s="48">
        <v>157.71</v>
      </c>
      <c r="P22" s="41">
        <f t="shared" si="4"/>
        <v>1838.0945086926552</v>
      </c>
      <c r="Q22" s="41">
        <f t="shared" si="5"/>
        <v>1838.0945086926552</v>
      </c>
      <c r="R22" s="47">
        <f t="shared" si="3"/>
        <v>2084.9622100599427</v>
      </c>
      <c r="S22" s="46">
        <v>1.3059000000000001</v>
      </c>
    </row>
    <row r="23" spans="2:19" x14ac:dyDescent="0.2">
      <c r="B23" s="45">
        <v>45982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1.3089</v>
      </c>
      <c r="N23" s="49">
        <v>1.1525000000000001</v>
      </c>
      <c r="O23" s="48">
        <v>156.76</v>
      </c>
      <c r="P23" s="41">
        <f t="shared" si="4"/>
        <v>1833.6007334402934</v>
      </c>
      <c r="Q23" s="41">
        <f t="shared" si="5"/>
        <v>1833.6007334402934</v>
      </c>
      <c r="R23" s="47">
        <f t="shared" si="3"/>
        <v>2082.4295010845985</v>
      </c>
      <c r="S23" s="46">
        <v>1.3089</v>
      </c>
    </row>
    <row r="24" spans="2:19" x14ac:dyDescent="0.2">
      <c r="B24" s="45">
        <v>45985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1.3111999999999999</v>
      </c>
      <c r="N24" s="49">
        <v>1.1547000000000001</v>
      </c>
      <c r="O24" s="48">
        <v>156.55000000000001</v>
      </c>
      <c r="P24" s="41">
        <f t="shared" si="4"/>
        <v>1830.3843807199512</v>
      </c>
      <c r="Q24" s="41">
        <f t="shared" si="5"/>
        <v>1830.3843807199512</v>
      </c>
      <c r="R24" s="47">
        <f t="shared" si="3"/>
        <v>2078.4619381657571</v>
      </c>
      <c r="S24" s="46">
        <v>1.3111999999999999</v>
      </c>
    </row>
    <row r="25" spans="2:19" x14ac:dyDescent="0.2">
      <c r="B25" s="45">
        <v>45986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1.3136000000000001</v>
      </c>
      <c r="N25" s="49">
        <v>1.1544000000000001</v>
      </c>
      <c r="O25" s="48">
        <v>156.30000000000001</v>
      </c>
      <c r="P25" s="41">
        <f t="shared" si="4"/>
        <v>1827.0401948842873</v>
      </c>
      <c r="Q25" s="41">
        <f t="shared" si="5"/>
        <v>1827.0401948842873</v>
      </c>
      <c r="R25" s="47">
        <f t="shared" si="3"/>
        <v>2079.002079002079</v>
      </c>
      <c r="S25" s="46">
        <v>1.3136000000000001</v>
      </c>
    </row>
    <row r="26" spans="2:19" x14ac:dyDescent="0.2">
      <c r="B26" s="45">
        <v>45987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1.3185</v>
      </c>
      <c r="N26" s="49">
        <v>1.1573</v>
      </c>
      <c r="O26" s="48">
        <v>156.47999999999999</v>
      </c>
      <c r="P26" s="41">
        <f t="shared" si="4"/>
        <v>1820.250284414107</v>
      </c>
      <c r="Q26" s="41">
        <f t="shared" si="5"/>
        <v>1820.250284414107</v>
      </c>
      <c r="R26" s="47">
        <f t="shared" si="3"/>
        <v>2073.7924479391686</v>
      </c>
      <c r="S26" s="46">
        <v>1.3185</v>
      </c>
    </row>
    <row r="27" spans="2:19" x14ac:dyDescent="0.2">
      <c r="B27" s="45">
        <v>45988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1.3233999999999999</v>
      </c>
      <c r="N27" s="49">
        <v>1.1583000000000001</v>
      </c>
      <c r="O27" s="48">
        <v>156.38</v>
      </c>
      <c r="P27" s="41">
        <f t="shared" si="4"/>
        <v>1813.5106543750946</v>
      </c>
      <c r="Q27" s="41">
        <f t="shared" si="5"/>
        <v>1813.5106543750946</v>
      </c>
      <c r="R27" s="47">
        <f t="shared" si="3"/>
        <v>2072.0020720020716</v>
      </c>
      <c r="S27" s="46">
        <v>1.3233999999999999</v>
      </c>
    </row>
    <row r="28" spans="2:19" x14ac:dyDescent="0.2">
      <c r="B28" s="45">
        <v>45989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1.3219000000000001</v>
      </c>
      <c r="N28" s="49">
        <v>1.1567000000000001</v>
      </c>
      <c r="O28" s="48">
        <v>156.12</v>
      </c>
      <c r="P28" s="41">
        <f t="shared" si="4"/>
        <v>1815.568499886527</v>
      </c>
      <c r="Q28" s="41">
        <f t="shared" si="5"/>
        <v>1815.568499886527</v>
      </c>
      <c r="R28" s="47">
        <f t="shared" si="3"/>
        <v>2074.8681594190366</v>
      </c>
      <c r="S28" s="46">
        <v>1.3219000000000001</v>
      </c>
    </row>
    <row r="29" spans="2:19" x14ac:dyDescent="0.2">
      <c r="B29" s="40" t="s">
        <v>11</v>
      </c>
      <c r="C29" s="39">
        <f>ROUND(AVERAGE(C9:C28),2)</f>
        <v>2390</v>
      </c>
      <c r="D29" s="38">
        <f>ROUND(AVERAGE(D9:D28),2)</f>
        <v>2400</v>
      </c>
      <c r="E29" s="37">
        <f>ROUND(AVERAGE(C29:D29),2)</f>
        <v>2395</v>
      </c>
      <c r="F29" s="39">
        <f>ROUND(AVERAGE(F9:F28),2)</f>
        <v>2390</v>
      </c>
      <c r="G29" s="38">
        <f>ROUND(AVERAGE(G9:G28),2)</f>
        <v>2400</v>
      </c>
      <c r="H29" s="37">
        <f>ROUND(AVERAGE(F29:G29),2)</f>
        <v>2395</v>
      </c>
      <c r="I29" s="39">
        <f>ROUND(AVERAGE(I9:I28),2)</f>
        <v>2390</v>
      </c>
      <c r="J29" s="38">
        <f>ROUND(AVERAGE(J9:J28),2)</f>
        <v>2400</v>
      </c>
      <c r="K29" s="37">
        <f>ROUND(AVERAGE(I29:J29),2)</f>
        <v>2395</v>
      </c>
      <c r="L29" s="36">
        <f>ROUND(AVERAGE(L9:L28),2)</f>
        <v>2400</v>
      </c>
      <c r="M29" s="35">
        <f>ROUND(AVERAGE(M9:M28),4)</f>
        <v>1.3138000000000001</v>
      </c>
      <c r="N29" s="34">
        <f>ROUND(AVERAGE(N9:N28),4)</f>
        <v>1.1559999999999999</v>
      </c>
      <c r="O29" s="167">
        <f>ROUND(AVERAGE(O9:O28),2)</f>
        <v>155.11000000000001</v>
      </c>
      <c r="P29" s="33">
        <f>AVERAGE(P9:P28)</f>
        <v>1826.8382580360353</v>
      </c>
      <c r="Q29" s="33">
        <f>AVERAGE(Q9:Q28)</f>
        <v>1826.8382580360353</v>
      </c>
      <c r="R29" s="33">
        <f>AVERAGE(R9:R28)</f>
        <v>2076.195306800802</v>
      </c>
      <c r="S29" s="32">
        <f>AVERAGE(S9:S28)</f>
        <v>1.3137350000000001</v>
      </c>
    </row>
    <row r="30" spans="2:19" x14ac:dyDescent="0.2">
      <c r="B30" s="31" t="s">
        <v>12</v>
      </c>
      <c r="C30" s="30">
        <f t="shared" ref="C30:S30" si="6">MAX(C9:C28)</f>
        <v>2390</v>
      </c>
      <c r="D30" s="29">
        <f t="shared" si="6"/>
        <v>2400</v>
      </c>
      <c r="E30" s="28">
        <f t="shared" si="6"/>
        <v>2395</v>
      </c>
      <c r="F30" s="30">
        <f t="shared" si="6"/>
        <v>2390</v>
      </c>
      <c r="G30" s="29">
        <f t="shared" si="6"/>
        <v>2400</v>
      </c>
      <c r="H30" s="28">
        <f t="shared" si="6"/>
        <v>2395</v>
      </c>
      <c r="I30" s="30">
        <f t="shared" si="6"/>
        <v>2390</v>
      </c>
      <c r="J30" s="29">
        <f t="shared" si="6"/>
        <v>2400</v>
      </c>
      <c r="K30" s="28">
        <f t="shared" si="6"/>
        <v>2395</v>
      </c>
      <c r="L30" s="27">
        <f t="shared" si="6"/>
        <v>2400</v>
      </c>
      <c r="M30" s="26">
        <f t="shared" si="6"/>
        <v>1.3233999999999999</v>
      </c>
      <c r="N30" s="25">
        <f t="shared" si="6"/>
        <v>1.1653</v>
      </c>
      <c r="O30" s="24">
        <f t="shared" si="6"/>
        <v>157.71</v>
      </c>
      <c r="P30" s="23">
        <f t="shared" si="6"/>
        <v>1840.2085569697899</v>
      </c>
      <c r="Q30" s="23">
        <f t="shared" si="6"/>
        <v>1840.2085569697899</v>
      </c>
      <c r="R30" s="23">
        <f t="shared" si="6"/>
        <v>2088.9546522760902</v>
      </c>
      <c r="S30" s="22">
        <f t="shared" si="6"/>
        <v>1.3233999999999999</v>
      </c>
    </row>
    <row r="31" spans="2:19" ht="13.5" thickBot="1" x14ac:dyDescent="0.25">
      <c r="B31" s="21" t="s">
        <v>13</v>
      </c>
      <c r="C31" s="20">
        <f t="shared" ref="C31:S31" si="7">MIN(C9:C28)</f>
        <v>2390</v>
      </c>
      <c r="D31" s="19">
        <f t="shared" si="7"/>
        <v>2400</v>
      </c>
      <c r="E31" s="18">
        <f t="shared" si="7"/>
        <v>2395</v>
      </c>
      <c r="F31" s="20">
        <f t="shared" si="7"/>
        <v>2390</v>
      </c>
      <c r="G31" s="19">
        <f t="shared" si="7"/>
        <v>2400</v>
      </c>
      <c r="H31" s="18">
        <f t="shared" si="7"/>
        <v>2395</v>
      </c>
      <c r="I31" s="20">
        <f t="shared" si="7"/>
        <v>2390</v>
      </c>
      <c r="J31" s="19">
        <f t="shared" si="7"/>
        <v>2400</v>
      </c>
      <c r="K31" s="18">
        <f t="shared" si="7"/>
        <v>2395</v>
      </c>
      <c r="L31" s="17">
        <f t="shared" si="7"/>
        <v>2400</v>
      </c>
      <c r="M31" s="16">
        <f t="shared" si="7"/>
        <v>1.3042</v>
      </c>
      <c r="N31" s="15">
        <f t="shared" si="7"/>
        <v>1.1489</v>
      </c>
      <c r="O31" s="14">
        <f t="shared" si="7"/>
        <v>153.1</v>
      </c>
      <c r="P31" s="13">
        <f t="shared" si="7"/>
        <v>1813.5106543750946</v>
      </c>
      <c r="Q31" s="13">
        <f t="shared" si="7"/>
        <v>1813.5106543750946</v>
      </c>
      <c r="R31" s="13">
        <f t="shared" si="7"/>
        <v>2059.555479275723</v>
      </c>
      <c r="S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45964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45964</v>
      </c>
      <c r="C9" s="44">
        <v>2902</v>
      </c>
      <c r="D9" s="43">
        <v>2903</v>
      </c>
      <c r="E9" s="42">
        <f t="shared" ref="E9:E28" si="0">AVERAGE(C9:D9)</f>
        <v>2902.5</v>
      </c>
      <c r="F9" s="44">
        <v>2906.5</v>
      </c>
      <c r="G9" s="43">
        <v>2907</v>
      </c>
      <c r="H9" s="42">
        <f t="shared" ref="H9:H28" si="1">AVERAGE(F9:G9)</f>
        <v>2906.75</v>
      </c>
      <c r="I9" s="44">
        <v>2918</v>
      </c>
      <c r="J9" s="43">
        <v>2923</v>
      </c>
      <c r="K9" s="42">
        <f t="shared" ref="K9:K28" si="2">AVERAGE(I9:J9)</f>
        <v>2920.5</v>
      </c>
      <c r="L9" s="44">
        <v>2923</v>
      </c>
      <c r="M9" s="43">
        <v>2928</v>
      </c>
      <c r="N9" s="42">
        <f t="shared" ref="N9:N28" si="3">AVERAGE(L9:M9)</f>
        <v>2925.5</v>
      </c>
      <c r="O9" s="44">
        <v>2927</v>
      </c>
      <c r="P9" s="43">
        <v>2932</v>
      </c>
      <c r="Q9" s="42">
        <f t="shared" ref="Q9:Q28" si="4">AVERAGE(O9:P9)</f>
        <v>2929.5</v>
      </c>
      <c r="R9" s="50">
        <v>2903</v>
      </c>
      <c r="S9" s="49">
        <v>1.3142</v>
      </c>
      <c r="T9" s="51">
        <v>1.1516999999999999</v>
      </c>
      <c r="U9" s="48">
        <v>154.18</v>
      </c>
      <c r="V9" s="41">
        <f>D9/S9</f>
        <v>2208.9484096788919</v>
      </c>
      <c r="W9" s="41">
        <f>G9/S9</f>
        <v>2211.9920864404198</v>
      </c>
      <c r="X9" s="47">
        <f t="shared" ref="X9:X28" si="5">R9/T9</f>
        <v>2520.6216896761312</v>
      </c>
      <c r="Y9" s="46">
        <v>1.3142</v>
      </c>
    </row>
    <row r="10" spans="1:25" x14ac:dyDescent="0.2">
      <c r="B10" s="45">
        <v>45965</v>
      </c>
      <c r="C10" s="44">
        <v>2852.5</v>
      </c>
      <c r="D10" s="43">
        <v>2853</v>
      </c>
      <c r="E10" s="42">
        <f t="shared" si="0"/>
        <v>2852.75</v>
      </c>
      <c r="F10" s="44">
        <v>2860.5</v>
      </c>
      <c r="G10" s="43">
        <v>2861.5</v>
      </c>
      <c r="H10" s="42">
        <f t="shared" si="1"/>
        <v>2861</v>
      </c>
      <c r="I10" s="44">
        <v>2878</v>
      </c>
      <c r="J10" s="43">
        <v>2883</v>
      </c>
      <c r="K10" s="42">
        <f t="shared" si="2"/>
        <v>2880.5</v>
      </c>
      <c r="L10" s="44">
        <v>2893</v>
      </c>
      <c r="M10" s="43">
        <v>2898</v>
      </c>
      <c r="N10" s="42">
        <f t="shared" si="3"/>
        <v>2895.5</v>
      </c>
      <c r="O10" s="44">
        <v>2893</v>
      </c>
      <c r="P10" s="43">
        <v>2898</v>
      </c>
      <c r="Q10" s="42">
        <f t="shared" si="4"/>
        <v>2895.5</v>
      </c>
      <c r="R10" s="50">
        <v>2853</v>
      </c>
      <c r="S10" s="49">
        <v>1.3068</v>
      </c>
      <c r="T10" s="49">
        <v>1.1489</v>
      </c>
      <c r="U10" s="48">
        <v>153.53</v>
      </c>
      <c r="V10" s="41">
        <f t="shared" ref="V10:V28" si="6">D10/S10</f>
        <v>2183.1955922865013</v>
      </c>
      <c r="W10" s="41">
        <f t="shared" ref="W10:W28" si="7">G10/S10</f>
        <v>2189.7000306091218</v>
      </c>
      <c r="X10" s="47">
        <f t="shared" si="5"/>
        <v>2483.2448428932021</v>
      </c>
      <c r="Y10" s="46">
        <v>1.3068</v>
      </c>
    </row>
    <row r="11" spans="1:25" x14ac:dyDescent="0.2">
      <c r="B11" s="45">
        <v>45966</v>
      </c>
      <c r="C11" s="44">
        <v>2838</v>
      </c>
      <c r="D11" s="43">
        <v>2838.5</v>
      </c>
      <c r="E11" s="42">
        <f t="shared" si="0"/>
        <v>2838.25</v>
      </c>
      <c r="F11" s="44">
        <v>2846</v>
      </c>
      <c r="G11" s="43">
        <v>2846.5</v>
      </c>
      <c r="H11" s="42">
        <f t="shared" si="1"/>
        <v>2846.25</v>
      </c>
      <c r="I11" s="44">
        <v>2868</v>
      </c>
      <c r="J11" s="43">
        <v>2873</v>
      </c>
      <c r="K11" s="42">
        <f t="shared" si="2"/>
        <v>2870.5</v>
      </c>
      <c r="L11" s="44">
        <v>2885</v>
      </c>
      <c r="M11" s="43">
        <v>2890</v>
      </c>
      <c r="N11" s="42">
        <f t="shared" si="3"/>
        <v>2887.5</v>
      </c>
      <c r="O11" s="44">
        <v>2892</v>
      </c>
      <c r="P11" s="43">
        <v>2897</v>
      </c>
      <c r="Q11" s="42">
        <f t="shared" si="4"/>
        <v>2894.5</v>
      </c>
      <c r="R11" s="50">
        <v>2838.5</v>
      </c>
      <c r="S11" s="49">
        <v>1.3042</v>
      </c>
      <c r="T11" s="49">
        <v>1.1491</v>
      </c>
      <c r="U11" s="48">
        <v>153.71</v>
      </c>
      <c r="V11" s="41">
        <f t="shared" si="6"/>
        <v>2176.4299953994787</v>
      </c>
      <c r="W11" s="41">
        <f t="shared" si="7"/>
        <v>2182.5640239227114</v>
      </c>
      <c r="X11" s="47">
        <f t="shared" si="5"/>
        <v>2470.1940649203725</v>
      </c>
      <c r="Y11" s="46">
        <v>1.3041</v>
      </c>
    </row>
    <row r="12" spans="1:25" x14ac:dyDescent="0.2">
      <c r="B12" s="45">
        <v>45967</v>
      </c>
      <c r="C12" s="44">
        <v>2861</v>
      </c>
      <c r="D12" s="43">
        <v>2861.5</v>
      </c>
      <c r="E12" s="42">
        <f t="shared" si="0"/>
        <v>2861.25</v>
      </c>
      <c r="F12" s="44">
        <v>2871</v>
      </c>
      <c r="G12" s="43">
        <v>2872</v>
      </c>
      <c r="H12" s="42">
        <f t="shared" si="1"/>
        <v>2871.5</v>
      </c>
      <c r="I12" s="44">
        <v>2893</v>
      </c>
      <c r="J12" s="43">
        <v>2898</v>
      </c>
      <c r="K12" s="42">
        <f t="shared" si="2"/>
        <v>2895.5</v>
      </c>
      <c r="L12" s="44">
        <v>2905</v>
      </c>
      <c r="M12" s="43">
        <v>2910</v>
      </c>
      <c r="N12" s="42">
        <f t="shared" si="3"/>
        <v>2907.5</v>
      </c>
      <c r="O12" s="44">
        <v>2910</v>
      </c>
      <c r="P12" s="43">
        <v>2915</v>
      </c>
      <c r="Q12" s="42">
        <f t="shared" si="4"/>
        <v>2912.5</v>
      </c>
      <c r="R12" s="50">
        <v>2861.5</v>
      </c>
      <c r="S12" s="49">
        <v>1.31</v>
      </c>
      <c r="T12" s="49">
        <v>1.1531</v>
      </c>
      <c r="U12" s="48">
        <v>153.61000000000001</v>
      </c>
      <c r="V12" s="41">
        <f t="shared" si="6"/>
        <v>2184.3511450381679</v>
      </c>
      <c r="W12" s="41">
        <f t="shared" si="7"/>
        <v>2192.3664122137402</v>
      </c>
      <c r="X12" s="47">
        <f t="shared" si="5"/>
        <v>2481.5714161824644</v>
      </c>
      <c r="Y12" s="46">
        <v>1.3098000000000001</v>
      </c>
    </row>
    <row r="13" spans="1:25" x14ac:dyDescent="0.2">
      <c r="B13" s="45">
        <v>45968</v>
      </c>
      <c r="C13" s="44">
        <v>2840</v>
      </c>
      <c r="D13" s="43">
        <v>2841</v>
      </c>
      <c r="E13" s="42">
        <f t="shared" si="0"/>
        <v>2840.5</v>
      </c>
      <c r="F13" s="44">
        <v>2851</v>
      </c>
      <c r="G13" s="43">
        <v>2851.5</v>
      </c>
      <c r="H13" s="42">
        <f t="shared" si="1"/>
        <v>2851.25</v>
      </c>
      <c r="I13" s="44">
        <v>2878</v>
      </c>
      <c r="J13" s="43">
        <v>2883</v>
      </c>
      <c r="K13" s="42">
        <f t="shared" si="2"/>
        <v>2880.5</v>
      </c>
      <c r="L13" s="44">
        <v>2893</v>
      </c>
      <c r="M13" s="43">
        <v>2898</v>
      </c>
      <c r="N13" s="42">
        <f t="shared" si="3"/>
        <v>2895.5</v>
      </c>
      <c r="O13" s="44">
        <v>2902</v>
      </c>
      <c r="P13" s="43">
        <v>2907</v>
      </c>
      <c r="Q13" s="42">
        <f t="shared" si="4"/>
        <v>2904.5</v>
      </c>
      <c r="R13" s="50">
        <v>2841</v>
      </c>
      <c r="S13" s="49">
        <v>1.3115000000000001</v>
      </c>
      <c r="T13" s="49">
        <v>1.1556</v>
      </c>
      <c r="U13" s="48">
        <v>153.1</v>
      </c>
      <c r="V13" s="41">
        <f t="shared" si="6"/>
        <v>2166.2218833396873</v>
      </c>
      <c r="W13" s="41">
        <f t="shared" si="7"/>
        <v>2174.2279832253143</v>
      </c>
      <c r="X13" s="47">
        <f t="shared" si="5"/>
        <v>2458.4631360332296</v>
      </c>
      <c r="Y13" s="46">
        <v>1.3112999999999999</v>
      </c>
    </row>
    <row r="14" spans="1:25" x14ac:dyDescent="0.2">
      <c r="B14" s="45">
        <v>45971</v>
      </c>
      <c r="C14" s="44">
        <v>2867</v>
      </c>
      <c r="D14" s="43">
        <v>2867.5</v>
      </c>
      <c r="E14" s="42">
        <f t="shared" si="0"/>
        <v>2867.25</v>
      </c>
      <c r="F14" s="44">
        <v>2882.5</v>
      </c>
      <c r="G14" s="43">
        <v>2883</v>
      </c>
      <c r="H14" s="42">
        <f t="shared" si="1"/>
        <v>2882.75</v>
      </c>
      <c r="I14" s="44">
        <v>2908</v>
      </c>
      <c r="J14" s="43">
        <v>2913</v>
      </c>
      <c r="K14" s="42">
        <f t="shared" si="2"/>
        <v>2910.5</v>
      </c>
      <c r="L14" s="44">
        <v>2923</v>
      </c>
      <c r="M14" s="43">
        <v>2928</v>
      </c>
      <c r="N14" s="42">
        <f t="shared" si="3"/>
        <v>2925.5</v>
      </c>
      <c r="O14" s="44">
        <v>2940</v>
      </c>
      <c r="P14" s="43">
        <v>2945</v>
      </c>
      <c r="Q14" s="42">
        <f t="shared" si="4"/>
        <v>2942.5</v>
      </c>
      <c r="R14" s="50">
        <v>2867.5</v>
      </c>
      <c r="S14" s="49">
        <v>1.3181</v>
      </c>
      <c r="T14" s="49">
        <v>1.1568000000000001</v>
      </c>
      <c r="U14" s="48">
        <v>154.12</v>
      </c>
      <c r="V14" s="41">
        <f t="shared" si="6"/>
        <v>2175.4798573704575</v>
      </c>
      <c r="W14" s="41">
        <f t="shared" si="7"/>
        <v>2187.2392079508381</v>
      </c>
      <c r="X14" s="47">
        <f t="shared" si="5"/>
        <v>2478.8208852005532</v>
      </c>
      <c r="Y14" s="46">
        <v>1.3179000000000001</v>
      </c>
    </row>
    <row r="15" spans="1:25" x14ac:dyDescent="0.2">
      <c r="B15" s="45">
        <v>45972</v>
      </c>
      <c r="C15" s="44">
        <v>2840</v>
      </c>
      <c r="D15" s="43">
        <v>2841</v>
      </c>
      <c r="E15" s="42">
        <f t="shared" si="0"/>
        <v>2840.5</v>
      </c>
      <c r="F15" s="44">
        <v>2865</v>
      </c>
      <c r="G15" s="43">
        <v>2866</v>
      </c>
      <c r="H15" s="42">
        <f t="shared" si="1"/>
        <v>2865.5</v>
      </c>
      <c r="I15" s="44">
        <v>2897</v>
      </c>
      <c r="J15" s="43">
        <v>2902</v>
      </c>
      <c r="K15" s="42">
        <f t="shared" si="2"/>
        <v>2899.5</v>
      </c>
      <c r="L15" s="44">
        <v>2920</v>
      </c>
      <c r="M15" s="43">
        <v>2925</v>
      </c>
      <c r="N15" s="42">
        <f t="shared" si="3"/>
        <v>2922.5</v>
      </c>
      <c r="O15" s="44">
        <v>2945</v>
      </c>
      <c r="P15" s="43">
        <v>2950</v>
      </c>
      <c r="Q15" s="42">
        <f t="shared" si="4"/>
        <v>2947.5</v>
      </c>
      <c r="R15" s="50">
        <v>2841</v>
      </c>
      <c r="S15" s="49">
        <v>1.3143</v>
      </c>
      <c r="T15" s="49">
        <v>1.157</v>
      </c>
      <c r="U15" s="48">
        <v>154.19999999999999</v>
      </c>
      <c r="V15" s="41">
        <f t="shared" si="6"/>
        <v>2161.6069390550101</v>
      </c>
      <c r="W15" s="41">
        <f t="shared" si="7"/>
        <v>2180.6284714296585</v>
      </c>
      <c r="X15" s="47">
        <f t="shared" si="5"/>
        <v>2455.4883318928264</v>
      </c>
      <c r="Y15" s="46">
        <v>1.3143</v>
      </c>
    </row>
    <row r="16" spans="1:25" x14ac:dyDescent="0.2">
      <c r="B16" s="45">
        <v>45973</v>
      </c>
      <c r="C16" s="44">
        <v>2855.5</v>
      </c>
      <c r="D16" s="43">
        <v>2856</v>
      </c>
      <c r="E16" s="42">
        <f t="shared" si="0"/>
        <v>2855.75</v>
      </c>
      <c r="F16" s="44">
        <v>2888</v>
      </c>
      <c r="G16" s="43">
        <v>2889</v>
      </c>
      <c r="H16" s="42">
        <f t="shared" si="1"/>
        <v>2888.5</v>
      </c>
      <c r="I16" s="44">
        <v>2920</v>
      </c>
      <c r="J16" s="43">
        <v>2925</v>
      </c>
      <c r="K16" s="42">
        <f t="shared" si="2"/>
        <v>2922.5</v>
      </c>
      <c r="L16" s="44">
        <v>2940</v>
      </c>
      <c r="M16" s="43">
        <v>2945</v>
      </c>
      <c r="N16" s="42">
        <f t="shared" si="3"/>
        <v>2942.5</v>
      </c>
      <c r="O16" s="44">
        <v>2960</v>
      </c>
      <c r="P16" s="43">
        <v>2965</v>
      </c>
      <c r="Q16" s="42">
        <f t="shared" si="4"/>
        <v>2962.5</v>
      </c>
      <c r="R16" s="50">
        <v>2856</v>
      </c>
      <c r="S16" s="49">
        <v>1.3118000000000001</v>
      </c>
      <c r="T16" s="49">
        <v>1.1577</v>
      </c>
      <c r="U16" s="48">
        <v>154.81</v>
      </c>
      <c r="V16" s="41">
        <f t="shared" si="6"/>
        <v>2177.1611526147276</v>
      </c>
      <c r="W16" s="41">
        <f t="shared" si="7"/>
        <v>2202.3174264369568</v>
      </c>
      <c r="X16" s="47">
        <f t="shared" si="5"/>
        <v>2466.9603524229078</v>
      </c>
      <c r="Y16" s="46">
        <v>1.3117000000000001</v>
      </c>
    </row>
    <row r="17" spans="2:25" x14ac:dyDescent="0.2">
      <c r="B17" s="45">
        <v>45974</v>
      </c>
      <c r="C17" s="44">
        <v>2874</v>
      </c>
      <c r="D17" s="43">
        <v>2876</v>
      </c>
      <c r="E17" s="42">
        <f t="shared" si="0"/>
        <v>2875</v>
      </c>
      <c r="F17" s="44">
        <v>2899.5</v>
      </c>
      <c r="G17" s="43">
        <v>2900</v>
      </c>
      <c r="H17" s="42">
        <f t="shared" si="1"/>
        <v>2899.75</v>
      </c>
      <c r="I17" s="44">
        <v>2925</v>
      </c>
      <c r="J17" s="43">
        <v>2930</v>
      </c>
      <c r="K17" s="42">
        <f t="shared" si="2"/>
        <v>2927.5</v>
      </c>
      <c r="L17" s="44">
        <v>2935</v>
      </c>
      <c r="M17" s="43">
        <v>2940</v>
      </c>
      <c r="N17" s="42">
        <f t="shared" si="3"/>
        <v>2937.5</v>
      </c>
      <c r="O17" s="44">
        <v>2943</v>
      </c>
      <c r="P17" s="43">
        <v>2948</v>
      </c>
      <c r="Q17" s="42">
        <f t="shared" si="4"/>
        <v>2945.5</v>
      </c>
      <c r="R17" s="50">
        <v>2876</v>
      </c>
      <c r="S17" s="49">
        <v>1.3181</v>
      </c>
      <c r="T17" s="49">
        <v>1.1623000000000001</v>
      </c>
      <c r="U17" s="48">
        <v>154.61000000000001</v>
      </c>
      <c r="V17" s="41">
        <f t="shared" si="6"/>
        <v>2181.9285334951824</v>
      </c>
      <c r="W17" s="41">
        <f t="shared" si="7"/>
        <v>2200.1365602002884</v>
      </c>
      <c r="X17" s="47">
        <f t="shared" si="5"/>
        <v>2474.4041985717972</v>
      </c>
      <c r="Y17" s="46">
        <v>1.3181</v>
      </c>
    </row>
    <row r="18" spans="2:25" x14ac:dyDescent="0.2">
      <c r="B18" s="45">
        <v>45975</v>
      </c>
      <c r="C18" s="44">
        <v>2832</v>
      </c>
      <c r="D18" s="43">
        <v>2832.5</v>
      </c>
      <c r="E18" s="42">
        <f t="shared" si="0"/>
        <v>2832.25</v>
      </c>
      <c r="F18" s="44">
        <v>2855</v>
      </c>
      <c r="G18" s="43">
        <v>2857</v>
      </c>
      <c r="H18" s="42">
        <f t="shared" si="1"/>
        <v>2856</v>
      </c>
      <c r="I18" s="44">
        <v>2888</v>
      </c>
      <c r="J18" s="43">
        <v>2893</v>
      </c>
      <c r="K18" s="42">
        <f t="shared" si="2"/>
        <v>2890.5</v>
      </c>
      <c r="L18" s="44">
        <v>2910</v>
      </c>
      <c r="M18" s="43">
        <v>2915</v>
      </c>
      <c r="N18" s="42">
        <f t="shared" si="3"/>
        <v>2912.5</v>
      </c>
      <c r="O18" s="44">
        <v>2925</v>
      </c>
      <c r="P18" s="43">
        <v>2930</v>
      </c>
      <c r="Q18" s="42">
        <f t="shared" si="4"/>
        <v>2927.5</v>
      </c>
      <c r="R18" s="50">
        <v>2832.5</v>
      </c>
      <c r="S18" s="49">
        <v>1.3180000000000001</v>
      </c>
      <c r="T18" s="49">
        <v>1.1653</v>
      </c>
      <c r="U18" s="48">
        <v>153.81</v>
      </c>
      <c r="V18" s="41">
        <f t="shared" si="6"/>
        <v>2149.0895295902883</v>
      </c>
      <c r="W18" s="41">
        <f t="shared" si="7"/>
        <v>2167.6783004552353</v>
      </c>
      <c r="X18" s="47">
        <f t="shared" si="5"/>
        <v>2430.7045396035355</v>
      </c>
      <c r="Y18" s="46">
        <v>1.3180000000000001</v>
      </c>
    </row>
    <row r="19" spans="2:25" x14ac:dyDescent="0.2">
      <c r="B19" s="45">
        <v>45978</v>
      </c>
      <c r="C19" s="44">
        <v>2797.5</v>
      </c>
      <c r="D19" s="43">
        <v>2798</v>
      </c>
      <c r="E19" s="42">
        <f t="shared" si="0"/>
        <v>2797.75</v>
      </c>
      <c r="F19" s="44">
        <v>2833</v>
      </c>
      <c r="G19" s="43">
        <v>2834</v>
      </c>
      <c r="H19" s="42">
        <f t="shared" si="1"/>
        <v>2833.5</v>
      </c>
      <c r="I19" s="44">
        <v>2867</v>
      </c>
      <c r="J19" s="43">
        <v>2872</v>
      </c>
      <c r="K19" s="42">
        <f t="shared" si="2"/>
        <v>2869.5</v>
      </c>
      <c r="L19" s="44">
        <v>2882</v>
      </c>
      <c r="M19" s="43">
        <v>2887</v>
      </c>
      <c r="N19" s="42">
        <f t="shared" si="3"/>
        <v>2884.5</v>
      </c>
      <c r="O19" s="44">
        <v>2888</v>
      </c>
      <c r="P19" s="43">
        <v>2893</v>
      </c>
      <c r="Q19" s="42">
        <f t="shared" si="4"/>
        <v>2890.5</v>
      </c>
      <c r="R19" s="50">
        <v>2798</v>
      </c>
      <c r="S19" s="49">
        <v>1.3180000000000001</v>
      </c>
      <c r="T19" s="49">
        <v>1.1598999999999999</v>
      </c>
      <c r="U19" s="48">
        <v>154.85</v>
      </c>
      <c r="V19" s="41">
        <f t="shared" si="6"/>
        <v>2122.9135053110772</v>
      </c>
      <c r="W19" s="41">
        <f t="shared" si="7"/>
        <v>2150.2276176024279</v>
      </c>
      <c r="X19" s="47">
        <f t="shared" si="5"/>
        <v>2412.2769204241745</v>
      </c>
      <c r="Y19" s="46">
        <v>1.3180000000000001</v>
      </c>
    </row>
    <row r="20" spans="2:25" x14ac:dyDescent="0.2">
      <c r="B20" s="45">
        <v>45979</v>
      </c>
      <c r="C20" s="44">
        <v>2748.5</v>
      </c>
      <c r="D20" s="43">
        <v>2749.5</v>
      </c>
      <c r="E20" s="42">
        <f t="shared" si="0"/>
        <v>2749</v>
      </c>
      <c r="F20" s="44">
        <v>2785</v>
      </c>
      <c r="G20" s="43">
        <v>2787</v>
      </c>
      <c r="H20" s="42">
        <f t="shared" si="1"/>
        <v>2786</v>
      </c>
      <c r="I20" s="44">
        <v>2825</v>
      </c>
      <c r="J20" s="43">
        <v>2830</v>
      </c>
      <c r="K20" s="42">
        <f t="shared" si="2"/>
        <v>2827.5</v>
      </c>
      <c r="L20" s="44">
        <v>2848</v>
      </c>
      <c r="M20" s="43">
        <v>2853</v>
      </c>
      <c r="N20" s="42">
        <f t="shared" si="3"/>
        <v>2850.5</v>
      </c>
      <c r="O20" s="44">
        <v>2858</v>
      </c>
      <c r="P20" s="43">
        <v>2863</v>
      </c>
      <c r="Q20" s="42">
        <f t="shared" si="4"/>
        <v>2860.5</v>
      </c>
      <c r="R20" s="50">
        <v>2749.5</v>
      </c>
      <c r="S20" s="49">
        <v>1.3152999999999999</v>
      </c>
      <c r="T20" s="49">
        <v>1.1592</v>
      </c>
      <c r="U20" s="48">
        <v>155.19</v>
      </c>
      <c r="V20" s="41">
        <f t="shared" si="6"/>
        <v>2090.3976279175854</v>
      </c>
      <c r="W20" s="41">
        <f t="shared" si="7"/>
        <v>2118.9082338629973</v>
      </c>
      <c r="X20" s="47">
        <f t="shared" si="5"/>
        <v>2371.8944099378882</v>
      </c>
      <c r="Y20" s="46">
        <v>1.3152999999999999</v>
      </c>
    </row>
    <row r="21" spans="2:25" x14ac:dyDescent="0.2">
      <c r="B21" s="45">
        <v>45980</v>
      </c>
      <c r="C21" s="44">
        <v>2780</v>
      </c>
      <c r="D21" s="43">
        <v>2781</v>
      </c>
      <c r="E21" s="42">
        <f t="shared" si="0"/>
        <v>2780.5</v>
      </c>
      <c r="F21" s="44">
        <v>2805.5</v>
      </c>
      <c r="G21" s="43">
        <v>2806</v>
      </c>
      <c r="H21" s="42">
        <f t="shared" si="1"/>
        <v>2805.75</v>
      </c>
      <c r="I21" s="44">
        <v>2837</v>
      </c>
      <c r="J21" s="43">
        <v>2842</v>
      </c>
      <c r="K21" s="42">
        <f t="shared" si="2"/>
        <v>2839.5</v>
      </c>
      <c r="L21" s="44">
        <v>2852</v>
      </c>
      <c r="M21" s="43">
        <v>2857</v>
      </c>
      <c r="N21" s="42">
        <f t="shared" si="3"/>
        <v>2854.5</v>
      </c>
      <c r="O21" s="44">
        <v>2862</v>
      </c>
      <c r="P21" s="43">
        <v>2867</v>
      </c>
      <c r="Q21" s="42">
        <f t="shared" si="4"/>
        <v>2864.5</v>
      </c>
      <c r="R21" s="50">
        <v>2781</v>
      </c>
      <c r="S21" s="49">
        <v>1.3118000000000001</v>
      </c>
      <c r="T21" s="49">
        <v>1.1578999999999999</v>
      </c>
      <c r="U21" s="48">
        <v>156.25</v>
      </c>
      <c r="V21" s="41">
        <f t="shared" si="6"/>
        <v>2119.9878030187529</v>
      </c>
      <c r="W21" s="41">
        <f t="shared" si="7"/>
        <v>2139.0455862174113</v>
      </c>
      <c r="X21" s="47">
        <f t="shared" si="5"/>
        <v>2401.7618101735902</v>
      </c>
      <c r="Y21" s="46">
        <v>1.3118000000000001</v>
      </c>
    </row>
    <row r="22" spans="2:25" x14ac:dyDescent="0.2">
      <c r="B22" s="45">
        <v>45981</v>
      </c>
      <c r="C22" s="44">
        <v>2778</v>
      </c>
      <c r="D22" s="43">
        <v>2778.5</v>
      </c>
      <c r="E22" s="42">
        <f t="shared" si="0"/>
        <v>2778.25</v>
      </c>
      <c r="F22" s="44">
        <v>2810</v>
      </c>
      <c r="G22" s="43">
        <v>2811</v>
      </c>
      <c r="H22" s="42">
        <f t="shared" si="1"/>
        <v>2810.5</v>
      </c>
      <c r="I22" s="44">
        <v>2843</v>
      </c>
      <c r="J22" s="43">
        <v>2848</v>
      </c>
      <c r="K22" s="42">
        <f t="shared" si="2"/>
        <v>2845.5</v>
      </c>
      <c r="L22" s="44">
        <v>2862</v>
      </c>
      <c r="M22" s="43">
        <v>2867</v>
      </c>
      <c r="N22" s="42">
        <f t="shared" si="3"/>
        <v>2864.5</v>
      </c>
      <c r="O22" s="44">
        <v>2877</v>
      </c>
      <c r="P22" s="43">
        <v>2882</v>
      </c>
      <c r="Q22" s="42">
        <f t="shared" si="4"/>
        <v>2879.5</v>
      </c>
      <c r="R22" s="50">
        <v>2778.5</v>
      </c>
      <c r="S22" s="49">
        <v>1.3057000000000001</v>
      </c>
      <c r="T22" s="49">
        <v>1.1511</v>
      </c>
      <c r="U22" s="48">
        <v>157.71</v>
      </c>
      <c r="V22" s="41">
        <f t="shared" si="6"/>
        <v>2127.977330167726</v>
      </c>
      <c r="W22" s="41">
        <f t="shared" si="7"/>
        <v>2152.8681933062726</v>
      </c>
      <c r="X22" s="47">
        <f t="shared" si="5"/>
        <v>2413.7781252714794</v>
      </c>
      <c r="Y22" s="46">
        <v>1.3059000000000001</v>
      </c>
    </row>
    <row r="23" spans="2:25" x14ac:dyDescent="0.2">
      <c r="B23" s="45">
        <v>45982</v>
      </c>
      <c r="C23" s="44">
        <v>2765</v>
      </c>
      <c r="D23" s="43">
        <v>2765.5</v>
      </c>
      <c r="E23" s="42">
        <f t="shared" si="0"/>
        <v>2765.25</v>
      </c>
      <c r="F23" s="44">
        <v>2791</v>
      </c>
      <c r="G23" s="43">
        <v>2792</v>
      </c>
      <c r="H23" s="42">
        <f t="shared" si="1"/>
        <v>2791.5</v>
      </c>
      <c r="I23" s="44">
        <v>2828</v>
      </c>
      <c r="J23" s="43">
        <v>2833</v>
      </c>
      <c r="K23" s="42">
        <f t="shared" si="2"/>
        <v>2830.5</v>
      </c>
      <c r="L23" s="44">
        <v>2843</v>
      </c>
      <c r="M23" s="43">
        <v>2848</v>
      </c>
      <c r="N23" s="42">
        <f t="shared" si="3"/>
        <v>2845.5</v>
      </c>
      <c r="O23" s="44">
        <v>2858</v>
      </c>
      <c r="P23" s="43">
        <v>2863</v>
      </c>
      <c r="Q23" s="42">
        <f t="shared" si="4"/>
        <v>2860.5</v>
      </c>
      <c r="R23" s="50">
        <v>2765.5</v>
      </c>
      <c r="S23" s="49">
        <v>1.3089</v>
      </c>
      <c r="T23" s="49">
        <v>1.1525000000000001</v>
      </c>
      <c r="U23" s="48">
        <v>156.76</v>
      </c>
      <c r="V23" s="41">
        <f t="shared" si="6"/>
        <v>2112.8428451371383</v>
      </c>
      <c r="W23" s="41">
        <f t="shared" si="7"/>
        <v>2133.0888532355416</v>
      </c>
      <c r="X23" s="47">
        <f t="shared" si="5"/>
        <v>2399.5661605206074</v>
      </c>
      <c r="Y23" s="46">
        <v>1.3089</v>
      </c>
    </row>
    <row r="24" spans="2:25" x14ac:dyDescent="0.2">
      <c r="B24" s="45">
        <v>45985</v>
      </c>
      <c r="C24" s="44">
        <v>2776</v>
      </c>
      <c r="D24" s="43">
        <v>2776.5</v>
      </c>
      <c r="E24" s="42">
        <f t="shared" si="0"/>
        <v>2776.25</v>
      </c>
      <c r="F24" s="44">
        <v>2807.5</v>
      </c>
      <c r="G24" s="43">
        <v>2808</v>
      </c>
      <c r="H24" s="42">
        <f t="shared" si="1"/>
        <v>2807.75</v>
      </c>
      <c r="I24" s="44">
        <v>2845</v>
      </c>
      <c r="J24" s="43">
        <v>2850</v>
      </c>
      <c r="K24" s="42">
        <f t="shared" si="2"/>
        <v>2847.5</v>
      </c>
      <c r="L24" s="44">
        <v>2865</v>
      </c>
      <c r="M24" s="43">
        <v>2870</v>
      </c>
      <c r="N24" s="42">
        <f t="shared" si="3"/>
        <v>2867.5</v>
      </c>
      <c r="O24" s="44">
        <v>2880</v>
      </c>
      <c r="P24" s="43">
        <v>2885</v>
      </c>
      <c r="Q24" s="42">
        <f t="shared" si="4"/>
        <v>2882.5</v>
      </c>
      <c r="R24" s="50">
        <v>2776.5</v>
      </c>
      <c r="S24" s="49">
        <v>1.3111999999999999</v>
      </c>
      <c r="T24" s="49">
        <v>1.1547000000000001</v>
      </c>
      <c r="U24" s="48">
        <v>156.55000000000001</v>
      </c>
      <c r="V24" s="41">
        <f t="shared" si="6"/>
        <v>2117.5259304453934</v>
      </c>
      <c r="W24" s="41">
        <f t="shared" si="7"/>
        <v>2141.5497254423431</v>
      </c>
      <c r="X24" s="47">
        <f t="shared" si="5"/>
        <v>2404.5206547155103</v>
      </c>
      <c r="Y24" s="46">
        <v>1.3111999999999999</v>
      </c>
    </row>
    <row r="25" spans="2:25" x14ac:dyDescent="0.2">
      <c r="B25" s="45">
        <v>45986</v>
      </c>
      <c r="C25" s="44">
        <v>2786.5</v>
      </c>
      <c r="D25" s="43">
        <v>2787</v>
      </c>
      <c r="E25" s="42">
        <f t="shared" si="0"/>
        <v>2786.75</v>
      </c>
      <c r="F25" s="44">
        <v>2813</v>
      </c>
      <c r="G25" s="43">
        <v>2815</v>
      </c>
      <c r="H25" s="42">
        <f t="shared" si="1"/>
        <v>2814</v>
      </c>
      <c r="I25" s="44">
        <v>2852</v>
      </c>
      <c r="J25" s="43">
        <v>2857</v>
      </c>
      <c r="K25" s="42">
        <f t="shared" si="2"/>
        <v>2854.5</v>
      </c>
      <c r="L25" s="44">
        <v>2870</v>
      </c>
      <c r="M25" s="43">
        <v>2875</v>
      </c>
      <c r="N25" s="42">
        <f t="shared" si="3"/>
        <v>2872.5</v>
      </c>
      <c r="O25" s="44">
        <v>2877</v>
      </c>
      <c r="P25" s="43">
        <v>2882</v>
      </c>
      <c r="Q25" s="42">
        <f t="shared" si="4"/>
        <v>2879.5</v>
      </c>
      <c r="R25" s="50">
        <v>2787</v>
      </c>
      <c r="S25" s="49">
        <v>1.3136000000000001</v>
      </c>
      <c r="T25" s="49">
        <v>1.1544000000000001</v>
      </c>
      <c r="U25" s="48">
        <v>156.30000000000001</v>
      </c>
      <c r="V25" s="41">
        <f t="shared" si="6"/>
        <v>2121.6504263093784</v>
      </c>
      <c r="W25" s="41">
        <f t="shared" si="7"/>
        <v>2142.9658952496952</v>
      </c>
      <c r="X25" s="47">
        <f t="shared" si="5"/>
        <v>2414.2411642411639</v>
      </c>
      <c r="Y25" s="46">
        <v>1.3136000000000001</v>
      </c>
    </row>
    <row r="26" spans="2:25" x14ac:dyDescent="0.2">
      <c r="B26" s="45">
        <v>45987</v>
      </c>
      <c r="C26" s="44">
        <v>2822</v>
      </c>
      <c r="D26" s="43">
        <v>2822.5</v>
      </c>
      <c r="E26" s="42">
        <f t="shared" si="0"/>
        <v>2822.25</v>
      </c>
      <c r="F26" s="44">
        <v>2848</v>
      </c>
      <c r="G26" s="43">
        <v>2848.5</v>
      </c>
      <c r="H26" s="42">
        <f t="shared" si="1"/>
        <v>2848.25</v>
      </c>
      <c r="I26" s="44">
        <v>2878</v>
      </c>
      <c r="J26" s="43">
        <v>2883</v>
      </c>
      <c r="K26" s="42">
        <f t="shared" si="2"/>
        <v>2880.5</v>
      </c>
      <c r="L26" s="44">
        <v>2888</v>
      </c>
      <c r="M26" s="43">
        <v>2893</v>
      </c>
      <c r="N26" s="42">
        <f t="shared" si="3"/>
        <v>2890.5</v>
      </c>
      <c r="O26" s="44">
        <v>2897</v>
      </c>
      <c r="P26" s="43">
        <v>2902</v>
      </c>
      <c r="Q26" s="42">
        <f t="shared" si="4"/>
        <v>2899.5</v>
      </c>
      <c r="R26" s="50">
        <v>2822.5</v>
      </c>
      <c r="S26" s="49">
        <v>1.3185</v>
      </c>
      <c r="T26" s="49">
        <v>1.1573</v>
      </c>
      <c r="U26" s="48">
        <v>156.47999999999999</v>
      </c>
      <c r="V26" s="41">
        <f t="shared" si="6"/>
        <v>2140.6901782328405</v>
      </c>
      <c r="W26" s="41">
        <f t="shared" si="7"/>
        <v>2160.4095563139931</v>
      </c>
      <c r="X26" s="47">
        <f t="shared" si="5"/>
        <v>2438.8663267951265</v>
      </c>
      <c r="Y26" s="46">
        <v>1.3185</v>
      </c>
    </row>
    <row r="27" spans="2:25" x14ac:dyDescent="0.2">
      <c r="B27" s="45">
        <v>45988</v>
      </c>
      <c r="C27" s="44">
        <v>2803.5</v>
      </c>
      <c r="D27" s="43">
        <v>2804</v>
      </c>
      <c r="E27" s="42">
        <f t="shared" si="0"/>
        <v>2803.75</v>
      </c>
      <c r="F27" s="44">
        <v>2827.5</v>
      </c>
      <c r="G27" s="43">
        <v>2828</v>
      </c>
      <c r="H27" s="42">
        <f t="shared" si="1"/>
        <v>2827.75</v>
      </c>
      <c r="I27" s="44">
        <v>2862</v>
      </c>
      <c r="J27" s="43">
        <v>2867</v>
      </c>
      <c r="K27" s="42">
        <f t="shared" si="2"/>
        <v>2864.5</v>
      </c>
      <c r="L27" s="44">
        <v>2875</v>
      </c>
      <c r="M27" s="43">
        <v>2880</v>
      </c>
      <c r="N27" s="42">
        <f t="shared" si="3"/>
        <v>2877.5</v>
      </c>
      <c r="O27" s="44">
        <v>2885</v>
      </c>
      <c r="P27" s="43">
        <v>2890</v>
      </c>
      <c r="Q27" s="42">
        <f t="shared" si="4"/>
        <v>2887.5</v>
      </c>
      <c r="R27" s="50">
        <v>2804</v>
      </c>
      <c r="S27" s="49">
        <v>1.3233999999999999</v>
      </c>
      <c r="T27" s="49">
        <v>1.1583000000000001</v>
      </c>
      <c r="U27" s="48">
        <v>156.38</v>
      </c>
      <c r="V27" s="41">
        <f t="shared" si="6"/>
        <v>2118.784947861569</v>
      </c>
      <c r="W27" s="41">
        <f t="shared" si="7"/>
        <v>2136.9200544053197</v>
      </c>
      <c r="X27" s="47">
        <f t="shared" si="5"/>
        <v>2420.7890874557538</v>
      </c>
      <c r="Y27" s="46">
        <v>1.3233999999999999</v>
      </c>
    </row>
    <row r="28" spans="2:25" x14ac:dyDescent="0.2">
      <c r="B28" s="45">
        <v>45989</v>
      </c>
      <c r="C28" s="44">
        <v>2825</v>
      </c>
      <c r="D28" s="43">
        <v>2826</v>
      </c>
      <c r="E28" s="42">
        <f t="shared" si="0"/>
        <v>2825.5</v>
      </c>
      <c r="F28" s="44">
        <v>2850</v>
      </c>
      <c r="G28" s="43">
        <v>2852</v>
      </c>
      <c r="H28" s="42">
        <f t="shared" si="1"/>
        <v>2851</v>
      </c>
      <c r="I28" s="44">
        <v>2887</v>
      </c>
      <c r="J28" s="43">
        <v>2892</v>
      </c>
      <c r="K28" s="42">
        <f t="shared" si="2"/>
        <v>2889.5</v>
      </c>
      <c r="L28" s="44">
        <v>2908</v>
      </c>
      <c r="M28" s="43">
        <v>2913</v>
      </c>
      <c r="N28" s="42">
        <f t="shared" si="3"/>
        <v>2910.5</v>
      </c>
      <c r="O28" s="44">
        <v>2920</v>
      </c>
      <c r="P28" s="43">
        <v>2925</v>
      </c>
      <c r="Q28" s="42">
        <f t="shared" si="4"/>
        <v>2922.5</v>
      </c>
      <c r="R28" s="50">
        <v>2826</v>
      </c>
      <c r="S28" s="49">
        <v>1.3219000000000001</v>
      </c>
      <c r="T28" s="49">
        <v>1.1567000000000001</v>
      </c>
      <c r="U28" s="48">
        <v>156.12</v>
      </c>
      <c r="V28" s="41">
        <f t="shared" si="6"/>
        <v>2137.8319086163856</v>
      </c>
      <c r="W28" s="41">
        <f t="shared" si="7"/>
        <v>2157.5005673651563</v>
      </c>
      <c r="X28" s="47">
        <f t="shared" si="5"/>
        <v>2443.1572577159159</v>
      </c>
      <c r="Y28" s="46">
        <v>1.3219000000000001</v>
      </c>
    </row>
    <row r="29" spans="2:25" x14ac:dyDescent="0.2">
      <c r="B29" s="40" t="s">
        <v>11</v>
      </c>
      <c r="C29" s="39">
        <f>ROUND(AVERAGE(C9:C28),2)</f>
        <v>2822.2</v>
      </c>
      <c r="D29" s="38">
        <f>ROUND(AVERAGE(D9:D28),2)</f>
        <v>2822.93</v>
      </c>
      <c r="E29" s="37">
        <f>ROUND(AVERAGE(C29:D29),2)</f>
        <v>2822.57</v>
      </c>
      <c r="F29" s="39">
        <f>ROUND(AVERAGE(F9:F28),2)</f>
        <v>2844.78</v>
      </c>
      <c r="G29" s="38">
        <f>ROUND(AVERAGE(G9:G28),2)</f>
        <v>2845.75</v>
      </c>
      <c r="H29" s="37">
        <f>ROUND(AVERAGE(F29:G29),2)</f>
        <v>2845.27</v>
      </c>
      <c r="I29" s="39">
        <f>ROUND(AVERAGE(I9:I28),2)</f>
        <v>2874.85</v>
      </c>
      <c r="J29" s="38">
        <f>ROUND(AVERAGE(J9:J28),2)</f>
        <v>2879.85</v>
      </c>
      <c r="K29" s="37">
        <f>ROUND(AVERAGE(I29:J29),2)</f>
        <v>2877.35</v>
      </c>
      <c r="L29" s="39">
        <f>ROUND(AVERAGE(L9:L28),2)</f>
        <v>2891</v>
      </c>
      <c r="M29" s="38">
        <f>ROUND(AVERAGE(M9:M28),2)</f>
        <v>2896</v>
      </c>
      <c r="N29" s="37">
        <f>ROUND(AVERAGE(L29:M29),2)</f>
        <v>2893.5</v>
      </c>
      <c r="O29" s="39">
        <f>ROUND(AVERAGE(O9:O28),2)</f>
        <v>2901.95</v>
      </c>
      <c r="P29" s="38">
        <f>ROUND(AVERAGE(P9:P28),2)</f>
        <v>2906.95</v>
      </c>
      <c r="Q29" s="37">
        <f>ROUND(AVERAGE(O29:P29),2)</f>
        <v>2904.45</v>
      </c>
      <c r="R29" s="36">
        <f>ROUND(AVERAGE(R9:R28),2)</f>
        <v>2822.93</v>
      </c>
      <c r="S29" s="35">
        <f>ROUND(AVERAGE(S9:S28),4)</f>
        <v>1.3138000000000001</v>
      </c>
      <c r="T29" s="34">
        <f>ROUND(AVERAGE(T9:T28),4)</f>
        <v>1.1559999999999999</v>
      </c>
      <c r="U29" s="167">
        <f>ROUND(AVERAGE(U9:U28),2)</f>
        <v>155.11000000000001</v>
      </c>
      <c r="V29" s="33">
        <f>AVERAGE(V9:V28)</f>
        <v>2148.7507770443121</v>
      </c>
      <c r="W29" s="33">
        <f>AVERAGE(W9:W28)</f>
        <v>2166.1167392942721</v>
      </c>
      <c r="X29" s="33">
        <f>AVERAGE(X9:X28)</f>
        <v>2442.0662687324116</v>
      </c>
      <c r="Y29" s="32">
        <f>AVERAGE(Y9:Y28)</f>
        <v>1.3137350000000001</v>
      </c>
    </row>
    <row r="30" spans="2:25" x14ac:dyDescent="0.2">
      <c r="B30" s="31" t="s">
        <v>12</v>
      </c>
      <c r="C30" s="30">
        <f t="shared" ref="C30:Y30" si="8">MAX(C9:C28)</f>
        <v>2902</v>
      </c>
      <c r="D30" s="29">
        <f t="shared" si="8"/>
        <v>2903</v>
      </c>
      <c r="E30" s="28">
        <f t="shared" si="8"/>
        <v>2902.5</v>
      </c>
      <c r="F30" s="30">
        <f t="shared" si="8"/>
        <v>2906.5</v>
      </c>
      <c r="G30" s="29">
        <f t="shared" si="8"/>
        <v>2907</v>
      </c>
      <c r="H30" s="28">
        <f t="shared" si="8"/>
        <v>2906.75</v>
      </c>
      <c r="I30" s="30">
        <f t="shared" si="8"/>
        <v>2925</v>
      </c>
      <c r="J30" s="29">
        <f t="shared" si="8"/>
        <v>2930</v>
      </c>
      <c r="K30" s="28">
        <f t="shared" si="8"/>
        <v>2927.5</v>
      </c>
      <c r="L30" s="30">
        <f t="shared" si="8"/>
        <v>2940</v>
      </c>
      <c r="M30" s="29">
        <f t="shared" si="8"/>
        <v>2945</v>
      </c>
      <c r="N30" s="28">
        <f t="shared" si="8"/>
        <v>2942.5</v>
      </c>
      <c r="O30" s="30">
        <f t="shared" si="8"/>
        <v>2960</v>
      </c>
      <c r="P30" s="29">
        <f t="shared" si="8"/>
        <v>2965</v>
      </c>
      <c r="Q30" s="28">
        <f t="shared" si="8"/>
        <v>2962.5</v>
      </c>
      <c r="R30" s="27">
        <f t="shared" si="8"/>
        <v>2903</v>
      </c>
      <c r="S30" s="26">
        <f t="shared" si="8"/>
        <v>1.3233999999999999</v>
      </c>
      <c r="T30" s="25">
        <f t="shared" si="8"/>
        <v>1.1653</v>
      </c>
      <c r="U30" s="24">
        <f t="shared" si="8"/>
        <v>157.71</v>
      </c>
      <c r="V30" s="23">
        <f t="shared" si="8"/>
        <v>2208.9484096788919</v>
      </c>
      <c r="W30" s="23">
        <f t="shared" si="8"/>
        <v>2211.9920864404198</v>
      </c>
      <c r="X30" s="23">
        <f t="shared" si="8"/>
        <v>2520.6216896761312</v>
      </c>
      <c r="Y30" s="22">
        <f t="shared" si="8"/>
        <v>1.3233999999999999</v>
      </c>
    </row>
    <row r="31" spans="2:25" ht="13.5" thickBot="1" x14ac:dyDescent="0.25">
      <c r="B31" s="21" t="s">
        <v>13</v>
      </c>
      <c r="C31" s="20">
        <f t="shared" ref="C31:Y31" si="9">MIN(C9:C28)</f>
        <v>2748.5</v>
      </c>
      <c r="D31" s="19">
        <f t="shared" si="9"/>
        <v>2749.5</v>
      </c>
      <c r="E31" s="18">
        <f t="shared" si="9"/>
        <v>2749</v>
      </c>
      <c r="F31" s="20">
        <f t="shared" si="9"/>
        <v>2785</v>
      </c>
      <c r="G31" s="19">
        <f t="shared" si="9"/>
        <v>2787</v>
      </c>
      <c r="H31" s="18">
        <f t="shared" si="9"/>
        <v>2786</v>
      </c>
      <c r="I31" s="20">
        <f t="shared" si="9"/>
        <v>2825</v>
      </c>
      <c r="J31" s="19">
        <f t="shared" si="9"/>
        <v>2830</v>
      </c>
      <c r="K31" s="18">
        <f t="shared" si="9"/>
        <v>2827.5</v>
      </c>
      <c r="L31" s="20">
        <f t="shared" si="9"/>
        <v>2843</v>
      </c>
      <c r="M31" s="19">
        <f t="shared" si="9"/>
        <v>2848</v>
      </c>
      <c r="N31" s="18">
        <f t="shared" si="9"/>
        <v>2845.5</v>
      </c>
      <c r="O31" s="20">
        <f t="shared" si="9"/>
        <v>2858</v>
      </c>
      <c r="P31" s="19">
        <f t="shared" si="9"/>
        <v>2863</v>
      </c>
      <c r="Q31" s="18">
        <f t="shared" si="9"/>
        <v>2860.5</v>
      </c>
      <c r="R31" s="17">
        <f t="shared" si="9"/>
        <v>2749.5</v>
      </c>
      <c r="S31" s="16">
        <f t="shared" si="9"/>
        <v>1.3042</v>
      </c>
      <c r="T31" s="15">
        <f t="shared" si="9"/>
        <v>1.1489</v>
      </c>
      <c r="U31" s="14">
        <f t="shared" si="9"/>
        <v>153.1</v>
      </c>
      <c r="V31" s="13">
        <f t="shared" si="9"/>
        <v>2090.3976279175854</v>
      </c>
      <c r="W31" s="13">
        <f t="shared" si="9"/>
        <v>2118.9082338629973</v>
      </c>
      <c r="X31" s="13">
        <f t="shared" si="9"/>
        <v>2371.8944099378882</v>
      </c>
      <c r="Y31" s="12">
        <f t="shared" si="9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45964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45964</v>
      </c>
      <c r="C9" s="44">
        <v>3189</v>
      </c>
      <c r="D9" s="43">
        <v>3190</v>
      </c>
      <c r="E9" s="42">
        <f t="shared" ref="E9:E28" si="0">AVERAGE(C9:D9)</f>
        <v>3189.5</v>
      </c>
      <c r="F9" s="44">
        <v>3086</v>
      </c>
      <c r="G9" s="43">
        <v>3087</v>
      </c>
      <c r="H9" s="42">
        <f t="shared" ref="H9:H28" si="1">AVERAGE(F9:G9)</f>
        <v>3086.5</v>
      </c>
      <c r="I9" s="44">
        <v>3040</v>
      </c>
      <c r="J9" s="43">
        <v>3045</v>
      </c>
      <c r="K9" s="42">
        <f t="shared" ref="K9:K28" si="2">AVERAGE(I9:J9)</f>
        <v>3042.5</v>
      </c>
      <c r="L9" s="44">
        <v>2920</v>
      </c>
      <c r="M9" s="43">
        <v>2925</v>
      </c>
      <c r="N9" s="42">
        <f t="shared" ref="N9:N28" si="3">AVERAGE(L9:M9)</f>
        <v>2922.5</v>
      </c>
      <c r="O9" s="44">
        <v>2900</v>
      </c>
      <c r="P9" s="43">
        <v>2905</v>
      </c>
      <c r="Q9" s="42">
        <f t="shared" ref="Q9:Q28" si="4">AVERAGE(O9:P9)</f>
        <v>2902.5</v>
      </c>
      <c r="R9" s="50">
        <v>3190</v>
      </c>
      <c r="S9" s="49">
        <v>1.3142</v>
      </c>
      <c r="T9" s="51">
        <v>1.1516999999999999</v>
      </c>
      <c r="U9" s="48">
        <v>154.18</v>
      </c>
      <c r="V9" s="41">
        <f>D9/S9</f>
        <v>2427.3322173185206</v>
      </c>
      <c r="W9" s="41">
        <f>G9/S9</f>
        <v>2348.9575407091766</v>
      </c>
      <c r="X9" s="47">
        <f t="shared" ref="X9:X28" si="5">R9/T9</f>
        <v>2769.81852913085</v>
      </c>
      <c r="Y9" s="46">
        <v>1.3142</v>
      </c>
    </row>
    <row r="10" spans="1:25" x14ac:dyDescent="0.2">
      <c r="B10" s="45">
        <v>45965</v>
      </c>
      <c r="C10" s="44">
        <v>3240</v>
      </c>
      <c r="D10" s="43">
        <v>3241</v>
      </c>
      <c r="E10" s="42">
        <f t="shared" si="0"/>
        <v>3240.5</v>
      </c>
      <c r="F10" s="44">
        <v>3083</v>
      </c>
      <c r="G10" s="43">
        <v>3085</v>
      </c>
      <c r="H10" s="42">
        <f t="shared" si="1"/>
        <v>3084</v>
      </c>
      <c r="I10" s="44">
        <v>3012</v>
      </c>
      <c r="J10" s="43">
        <v>3017</v>
      </c>
      <c r="K10" s="42">
        <f t="shared" si="2"/>
        <v>3014.5</v>
      </c>
      <c r="L10" s="44">
        <v>2882</v>
      </c>
      <c r="M10" s="43">
        <v>2887</v>
      </c>
      <c r="N10" s="42">
        <f t="shared" si="3"/>
        <v>2884.5</v>
      </c>
      <c r="O10" s="44">
        <v>2862</v>
      </c>
      <c r="P10" s="43">
        <v>2867</v>
      </c>
      <c r="Q10" s="42">
        <f t="shared" si="4"/>
        <v>2864.5</v>
      </c>
      <c r="R10" s="50">
        <v>3241</v>
      </c>
      <c r="S10" s="49">
        <v>1.3068</v>
      </c>
      <c r="T10" s="49">
        <v>1.1489</v>
      </c>
      <c r="U10" s="48">
        <v>153.53</v>
      </c>
      <c r="V10" s="41">
        <f t="shared" ref="V10:V28" si="6">D10/S10</f>
        <v>2480.104071013162</v>
      </c>
      <c r="W10" s="41">
        <f t="shared" ref="W10:W28" si="7">G10/S10</f>
        <v>2360.7284970921337</v>
      </c>
      <c r="X10" s="47">
        <f t="shared" si="5"/>
        <v>2820.9591783445035</v>
      </c>
      <c r="Y10" s="46">
        <v>1.3068</v>
      </c>
    </row>
    <row r="11" spans="1:25" x14ac:dyDescent="0.2">
      <c r="B11" s="45">
        <v>45966</v>
      </c>
      <c r="C11" s="44">
        <v>3188</v>
      </c>
      <c r="D11" s="43">
        <v>3189</v>
      </c>
      <c r="E11" s="42">
        <f t="shared" si="0"/>
        <v>3188.5</v>
      </c>
      <c r="F11" s="44">
        <v>3063</v>
      </c>
      <c r="G11" s="43">
        <v>3065</v>
      </c>
      <c r="H11" s="42">
        <f t="shared" si="1"/>
        <v>3064</v>
      </c>
      <c r="I11" s="44">
        <v>3010</v>
      </c>
      <c r="J11" s="43">
        <v>3015</v>
      </c>
      <c r="K11" s="42">
        <f t="shared" si="2"/>
        <v>3012.5</v>
      </c>
      <c r="L11" s="44">
        <v>2895</v>
      </c>
      <c r="M11" s="43">
        <v>2900</v>
      </c>
      <c r="N11" s="42">
        <f t="shared" si="3"/>
        <v>2897.5</v>
      </c>
      <c r="O11" s="44">
        <v>2875</v>
      </c>
      <c r="P11" s="43">
        <v>2880</v>
      </c>
      <c r="Q11" s="42">
        <f t="shared" si="4"/>
        <v>2877.5</v>
      </c>
      <c r="R11" s="50">
        <v>3189</v>
      </c>
      <c r="S11" s="49">
        <v>1.3042</v>
      </c>
      <c r="T11" s="49">
        <v>1.1491</v>
      </c>
      <c r="U11" s="48">
        <v>153.71</v>
      </c>
      <c r="V11" s="41">
        <f t="shared" si="6"/>
        <v>2445.1771200736084</v>
      </c>
      <c r="W11" s="41">
        <f t="shared" si="7"/>
        <v>2350.0996779635025</v>
      </c>
      <c r="X11" s="47">
        <f t="shared" si="5"/>
        <v>2775.215385954225</v>
      </c>
      <c r="Y11" s="46">
        <v>1.3041</v>
      </c>
    </row>
    <row r="12" spans="1:25" x14ac:dyDescent="0.2">
      <c r="B12" s="45">
        <v>45967</v>
      </c>
      <c r="C12" s="44">
        <v>3184</v>
      </c>
      <c r="D12" s="43">
        <v>3186</v>
      </c>
      <c r="E12" s="42">
        <f t="shared" si="0"/>
        <v>3185</v>
      </c>
      <c r="F12" s="44">
        <v>3068</v>
      </c>
      <c r="G12" s="43">
        <v>3070</v>
      </c>
      <c r="H12" s="42">
        <f t="shared" si="1"/>
        <v>3069</v>
      </c>
      <c r="I12" s="44">
        <v>3023</v>
      </c>
      <c r="J12" s="43">
        <v>3028</v>
      </c>
      <c r="K12" s="42">
        <f t="shared" si="2"/>
        <v>3025.5</v>
      </c>
      <c r="L12" s="44">
        <v>2913</v>
      </c>
      <c r="M12" s="43">
        <v>2918</v>
      </c>
      <c r="N12" s="42">
        <f t="shared" si="3"/>
        <v>2915.5</v>
      </c>
      <c r="O12" s="44">
        <v>2893</v>
      </c>
      <c r="P12" s="43">
        <v>2898</v>
      </c>
      <c r="Q12" s="42">
        <f t="shared" si="4"/>
        <v>2895.5</v>
      </c>
      <c r="R12" s="50">
        <v>3186</v>
      </c>
      <c r="S12" s="49">
        <v>1.31</v>
      </c>
      <c r="T12" s="49">
        <v>1.1531</v>
      </c>
      <c r="U12" s="48">
        <v>153.61000000000001</v>
      </c>
      <c r="V12" s="41">
        <f t="shared" si="6"/>
        <v>2432.06106870229</v>
      </c>
      <c r="W12" s="41">
        <f t="shared" si="7"/>
        <v>2343.5114503816794</v>
      </c>
      <c r="X12" s="47">
        <f t="shared" si="5"/>
        <v>2762.9867314196513</v>
      </c>
      <c r="Y12" s="46">
        <v>1.3098000000000001</v>
      </c>
    </row>
    <row r="13" spans="1:25" x14ac:dyDescent="0.2">
      <c r="B13" s="45">
        <v>45968</v>
      </c>
      <c r="C13" s="44">
        <v>3188</v>
      </c>
      <c r="D13" s="43">
        <v>3190</v>
      </c>
      <c r="E13" s="42">
        <f t="shared" si="0"/>
        <v>3189</v>
      </c>
      <c r="F13" s="44">
        <v>3062</v>
      </c>
      <c r="G13" s="43">
        <v>3063</v>
      </c>
      <c r="H13" s="42">
        <f t="shared" si="1"/>
        <v>3062.5</v>
      </c>
      <c r="I13" s="44">
        <v>3020</v>
      </c>
      <c r="J13" s="43">
        <v>3025</v>
      </c>
      <c r="K13" s="42">
        <f t="shared" si="2"/>
        <v>3022.5</v>
      </c>
      <c r="L13" s="44">
        <v>2943</v>
      </c>
      <c r="M13" s="43">
        <v>2948</v>
      </c>
      <c r="N13" s="42">
        <f t="shared" si="3"/>
        <v>2945.5</v>
      </c>
      <c r="O13" s="44">
        <v>2923</v>
      </c>
      <c r="P13" s="43">
        <v>2928</v>
      </c>
      <c r="Q13" s="42">
        <f t="shared" si="4"/>
        <v>2925.5</v>
      </c>
      <c r="R13" s="50">
        <v>3190</v>
      </c>
      <c r="S13" s="49">
        <v>1.3115000000000001</v>
      </c>
      <c r="T13" s="49">
        <v>1.1556</v>
      </c>
      <c r="U13" s="48">
        <v>153.1</v>
      </c>
      <c r="V13" s="41">
        <f t="shared" si="6"/>
        <v>2432.3293938238658</v>
      </c>
      <c r="W13" s="41">
        <f t="shared" si="7"/>
        <v>2335.4937094929469</v>
      </c>
      <c r="X13" s="47">
        <f t="shared" si="5"/>
        <v>2760.4707511249567</v>
      </c>
      <c r="Y13" s="46">
        <v>1.3112999999999999</v>
      </c>
    </row>
    <row r="14" spans="1:25" x14ac:dyDescent="0.2">
      <c r="B14" s="45">
        <v>45971</v>
      </c>
      <c r="C14" s="44">
        <v>3294</v>
      </c>
      <c r="D14" s="43">
        <v>3296</v>
      </c>
      <c r="E14" s="42">
        <f t="shared" si="0"/>
        <v>3295</v>
      </c>
      <c r="F14" s="44">
        <v>3101</v>
      </c>
      <c r="G14" s="43">
        <v>3101.5</v>
      </c>
      <c r="H14" s="42">
        <f t="shared" si="1"/>
        <v>3101.25</v>
      </c>
      <c r="I14" s="44">
        <v>3027</v>
      </c>
      <c r="J14" s="43">
        <v>3032</v>
      </c>
      <c r="K14" s="42">
        <f t="shared" si="2"/>
        <v>3029.5</v>
      </c>
      <c r="L14" s="44">
        <v>2925</v>
      </c>
      <c r="M14" s="43">
        <v>2930</v>
      </c>
      <c r="N14" s="42">
        <f t="shared" si="3"/>
        <v>2927.5</v>
      </c>
      <c r="O14" s="44">
        <v>2905</v>
      </c>
      <c r="P14" s="43">
        <v>2910</v>
      </c>
      <c r="Q14" s="42">
        <f t="shared" si="4"/>
        <v>2907.5</v>
      </c>
      <c r="R14" s="50">
        <v>3296</v>
      </c>
      <c r="S14" s="49">
        <v>1.3181</v>
      </c>
      <c r="T14" s="49">
        <v>1.1568000000000001</v>
      </c>
      <c r="U14" s="48">
        <v>154.12</v>
      </c>
      <c r="V14" s="41">
        <f t="shared" si="6"/>
        <v>2500.5690008345346</v>
      </c>
      <c r="W14" s="41">
        <f t="shared" si="7"/>
        <v>2353.0081177452394</v>
      </c>
      <c r="X14" s="47">
        <f t="shared" si="5"/>
        <v>2849.2392807745505</v>
      </c>
      <c r="Y14" s="46">
        <v>1.3179000000000001</v>
      </c>
    </row>
    <row r="15" spans="1:25" x14ac:dyDescent="0.2">
      <c r="B15" s="45">
        <v>45972</v>
      </c>
      <c r="C15" s="44">
        <v>3170</v>
      </c>
      <c r="D15" s="43">
        <v>3172</v>
      </c>
      <c r="E15" s="42">
        <f t="shared" si="0"/>
        <v>3171</v>
      </c>
      <c r="F15" s="44">
        <v>3046</v>
      </c>
      <c r="G15" s="43">
        <v>3046.5</v>
      </c>
      <c r="H15" s="42">
        <f t="shared" si="1"/>
        <v>3046.25</v>
      </c>
      <c r="I15" s="44">
        <v>3005</v>
      </c>
      <c r="J15" s="43">
        <v>3010</v>
      </c>
      <c r="K15" s="42">
        <f t="shared" si="2"/>
        <v>3007.5</v>
      </c>
      <c r="L15" s="44">
        <v>2910</v>
      </c>
      <c r="M15" s="43">
        <v>2915</v>
      </c>
      <c r="N15" s="42">
        <f t="shared" si="3"/>
        <v>2912.5</v>
      </c>
      <c r="O15" s="44">
        <v>2890</v>
      </c>
      <c r="P15" s="43">
        <v>2895</v>
      </c>
      <c r="Q15" s="42">
        <f t="shared" si="4"/>
        <v>2892.5</v>
      </c>
      <c r="R15" s="50">
        <v>3172</v>
      </c>
      <c r="S15" s="49">
        <v>1.3143</v>
      </c>
      <c r="T15" s="49">
        <v>1.157</v>
      </c>
      <c r="U15" s="48">
        <v>154.19999999999999</v>
      </c>
      <c r="V15" s="41">
        <f t="shared" si="6"/>
        <v>2413.4520276953513</v>
      </c>
      <c r="W15" s="41">
        <f t="shared" si="7"/>
        <v>2317.9639351746177</v>
      </c>
      <c r="X15" s="47">
        <f t="shared" si="5"/>
        <v>2741.5730337078653</v>
      </c>
      <c r="Y15" s="46">
        <v>1.3143</v>
      </c>
    </row>
    <row r="16" spans="1:25" x14ac:dyDescent="0.2">
      <c r="B16" s="45">
        <v>45973</v>
      </c>
      <c r="C16" s="44">
        <v>3179</v>
      </c>
      <c r="D16" s="43">
        <v>3179.5</v>
      </c>
      <c r="E16" s="42">
        <f t="shared" si="0"/>
        <v>3179.25</v>
      </c>
      <c r="F16" s="44">
        <v>3058</v>
      </c>
      <c r="G16" s="43">
        <v>3058.5</v>
      </c>
      <c r="H16" s="42">
        <f t="shared" si="1"/>
        <v>3058.25</v>
      </c>
      <c r="I16" s="44">
        <v>3028</v>
      </c>
      <c r="J16" s="43">
        <v>3033</v>
      </c>
      <c r="K16" s="42">
        <f t="shared" si="2"/>
        <v>3030.5</v>
      </c>
      <c r="L16" s="44">
        <v>2942</v>
      </c>
      <c r="M16" s="43">
        <v>2947</v>
      </c>
      <c r="N16" s="42">
        <f t="shared" si="3"/>
        <v>2944.5</v>
      </c>
      <c r="O16" s="44">
        <v>2922</v>
      </c>
      <c r="P16" s="43">
        <v>2927</v>
      </c>
      <c r="Q16" s="42">
        <f t="shared" si="4"/>
        <v>2924.5</v>
      </c>
      <c r="R16" s="50">
        <v>3179.5</v>
      </c>
      <c r="S16" s="49">
        <v>1.3118000000000001</v>
      </c>
      <c r="T16" s="49">
        <v>1.1577</v>
      </c>
      <c r="U16" s="48">
        <v>154.81</v>
      </c>
      <c r="V16" s="41">
        <f t="shared" si="6"/>
        <v>2423.7688672053664</v>
      </c>
      <c r="W16" s="41">
        <f t="shared" si="7"/>
        <v>2331.5291965238603</v>
      </c>
      <c r="X16" s="47">
        <f t="shared" si="5"/>
        <v>2746.3937116696902</v>
      </c>
      <c r="Y16" s="46">
        <v>1.3117000000000001</v>
      </c>
    </row>
    <row r="17" spans="2:25" x14ac:dyDescent="0.2">
      <c r="B17" s="45">
        <v>45974</v>
      </c>
      <c r="C17" s="44">
        <v>3178</v>
      </c>
      <c r="D17" s="43">
        <v>3180</v>
      </c>
      <c r="E17" s="42">
        <f t="shared" si="0"/>
        <v>3179</v>
      </c>
      <c r="F17" s="44">
        <v>3068</v>
      </c>
      <c r="G17" s="43">
        <v>3068.5</v>
      </c>
      <c r="H17" s="42">
        <f t="shared" si="1"/>
        <v>3068.25</v>
      </c>
      <c r="I17" s="44">
        <v>3027</v>
      </c>
      <c r="J17" s="43">
        <v>3032</v>
      </c>
      <c r="K17" s="42">
        <f t="shared" si="2"/>
        <v>3029.5</v>
      </c>
      <c r="L17" s="44">
        <v>2935</v>
      </c>
      <c r="M17" s="43">
        <v>2940</v>
      </c>
      <c r="N17" s="42">
        <f t="shared" si="3"/>
        <v>2937.5</v>
      </c>
      <c r="O17" s="44">
        <v>2915</v>
      </c>
      <c r="P17" s="43">
        <v>2920</v>
      </c>
      <c r="Q17" s="42">
        <f t="shared" si="4"/>
        <v>2917.5</v>
      </c>
      <c r="R17" s="50">
        <v>3180</v>
      </c>
      <c r="S17" s="49">
        <v>1.3181</v>
      </c>
      <c r="T17" s="49">
        <v>1.1623000000000001</v>
      </c>
      <c r="U17" s="48">
        <v>154.61000000000001</v>
      </c>
      <c r="V17" s="41">
        <f t="shared" si="6"/>
        <v>2412.5635384265229</v>
      </c>
      <c r="W17" s="41">
        <f t="shared" si="7"/>
        <v>2327.9720810257186</v>
      </c>
      <c r="X17" s="47">
        <f t="shared" si="5"/>
        <v>2735.9545728297339</v>
      </c>
      <c r="Y17" s="46">
        <v>1.3181</v>
      </c>
    </row>
    <row r="18" spans="2:25" x14ac:dyDescent="0.2">
      <c r="B18" s="45">
        <v>45975</v>
      </c>
      <c r="C18" s="44">
        <v>3253</v>
      </c>
      <c r="D18" s="43">
        <v>3255</v>
      </c>
      <c r="E18" s="42">
        <f t="shared" si="0"/>
        <v>3254</v>
      </c>
      <c r="F18" s="44">
        <v>3028</v>
      </c>
      <c r="G18" s="43">
        <v>3030</v>
      </c>
      <c r="H18" s="42">
        <f t="shared" si="1"/>
        <v>3029</v>
      </c>
      <c r="I18" s="44">
        <v>2990</v>
      </c>
      <c r="J18" s="43">
        <v>2995</v>
      </c>
      <c r="K18" s="42">
        <f t="shared" si="2"/>
        <v>2992.5</v>
      </c>
      <c r="L18" s="44">
        <v>2905</v>
      </c>
      <c r="M18" s="43">
        <v>2910</v>
      </c>
      <c r="N18" s="42">
        <f t="shared" si="3"/>
        <v>2907.5</v>
      </c>
      <c r="O18" s="44">
        <v>2885</v>
      </c>
      <c r="P18" s="43">
        <v>2890</v>
      </c>
      <c r="Q18" s="42">
        <f t="shared" si="4"/>
        <v>2887.5</v>
      </c>
      <c r="R18" s="50">
        <v>3255</v>
      </c>
      <c r="S18" s="49">
        <v>1.3180000000000001</v>
      </c>
      <c r="T18" s="49">
        <v>1.1653</v>
      </c>
      <c r="U18" s="48">
        <v>153.81</v>
      </c>
      <c r="V18" s="41">
        <f t="shared" si="6"/>
        <v>2469.6509863429437</v>
      </c>
      <c r="W18" s="41">
        <f t="shared" si="7"/>
        <v>2298.9377845220029</v>
      </c>
      <c r="X18" s="47">
        <f t="shared" si="5"/>
        <v>2793.2721187676993</v>
      </c>
      <c r="Y18" s="46">
        <v>1.3180000000000001</v>
      </c>
    </row>
    <row r="19" spans="2:25" x14ac:dyDescent="0.2">
      <c r="B19" s="45">
        <v>45978</v>
      </c>
      <c r="C19" s="44">
        <v>3229</v>
      </c>
      <c r="D19" s="43">
        <v>3231</v>
      </c>
      <c r="E19" s="42">
        <f t="shared" si="0"/>
        <v>3230</v>
      </c>
      <c r="F19" s="44">
        <v>3023</v>
      </c>
      <c r="G19" s="43">
        <v>3024</v>
      </c>
      <c r="H19" s="42">
        <f t="shared" si="1"/>
        <v>3023.5</v>
      </c>
      <c r="I19" s="44">
        <v>2982</v>
      </c>
      <c r="J19" s="43">
        <v>2987</v>
      </c>
      <c r="K19" s="42">
        <f t="shared" si="2"/>
        <v>2984.5</v>
      </c>
      <c r="L19" s="44">
        <v>2895</v>
      </c>
      <c r="M19" s="43">
        <v>2900</v>
      </c>
      <c r="N19" s="42">
        <f t="shared" si="3"/>
        <v>2897.5</v>
      </c>
      <c r="O19" s="44">
        <v>2875</v>
      </c>
      <c r="P19" s="43">
        <v>2880</v>
      </c>
      <c r="Q19" s="42">
        <f t="shared" si="4"/>
        <v>2877.5</v>
      </c>
      <c r="R19" s="50">
        <v>3231</v>
      </c>
      <c r="S19" s="49">
        <v>1.3180000000000001</v>
      </c>
      <c r="T19" s="49">
        <v>1.1598999999999999</v>
      </c>
      <c r="U19" s="48">
        <v>154.85</v>
      </c>
      <c r="V19" s="41">
        <f t="shared" si="6"/>
        <v>2451.4415781487101</v>
      </c>
      <c r="W19" s="41">
        <f t="shared" si="7"/>
        <v>2294.3854324734443</v>
      </c>
      <c r="X19" s="47">
        <f t="shared" si="5"/>
        <v>2785.5849642210537</v>
      </c>
      <c r="Y19" s="46">
        <v>1.3180000000000001</v>
      </c>
    </row>
    <row r="20" spans="2:25" x14ac:dyDescent="0.2">
      <c r="B20" s="45">
        <v>45979</v>
      </c>
      <c r="C20" s="44">
        <v>3123</v>
      </c>
      <c r="D20" s="43">
        <v>3125</v>
      </c>
      <c r="E20" s="42">
        <f t="shared" si="0"/>
        <v>3124</v>
      </c>
      <c r="F20" s="44">
        <v>2972</v>
      </c>
      <c r="G20" s="43">
        <v>2972.5</v>
      </c>
      <c r="H20" s="42">
        <f t="shared" si="1"/>
        <v>2972.25</v>
      </c>
      <c r="I20" s="44">
        <v>2937</v>
      </c>
      <c r="J20" s="43">
        <v>2942</v>
      </c>
      <c r="K20" s="42">
        <f t="shared" si="2"/>
        <v>2939.5</v>
      </c>
      <c r="L20" s="44">
        <v>2853</v>
      </c>
      <c r="M20" s="43">
        <v>2858</v>
      </c>
      <c r="N20" s="42">
        <f t="shared" si="3"/>
        <v>2855.5</v>
      </c>
      <c r="O20" s="44">
        <v>2833</v>
      </c>
      <c r="P20" s="43">
        <v>2838</v>
      </c>
      <c r="Q20" s="42">
        <f t="shared" si="4"/>
        <v>2835.5</v>
      </c>
      <c r="R20" s="50">
        <v>3125</v>
      </c>
      <c r="S20" s="49">
        <v>1.3152999999999999</v>
      </c>
      <c r="T20" s="49">
        <v>1.1592</v>
      </c>
      <c r="U20" s="48">
        <v>155.19</v>
      </c>
      <c r="V20" s="41">
        <f t="shared" si="6"/>
        <v>2375.8838287843078</v>
      </c>
      <c r="W20" s="41">
        <f t="shared" si="7"/>
        <v>2259.9406979396335</v>
      </c>
      <c r="X20" s="47">
        <f t="shared" si="5"/>
        <v>2695.8247066942718</v>
      </c>
      <c r="Y20" s="46">
        <v>1.3152999999999999</v>
      </c>
    </row>
    <row r="21" spans="2:25" x14ac:dyDescent="0.2">
      <c r="B21" s="45">
        <v>45980</v>
      </c>
      <c r="C21" s="44">
        <v>3158</v>
      </c>
      <c r="D21" s="43">
        <v>3160</v>
      </c>
      <c r="E21" s="42">
        <f t="shared" si="0"/>
        <v>3159</v>
      </c>
      <c r="F21" s="44">
        <v>3005.5</v>
      </c>
      <c r="G21" s="43">
        <v>3006</v>
      </c>
      <c r="H21" s="42">
        <f t="shared" si="1"/>
        <v>3005.75</v>
      </c>
      <c r="I21" s="44">
        <v>2973</v>
      </c>
      <c r="J21" s="43">
        <v>2978</v>
      </c>
      <c r="K21" s="42">
        <f t="shared" si="2"/>
        <v>2975.5</v>
      </c>
      <c r="L21" s="44">
        <v>2893</v>
      </c>
      <c r="M21" s="43">
        <v>2898</v>
      </c>
      <c r="N21" s="42">
        <f t="shared" si="3"/>
        <v>2895.5</v>
      </c>
      <c r="O21" s="44">
        <v>2873</v>
      </c>
      <c r="P21" s="43">
        <v>2878</v>
      </c>
      <c r="Q21" s="42">
        <f t="shared" si="4"/>
        <v>2875.5</v>
      </c>
      <c r="R21" s="50">
        <v>3160</v>
      </c>
      <c r="S21" s="49">
        <v>1.3118000000000001</v>
      </c>
      <c r="T21" s="49">
        <v>1.1578999999999999</v>
      </c>
      <c r="U21" s="48">
        <v>156.25</v>
      </c>
      <c r="V21" s="41">
        <f t="shared" si="6"/>
        <v>2408.9037963104129</v>
      </c>
      <c r="W21" s="41">
        <f t="shared" si="7"/>
        <v>2291.5078518066775</v>
      </c>
      <c r="X21" s="47">
        <f t="shared" si="5"/>
        <v>2729.0785041886174</v>
      </c>
      <c r="Y21" s="46">
        <v>1.3118000000000001</v>
      </c>
    </row>
    <row r="22" spans="2:25" x14ac:dyDescent="0.2">
      <c r="B22" s="45">
        <v>45981</v>
      </c>
      <c r="C22" s="44">
        <v>3139</v>
      </c>
      <c r="D22" s="43">
        <v>3140</v>
      </c>
      <c r="E22" s="42">
        <f t="shared" si="0"/>
        <v>3139.5</v>
      </c>
      <c r="F22" s="44">
        <v>3013</v>
      </c>
      <c r="G22" s="43">
        <v>3014</v>
      </c>
      <c r="H22" s="42">
        <f t="shared" si="1"/>
        <v>3013.5</v>
      </c>
      <c r="I22" s="44">
        <v>2985</v>
      </c>
      <c r="J22" s="43">
        <v>2990</v>
      </c>
      <c r="K22" s="42">
        <f t="shared" si="2"/>
        <v>2987.5</v>
      </c>
      <c r="L22" s="44">
        <v>2903</v>
      </c>
      <c r="M22" s="43">
        <v>2908</v>
      </c>
      <c r="N22" s="42">
        <f t="shared" si="3"/>
        <v>2905.5</v>
      </c>
      <c r="O22" s="44">
        <v>2883</v>
      </c>
      <c r="P22" s="43">
        <v>2888</v>
      </c>
      <c r="Q22" s="42">
        <f t="shared" si="4"/>
        <v>2885.5</v>
      </c>
      <c r="R22" s="50">
        <v>3140</v>
      </c>
      <c r="S22" s="49">
        <v>1.3057000000000001</v>
      </c>
      <c r="T22" s="49">
        <v>1.1511</v>
      </c>
      <c r="U22" s="48">
        <v>157.71</v>
      </c>
      <c r="V22" s="41">
        <f t="shared" si="6"/>
        <v>2404.8403155395572</v>
      </c>
      <c r="W22" s="41">
        <f t="shared" si="7"/>
        <v>2308.3403538331927</v>
      </c>
      <c r="X22" s="47">
        <f t="shared" si="5"/>
        <v>2727.8255581617582</v>
      </c>
      <c r="Y22" s="46">
        <v>1.3059000000000001</v>
      </c>
    </row>
    <row r="23" spans="2:25" x14ac:dyDescent="0.2">
      <c r="B23" s="45">
        <v>45982</v>
      </c>
      <c r="C23" s="44">
        <v>3117</v>
      </c>
      <c r="D23" s="43">
        <v>3119</v>
      </c>
      <c r="E23" s="42">
        <f t="shared" si="0"/>
        <v>3118</v>
      </c>
      <c r="F23" s="44">
        <v>2978</v>
      </c>
      <c r="G23" s="43">
        <v>2978.5</v>
      </c>
      <c r="H23" s="42">
        <f t="shared" si="1"/>
        <v>2978.25</v>
      </c>
      <c r="I23" s="44">
        <v>2957</v>
      </c>
      <c r="J23" s="43">
        <v>2962</v>
      </c>
      <c r="K23" s="42">
        <f t="shared" si="2"/>
        <v>2959.5</v>
      </c>
      <c r="L23" s="44">
        <v>2897</v>
      </c>
      <c r="M23" s="43">
        <v>2902</v>
      </c>
      <c r="N23" s="42">
        <f t="shared" si="3"/>
        <v>2899.5</v>
      </c>
      <c r="O23" s="44">
        <v>2877</v>
      </c>
      <c r="P23" s="43">
        <v>2882</v>
      </c>
      <c r="Q23" s="42">
        <f t="shared" si="4"/>
        <v>2879.5</v>
      </c>
      <c r="R23" s="50">
        <v>3119</v>
      </c>
      <c r="S23" s="49">
        <v>1.3089</v>
      </c>
      <c r="T23" s="49">
        <v>1.1525000000000001</v>
      </c>
      <c r="U23" s="48">
        <v>156.76</v>
      </c>
      <c r="V23" s="41">
        <f t="shared" si="6"/>
        <v>2382.9169531667812</v>
      </c>
      <c r="W23" s="41">
        <f t="shared" si="7"/>
        <v>2275.5749102299642</v>
      </c>
      <c r="X23" s="47">
        <f t="shared" si="5"/>
        <v>2706.2906724511927</v>
      </c>
      <c r="Y23" s="46">
        <v>1.3089</v>
      </c>
    </row>
    <row r="24" spans="2:25" x14ac:dyDescent="0.2">
      <c r="B24" s="45">
        <v>45985</v>
      </c>
      <c r="C24" s="44">
        <v>3135.5</v>
      </c>
      <c r="D24" s="43">
        <v>3136.5</v>
      </c>
      <c r="E24" s="42">
        <f t="shared" si="0"/>
        <v>3136</v>
      </c>
      <c r="F24" s="44">
        <v>2992</v>
      </c>
      <c r="G24" s="43">
        <v>2992.5</v>
      </c>
      <c r="H24" s="42">
        <f t="shared" si="1"/>
        <v>2992.25</v>
      </c>
      <c r="I24" s="44">
        <v>2972</v>
      </c>
      <c r="J24" s="43">
        <v>2977</v>
      </c>
      <c r="K24" s="42">
        <f t="shared" si="2"/>
        <v>2974.5</v>
      </c>
      <c r="L24" s="44">
        <v>2932</v>
      </c>
      <c r="M24" s="43">
        <v>2937</v>
      </c>
      <c r="N24" s="42">
        <f t="shared" si="3"/>
        <v>2934.5</v>
      </c>
      <c r="O24" s="44">
        <v>2912</v>
      </c>
      <c r="P24" s="43">
        <v>2917</v>
      </c>
      <c r="Q24" s="42">
        <f t="shared" si="4"/>
        <v>2914.5</v>
      </c>
      <c r="R24" s="50">
        <v>3136.5</v>
      </c>
      <c r="S24" s="49">
        <v>1.3111999999999999</v>
      </c>
      <c r="T24" s="49">
        <v>1.1547000000000001</v>
      </c>
      <c r="U24" s="48">
        <v>156.55000000000001</v>
      </c>
      <c r="V24" s="41">
        <f t="shared" si="6"/>
        <v>2392.0835875533862</v>
      </c>
      <c r="W24" s="41">
        <f t="shared" si="7"/>
        <v>2282.2605247101892</v>
      </c>
      <c r="X24" s="47">
        <f t="shared" si="5"/>
        <v>2716.2899454403741</v>
      </c>
      <c r="Y24" s="46">
        <v>1.3111999999999999</v>
      </c>
    </row>
    <row r="25" spans="2:25" x14ac:dyDescent="0.2">
      <c r="B25" s="45">
        <v>45986</v>
      </c>
      <c r="C25" s="44">
        <v>3116</v>
      </c>
      <c r="D25" s="43">
        <v>3118</v>
      </c>
      <c r="E25" s="42">
        <f t="shared" si="0"/>
        <v>3117</v>
      </c>
      <c r="F25" s="44">
        <v>3000</v>
      </c>
      <c r="G25" s="43">
        <v>3002</v>
      </c>
      <c r="H25" s="42">
        <f t="shared" si="1"/>
        <v>3001</v>
      </c>
      <c r="I25" s="44">
        <v>2985</v>
      </c>
      <c r="J25" s="43">
        <v>2990</v>
      </c>
      <c r="K25" s="42">
        <f t="shared" si="2"/>
        <v>2987.5</v>
      </c>
      <c r="L25" s="44">
        <v>2945</v>
      </c>
      <c r="M25" s="43">
        <v>2950</v>
      </c>
      <c r="N25" s="42">
        <f t="shared" si="3"/>
        <v>2947.5</v>
      </c>
      <c r="O25" s="44">
        <v>2925</v>
      </c>
      <c r="P25" s="43">
        <v>2930</v>
      </c>
      <c r="Q25" s="42">
        <f t="shared" si="4"/>
        <v>2927.5</v>
      </c>
      <c r="R25" s="50">
        <v>3118</v>
      </c>
      <c r="S25" s="49">
        <v>1.3136000000000001</v>
      </c>
      <c r="T25" s="49">
        <v>1.1544000000000001</v>
      </c>
      <c r="U25" s="48">
        <v>156.30000000000001</v>
      </c>
      <c r="V25" s="41">
        <f t="shared" si="6"/>
        <v>2373.6297198538364</v>
      </c>
      <c r="W25" s="41">
        <f t="shared" si="7"/>
        <v>2285.3227771010961</v>
      </c>
      <c r="X25" s="47">
        <f t="shared" si="5"/>
        <v>2700.9702009702009</v>
      </c>
      <c r="Y25" s="46">
        <v>1.3136000000000001</v>
      </c>
    </row>
    <row r="26" spans="2:25" x14ac:dyDescent="0.2">
      <c r="B26" s="45">
        <v>45987</v>
      </c>
      <c r="C26" s="44">
        <v>3193</v>
      </c>
      <c r="D26" s="43">
        <v>3194</v>
      </c>
      <c r="E26" s="42">
        <f t="shared" si="0"/>
        <v>3193.5</v>
      </c>
      <c r="F26" s="44">
        <v>3030</v>
      </c>
      <c r="G26" s="43">
        <v>3032</v>
      </c>
      <c r="H26" s="42">
        <f t="shared" si="1"/>
        <v>3031</v>
      </c>
      <c r="I26" s="44">
        <v>3007</v>
      </c>
      <c r="J26" s="43">
        <v>3012</v>
      </c>
      <c r="K26" s="42">
        <f t="shared" si="2"/>
        <v>3009.5</v>
      </c>
      <c r="L26" s="44">
        <v>2948</v>
      </c>
      <c r="M26" s="43">
        <v>2953</v>
      </c>
      <c r="N26" s="42">
        <f t="shared" si="3"/>
        <v>2950.5</v>
      </c>
      <c r="O26" s="44">
        <v>2928</v>
      </c>
      <c r="P26" s="43">
        <v>2933</v>
      </c>
      <c r="Q26" s="42">
        <f t="shared" si="4"/>
        <v>2930.5</v>
      </c>
      <c r="R26" s="50">
        <v>3194</v>
      </c>
      <c r="S26" s="49">
        <v>1.3185</v>
      </c>
      <c r="T26" s="49">
        <v>1.1573</v>
      </c>
      <c r="U26" s="48">
        <v>156.47999999999999</v>
      </c>
      <c r="V26" s="41">
        <f t="shared" si="6"/>
        <v>2422.4497535077739</v>
      </c>
      <c r="W26" s="41">
        <f t="shared" si="7"/>
        <v>2299.5828593098217</v>
      </c>
      <c r="X26" s="47">
        <f t="shared" si="5"/>
        <v>2759.872116132377</v>
      </c>
      <c r="Y26" s="46">
        <v>1.3185</v>
      </c>
    </row>
    <row r="27" spans="2:25" x14ac:dyDescent="0.2">
      <c r="B27" s="45">
        <v>45988</v>
      </c>
      <c r="C27" s="44">
        <v>3190</v>
      </c>
      <c r="D27" s="43">
        <v>3191</v>
      </c>
      <c r="E27" s="42">
        <f t="shared" si="0"/>
        <v>3190.5</v>
      </c>
      <c r="F27" s="44">
        <v>3024</v>
      </c>
      <c r="G27" s="43">
        <v>3025</v>
      </c>
      <c r="H27" s="42">
        <f t="shared" si="1"/>
        <v>3024.5</v>
      </c>
      <c r="I27" s="44">
        <v>2998</v>
      </c>
      <c r="J27" s="43">
        <v>3003</v>
      </c>
      <c r="K27" s="42">
        <f t="shared" si="2"/>
        <v>3000.5</v>
      </c>
      <c r="L27" s="44">
        <v>2923</v>
      </c>
      <c r="M27" s="43">
        <v>2928</v>
      </c>
      <c r="N27" s="42">
        <f t="shared" si="3"/>
        <v>2925.5</v>
      </c>
      <c r="O27" s="44">
        <v>2903</v>
      </c>
      <c r="P27" s="43">
        <v>2908</v>
      </c>
      <c r="Q27" s="42">
        <f t="shared" si="4"/>
        <v>2905.5</v>
      </c>
      <c r="R27" s="50">
        <v>3191</v>
      </c>
      <c r="S27" s="49">
        <v>1.3233999999999999</v>
      </c>
      <c r="T27" s="49">
        <v>1.1583000000000001</v>
      </c>
      <c r="U27" s="48">
        <v>156.38</v>
      </c>
      <c r="V27" s="41">
        <f t="shared" si="6"/>
        <v>2411.213540879553</v>
      </c>
      <c r="W27" s="41">
        <f t="shared" si="7"/>
        <v>2285.7790539519419</v>
      </c>
      <c r="X27" s="47">
        <f t="shared" si="5"/>
        <v>2754.8994215660878</v>
      </c>
      <c r="Y27" s="46">
        <v>1.3233999999999999</v>
      </c>
    </row>
    <row r="28" spans="2:25" x14ac:dyDescent="0.2">
      <c r="B28" s="45">
        <v>45989</v>
      </c>
      <c r="C28" s="44">
        <v>3254.5</v>
      </c>
      <c r="D28" s="43">
        <v>3255</v>
      </c>
      <c r="E28" s="42">
        <f t="shared" si="0"/>
        <v>3254.75</v>
      </c>
      <c r="F28" s="44">
        <v>3044</v>
      </c>
      <c r="G28" s="43">
        <v>3046</v>
      </c>
      <c r="H28" s="42">
        <f t="shared" si="1"/>
        <v>3045</v>
      </c>
      <c r="I28" s="44">
        <v>3018</v>
      </c>
      <c r="J28" s="43">
        <v>3023</v>
      </c>
      <c r="K28" s="42">
        <f t="shared" si="2"/>
        <v>3020.5</v>
      </c>
      <c r="L28" s="44">
        <v>2958</v>
      </c>
      <c r="M28" s="43">
        <v>2963</v>
      </c>
      <c r="N28" s="42">
        <f t="shared" si="3"/>
        <v>2960.5</v>
      </c>
      <c r="O28" s="44">
        <v>2938</v>
      </c>
      <c r="P28" s="43">
        <v>2943</v>
      </c>
      <c r="Q28" s="42">
        <f t="shared" si="4"/>
        <v>2940.5</v>
      </c>
      <c r="R28" s="50">
        <v>3255</v>
      </c>
      <c r="S28" s="49">
        <v>1.3219000000000001</v>
      </c>
      <c r="T28" s="49">
        <v>1.1567000000000001</v>
      </c>
      <c r="U28" s="48">
        <v>156.12</v>
      </c>
      <c r="V28" s="41">
        <f t="shared" si="6"/>
        <v>2462.3647779711023</v>
      </c>
      <c r="W28" s="41">
        <f t="shared" si="7"/>
        <v>2304.2590211059837</v>
      </c>
      <c r="X28" s="47">
        <f t="shared" si="5"/>
        <v>2814.0399412120687</v>
      </c>
      <c r="Y28" s="46">
        <v>1.3219000000000001</v>
      </c>
    </row>
    <row r="29" spans="2:25" x14ac:dyDescent="0.2">
      <c r="B29" s="40" t="s">
        <v>11</v>
      </c>
      <c r="C29" s="39">
        <f>ROUND(AVERAGE(C9:C28),2)</f>
        <v>3185.9</v>
      </c>
      <c r="D29" s="38">
        <f>ROUND(AVERAGE(D9:D28),2)</f>
        <v>3187.4</v>
      </c>
      <c r="E29" s="37">
        <f>ROUND(AVERAGE(C29:D29),2)</f>
        <v>3186.65</v>
      </c>
      <c r="F29" s="39">
        <f>ROUND(AVERAGE(F9:F28),2)</f>
        <v>3037.23</v>
      </c>
      <c r="G29" s="38">
        <f>ROUND(AVERAGE(G9:G28),2)</f>
        <v>3038.38</v>
      </c>
      <c r="H29" s="37">
        <f>ROUND(AVERAGE(F29:G29),2)</f>
        <v>3037.81</v>
      </c>
      <c r="I29" s="39">
        <f>ROUND(AVERAGE(I9:I28),2)</f>
        <v>2999.8</v>
      </c>
      <c r="J29" s="38">
        <f>ROUND(AVERAGE(J9:J28),2)</f>
        <v>3004.8</v>
      </c>
      <c r="K29" s="37">
        <f>ROUND(AVERAGE(I29:J29),2)</f>
        <v>3002.3</v>
      </c>
      <c r="L29" s="39">
        <f>ROUND(AVERAGE(L9:L28),2)</f>
        <v>2915.85</v>
      </c>
      <c r="M29" s="38">
        <f>ROUND(AVERAGE(M9:M28),2)</f>
        <v>2920.85</v>
      </c>
      <c r="N29" s="37">
        <f>ROUND(AVERAGE(L29:M29),2)</f>
        <v>2918.35</v>
      </c>
      <c r="O29" s="39">
        <f>ROUND(AVERAGE(O9:O28),2)</f>
        <v>2895.85</v>
      </c>
      <c r="P29" s="38">
        <f>ROUND(AVERAGE(P9:P28),2)</f>
        <v>2900.85</v>
      </c>
      <c r="Q29" s="37">
        <f>ROUND(AVERAGE(O29:P29),2)</f>
        <v>2898.35</v>
      </c>
      <c r="R29" s="36">
        <f>ROUND(AVERAGE(R9:R28),2)</f>
        <v>3187.4</v>
      </c>
      <c r="S29" s="35">
        <f>ROUND(AVERAGE(S9:S28),4)</f>
        <v>1.3138000000000001</v>
      </c>
      <c r="T29" s="34">
        <f>ROUND(AVERAGE(T9:T28),4)</f>
        <v>1.1559999999999999</v>
      </c>
      <c r="U29" s="167">
        <f>ROUND(AVERAGE(U9:U28),2)</f>
        <v>155.11000000000001</v>
      </c>
      <c r="V29" s="33">
        <f>AVERAGE(V9:V28)</f>
        <v>2426.1368071575794</v>
      </c>
      <c r="W29" s="33">
        <f>AVERAGE(W9:W28)</f>
        <v>2312.7577736546414</v>
      </c>
      <c r="X29" s="33">
        <f>AVERAGE(X9:X28)</f>
        <v>2757.327966238086</v>
      </c>
      <c r="Y29" s="32">
        <f>AVERAGE(Y9:Y28)</f>
        <v>1.3137350000000001</v>
      </c>
    </row>
    <row r="30" spans="2:25" x14ac:dyDescent="0.2">
      <c r="B30" s="31" t="s">
        <v>12</v>
      </c>
      <c r="C30" s="30">
        <f t="shared" ref="C30:Y30" si="8">MAX(C9:C28)</f>
        <v>3294</v>
      </c>
      <c r="D30" s="29">
        <f t="shared" si="8"/>
        <v>3296</v>
      </c>
      <c r="E30" s="28">
        <f t="shared" si="8"/>
        <v>3295</v>
      </c>
      <c r="F30" s="30">
        <f t="shared" si="8"/>
        <v>3101</v>
      </c>
      <c r="G30" s="29">
        <f t="shared" si="8"/>
        <v>3101.5</v>
      </c>
      <c r="H30" s="28">
        <f t="shared" si="8"/>
        <v>3101.25</v>
      </c>
      <c r="I30" s="30">
        <f t="shared" si="8"/>
        <v>3040</v>
      </c>
      <c r="J30" s="29">
        <f t="shared" si="8"/>
        <v>3045</v>
      </c>
      <c r="K30" s="28">
        <f t="shared" si="8"/>
        <v>3042.5</v>
      </c>
      <c r="L30" s="30">
        <f t="shared" si="8"/>
        <v>2958</v>
      </c>
      <c r="M30" s="29">
        <f t="shared" si="8"/>
        <v>2963</v>
      </c>
      <c r="N30" s="28">
        <f t="shared" si="8"/>
        <v>2960.5</v>
      </c>
      <c r="O30" s="30">
        <f t="shared" si="8"/>
        <v>2938</v>
      </c>
      <c r="P30" s="29">
        <f t="shared" si="8"/>
        <v>2943</v>
      </c>
      <c r="Q30" s="28">
        <f t="shared" si="8"/>
        <v>2940.5</v>
      </c>
      <c r="R30" s="27">
        <f t="shared" si="8"/>
        <v>3296</v>
      </c>
      <c r="S30" s="26">
        <f t="shared" si="8"/>
        <v>1.3233999999999999</v>
      </c>
      <c r="T30" s="25">
        <f t="shared" si="8"/>
        <v>1.1653</v>
      </c>
      <c r="U30" s="24">
        <f t="shared" si="8"/>
        <v>157.71</v>
      </c>
      <c r="V30" s="23">
        <f t="shared" si="8"/>
        <v>2500.5690008345346</v>
      </c>
      <c r="W30" s="23">
        <f t="shared" si="8"/>
        <v>2360.7284970921337</v>
      </c>
      <c r="X30" s="23">
        <f t="shared" si="8"/>
        <v>2849.2392807745505</v>
      </c>
      <c r="Y30" s="22">
        <f t="shared" si="8"/>
        <v>1.3233999999999999</v>
      </c>
    </row>
    <row r="31" spans="2:25" ht="13.5" thickBot="1" x14ac:dyDescent="0.25">
      <c r="B31" s="21" t="s">
        <v>13</v>
      </c>
      <c r="C31" s="20">
        <f t="shared" ref="C31:Y31" si="9">MIN(C9:C28)</f>
        <v>3116</v>
      </c>
      <c r="D31" s="19">
        <f t="shared" si="9"/>
        <v>3118</v>
      </c>
      <c r="E31" s="18">
        <f t="shared" si="9"/>
        <v>3117</v>
      </c>
      <c r="F31" s="20">
        <f t="shared" si="9"/>
        <v>2972</v>
      </c>
      <c r="G31" s="19">
        <f t="shared" si="9"/>
        <v>2972.5</v>
      </c>
      <c r="H31" s="18">
        <f t="shared" si="9"/>
        <v>2972.25</v>
      </c>
      <c r="I31" s="20">
        <f t="shared" si="9"/>
        <v>2937</v>
      </c>
      <c r="J31" s="19">
        <f t="shared" si="9"/>
        <v>2942</v>
      </c>
      <c r="K31" s="18">
        <f t="shared" si="9"/>
        <v>2939.5</v>
      </c>
      <c r="L31" s="20">
        <f t="shared" si="9"/>
        <v>2853</v>
      </c>
      <c r="M31" s="19">
        <f t="shared" si="9"/>
        <v>2858</v>
      </c>
      <c r="N31" s="18">
        <f t="shared" si="9"/>
        <v>2855.5</v>
      </c>
      <c r="O31" s="20">
        <f t="shared" si="9"/>
        <v>2833</v>
      </c>
      <c r="P31" s="19">
        <f t="shared" si="9"/>
        <v>2838</v>
      </c>
      <c r="Q31" s="18">
        <f t="shared" si="9"/>
        <v>2835.5</v>
      </c>
      <c r="R31" s="17">
        <f t="shared" si="9"/>
        <v>3118</v>
      </c>
      <c r="S31" s="16">
        <f t="shared" si="9"/>
        <v>1.3042</v>
      </c>
      <c r="T31" s="15">
        <f t="shared" si="9"/>
        <v>1.1489</v>
      </c>
      <c r="U31" s="14">
        <f t="shared" si="9"/>
        <v>153.1</v>
      </c>
      <c r="V31" s="13">
        <f t="shared" si="9"/>
        <v>2373.6297198538364</v>
      </c>
      <c r="W31" s="13">
        <f t="shared" si="9"/>
        <v>2259.9406979396335</v>
      </c>
      <c r="X31" s="13">
        <f t="shared" si="9"/>
        <v>2695.8247066942718</v>
      </c>
      <c r="Y31" s="12">
        <f t="shared" si="9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45964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45964</v>
      </c>
      <c r="C9" s="44">
        <v>1994.5</v>
      </c>
      <c r="D9" s="43">
        <v>1995</v>
      </c>
      <c r="E9" s="42">
        <f t="shared" ref="E9:E28" si="0">AVERAGE(C9:D9)</f>
        <v>1994.75</v>
      </c>
      <c r="F9" s="44">
        <v>2027.5</v>
      </c>
      <c r="G9" s="43">
        <v>2028</v>
      </c>
      <c r="H9" s="42">
        <f t="shared" ref="H9:H28" si="1">AVERAGE(F9:G9)</f>
        <v>2027.75</v>
      </c>
      <c r="I9" s="44">
        <v>2105</v>
      </c>
      <c r="J9" s="43">
        <v>2110</v>
      </c>
      <c r="K9" s="42">
        <f t="shared" ref="K9:K28" si="2">AVERAGE(I9:J9)</f>
        <v>2107.5</v>
      </c>
      <c r="L9" s="44">
        <v>2165</v>
      </c>
      <c r="M9" s="43">
        <v>2170</v>
      </c>
      <c r="N9" s="42">
        <f t="shared" ref="N9:N28" si="3">AVERAGE(L9:M9)</f>
        <v>2167.5</v>
      </c>
      <c r="O9" s="44">
        <v>2210</v>
      </c>
      <c r="P9" s="43">
        <v>2215</v>
      </c>
      <c r="Q9" s="42">
        <f t="shared" ref="Q9:Q28" si="4">AVERAGE(O9:P9)</f>
        <v>2212.5</v>
      </c>
      <c r="R9" s="50">
        <v>1995</v>
      </c>
      <c r="S9" s="49">
        <v>1.3142</v>
      </c>
      <c r="T9" s="51">
        <v>1.1516999999999999</v>
      </c>
      <c r="U9" s="48">
        <v>154.18</v>
      </c>
      <c r="V9" s="41">
        <v>1518.03</v>
      </c>
      <c r="W9" s="41">
        <v>1543.14</v>
      </c>
      <c r="X9" s="47">
        <f t="shared" ref="X9:X28" si="5">R9/T9</f>
        <v>1732.2219327949988</v>
      </c>
      <c r="Y9" s="46">
        <v>1.3142</v>
      </c>
    </row>
    <row r="10" spans="1:25" x14ac:dyDescent="0.2">
      <c r="B10" s="45">
        <v>45965</v>
      </c>
      <c r="C10" s="44">
        <v>1988</v>
      </c>
      <c r="D10" s="43">
        <v>1990</v>
      </c>
      <c r="E10" s="42">
        <f t="shared" si="0"/>
        <v>1989</v>
      </c>
      <c r="F10" s="44">
        <v>2023</v>
      </c>
      <c r="G10" s="43">
        <v>2024</v>
      </c>
      <c r="H10" s="42">
        <f t="shared" si="1"/>
        <v>2023.5</v>
      </c>
      <c r="I10" s="44">
        <v>2100</v>
      </c>
      <c r="J10" s="43">
        <v>2105</v>
      </c>
      <c r="K10" s="42">
        <f t="shared" si="2"/>
        <v>2102.5</v>
      </c>
      <c r="L10" s="44">
        <v>2160</v>
      </c>
      <c r="M10" s="43">
        <v>2165</v>
      </c>
      <c r="N10" s="42">
        <f t="shared" si="3"/>
        <v>2162.5</v>
      </c>
      <c r="O10" s="44">
        <v>2205</v>
      </c>
      <c r="P10" s="43">
        <v>2210</v>
      </c>
      <c r="Q10" s="42">
        <f t="shared" si="4"/>
        <v>2207.5</v>
      </c>
      <c r="R10" s="50">
        <v>1990</v>
      </c>
      <c r="S10" s="49">
        <v>1.3068</v>
      </c>
      <c r="T10" s="49">
        <v>1.1489</v>
      </c>
      <c r="U10" s="48">
        <v>153.53</v>
      </c>
      <c r="V10" s="41">
        <v>1522.8</v>
      </c>
      <c r="W10" s="41">
        <v>1548.82</v>
      </c>
      <c r="X10" s="47">
        <f t="shared" si="5"/>
        <v>1732.0915658455913</v>
      </c>
      <c r="Y10" s="46">
        <v>1.3068</v>
      </c>
    </row>
    <row r="11" spans="1:25" x14ac:dyDescent="0.2">
      <c r="B11" s="45">
        <v>45966</v>
      </c>
      <c r="C11" s="44">
        <v>2002</v>
      </c>
      <c r="D11" s="43">
        <v>2003</v>
      </c>
      <c r="E11" s="42">
        <f t="shared" si="0"/>
        <v>2002.5</v>
      </c>
      <c r="F11" s="44">
        <v>2028.5</v>
      </c>
      <c r="G11" s="43">
        <v>2029</v>
      </c>
      <c r="H11" s="42">
        <f t="shared" si="1"/>
        <v>2028.75</v>
      </c>
      <c r="I11" s="44">
        <v>2107</v>
      </c>
      <c r="J11" s="43">
        <v>2112</v>
      </c>
      <c r="K11" s="42">
        <f t="shared" si="2"/>
        <v>2109.5</v>
      </c>
      <c r="L11" s="44">
        <v>2168</v>
      </c>
      <c r="M11" s="43">
        <v>2173</v>
      </c>
      <c r="N11" s="42">
        <f t="shared" si="3"/>
        <v>2170.5</v>
      </c>
      <c r="O11" s="44">
        <v>2213</v>
      </c>
      <c r="P11" s="43">
        <v>2218</v>
      </c>
      <c r="Q11" s="42">
        <f t="shared" si="4"/>
        <v>2215.5</v>
      </c>
      <c r="R11" s="50">
        <v>2003</v>
      </c>
      <c r="S11" s="49">
        <v>1.3042</v>
      </c>
      <c r="T11" s="49">
        <v>1.1491</v>
      </c>
      <c r="U11" s="48">
        <v>153.71</v>
      </c>
      <c r="V11" s="41">
        <v>1535.81</v>
      </c>
      <c r="W11" s="41">
        <v>1555.86</v>
      </c>
      <c r="X11" s="47">
        <f t="shared" si="5"/>
        <v>1743.1032982334</v>
      </c>
      <c r="Y11" s="46">
        <v>1.3041</v>
      </c>
    </row>
    <row r="12" spans="1:25" x14ac:dyDescent="0.2">
      <c r="B12" s="45">
        <v>45967</v>
      </c>
      <c r="C12" s="44">
        <v>1999.5</v>
      </c>
      <c r="D12" s="43">
        <v>2000.5</v>
      </c>
      <c r="E12" s="42">
        <f t="shared" si="0"/>
        <v>2000</v>
      </c>
      <c r="F12" s="44">
        <v>2026</v>
      </c>
      <c r="G12" s="43">
        <v>2028</v>
      </c>
      <c r="H12" s="42">
        <f t="shared" si="1"/>
        <v>2027</v>
      </c>
      <c r="I12" s="44">
        <v>2105</v>
      </c>
      <c r="J12" s="43">
        <v>2110</v>
      </c>
      <c r="K12" s="42">
        <f t="shared" si="2"/>
        <v>2107.5</v>
      </c>
      <c r="L12" s="44">
        <v>2167</v>
      </c>
      <c r="M12" s="43">
        <v>2172</v>
      </c>
      <c r="N12" s="42">
        <f t="shared" si="3"/>
        <v>2169.5</v>
      </c>
      <c r="O12" s="44">
        <v>2212</v>
      </c>
      <c r="P12" s="43">
        <v>2217</v>
      </c>
      <c r="Q12" s="42">
        <f t="shared" si="4"/>
        <v>2214.5</v>
      </c>
      <c r="R12" s="50">
        <v>2000.5</v>
      </c>
      <c r="S12" s="49">
        <v>1.31</v>
      </c>
      <c r="T12" s="49">
        <v>1.1531</v>
      </c>
      <c r="U12" s="48">
        <v>153.61000000000001</v>
      </c>
      <c r="V12" s="41">
        <v>1527.1</v>
      </c>
      <c r="W12" s="41">
        <v>1548.33</v>
      </c>
      <c r="X12" s="47">
        <f t="shared" si="5"/>
        <v>1734.8885612696211</v>
      </c>
      <c r="Y12" s="46">
        <v>1.3098000000000001</v>
      </c>
    </row>
    <row r="13" spans="1:25" x14ac:dyDescent="0.2">
      <c r="B13" s="45">
        <v>45968</v>
      </c>
      <c r="C13" s="44">
        <v>2043</v>
      </c>
      <c r="D13" s="43">
        <v>2045</v>
      </c>
      <c r="E13" s="42">
        <f t="shared" si="0"/>
        <v>2044</v>
      </c>
      <c r="F13" s="44">
        <v>2051.5</v>
      </c>
      <c r="G13" s="43">
        <v>2052.5</v>
      </c>
      <c r="H13" s="42">
        <f t="shared" si="1"/>
        <v>2052</v>
      </c>
      <c r="I13" s="44">
        <v>2123</v>
      </c>
      <c r="J13" s="43">
        <v>2128</v>
      </c>
      <c r="K13" s="42">
        <f t="shared" si="2"/>
        <v>2125.5</v>
      </c>
      <c r="L13" s="44">
        <v>2183</v>
      </c>
      <c r="M13" s="43">
        <v>2188</v>
      </c>
      <c r="N13" s="42">
        <f t="shared" si="3"/>
        <v>2185.5</v>
      </c>
      <c r="O13" s="44">
        <v>2228</v>
      </c>
      <c r="P13" s="43">
        <v>2233</v>
      </c>
      <c r="Q13" s="42">
        <f t="shared" si="4"/>
        <v>2230.5</v>
      </c>
      <c r="R13" s="50">
        <v>2045</v>
      </c>
      <c r="S13" s="49">
        <v>1.3115000000000001</v>
      </c>
      <c r="T13" s="49">
        <v>1.1556</v>
      </c>
      <c r="U13" s="48">
        <v>153.1</v>
      </c>
      <c r="V13" s="41">
        <v>1559.28</v>
      </c>
      <c r="W13" s="41">
        <v>1565.24</v>
      </c>
      <c r="X13" s="47">
        <f t="shared" si="5"/>
        <v>1769.643475250952</v>
      </c>
      <c r="Y13" s="46">
        <v>1.3112999999999999</v>
      </c>
    </row>
    <row r="14" spans="1:25" x14ac:dyDescent="0.2">
      <c r="B14" s="45">
        <v>45971</v>
      </c>
      <c r="C14" s="44">
        <v>2042.5</v>
      </c>
      <c r="D14" s="43">
        <v>2043.5</v>
      </c>
      <c r="E14" s="42">
        <f t="shared" si="0"/>
        <v>2043</v>
      </c>
      <c r="F14" s="44">
        <v>2061.5</v>
      </c>
      <c r="G14" s="43">
        <v>2062</v>
      </c>
      <c r="H14" s="42">
        <f t="shared" si="1"/>
        <v>2061.75</v>
      </c>
      <c r="I14" s="44">
        <v>2128</v>
      </c>
      <c r="J14" s="43">
        <v>2133</v>
      </c>
      <c r="K14" s="42">
        <f t="shared" si="2"/>
        <v>2130.5</v>
      </c>
      <c r="L14" s="44">
        <v>2188</v>
      </c>
      <c r="M14" s="43">
        <v>2193</v>
      </c>
      <c r="N14" s="42">
        <f t="shared" si="3"/>
        <v>2190.5</v>
      </c>
      <c r="O14" s="44">
        <v>2233</v>
      </c>
      <c r="P14" s="43">
        <v>2238</v>
      </c>
      <c r="Q14" s="42">
        <f t="shared" si="4"/>
        <v>2235.5</v>
      </c>
      <c r="R14" s="50">
        <v>2043.5</v>
      </c>
      <c r="S14" s="49">
        <v>1.3181</v>
      </c>
      <c r="T14" s="49">
        <v>1.1568000000000001</v>
      </c>
      <c r="U14" s="48">
        <v>154.12</v>
      </c>
      <c r="V14" s="41">
        <v>1550.34</v>
      </c>
      <c r="W14" s="41">
        <v>1564.61</v>
      </c>
      <c r="X14" s="47">
        <f t="shared" si="5"/>
        <v>1766.5110650069155</v>
      </c>
      <c r="Y14" s="46">
        <v>1.3179000000000001</v>
      </c>
    </row>
    <row r="15" spans="1:25" x14ac:dyDescent="0.2">
      <c r="B15" s="45">
        <v>45972</v>
      </c>
      <c r="C15" s="44">
        <v>2036</v>
      </c>
      <c r="D15" s="43">
        <v>2037</v>
      </c>
      <c r="E15" s="42">
        <f t="shared" si="0"/>
        <v>2036.5</v>
      </c>
      <c r="F15" s="44">
        <v>2051</v>
      </c>
      <c r="G15" s="43">
        <v>2053</v>
      </c>
      <c r="H15" s="42">
        <f t="shared" si="1"/>
        <v>2052</v>
      </c>
      <c r="I15" s="44">
        <v>2118</v>
      </c>
      <c r="J15" s="43">
        <v>2123</v>
      </c>
      <c r="K15" s="42">
        <f t="shared" si="2"/>
        <v>2120.5</v>
      </c>
      <c r="L15" s="44">
        <v>2180</v>
      </c>
      <c r="M15" s="43">
        <v>2185</v>
      </c>
      <c r="N15" s="42">
        <f t="shared" si="3"/>
        <v>2182.5</v>
      </c>
      <c r="O15" s="44">
        <v>2225</v>
      </c>
      <c r="P15" s="43">
        <v>2230</v>
      </c>
      <c r="Q15" s="42">
        <f t="shared" si="4"/>
        <v>2227.5</v>
      </c>
      <c r="R15" s="50">
        <v>2037</v>
      </c>
      <c r="S15" s="49">
        <v>1.3143</v>
      </c>
      <c r="T15" s="49">
        <v>1.157</v>
      </c>
      <c r="U15" s="48">
        <v>154.19999999999999</v>
      </c>
      <c r="V15" s="41">
        <v>1549.87</v>
      </c>
      <c r="W15" s="41">
        <v>1562.05</v>
      </c>
      <c r="X15" s="47">
        <f t="shared" si="5"/>
        <v>1760.5877268798617</v>
      </c>
      <c r="Y15" s="46">
        <v>1.3143</v>
      </c>
    </row>
    <row r="16" spans="1:25" x14ac:dyDescent="0.2">
      <c r="B16" s="45">
        <v>45973</v>
      </c>
      <c r="C16" s="44">
        <v>2043</v>
      </c>
      <c r="D16" s="43">
        <v>2044</v>
      </c>
      <c r="E16" s="42">
        <f t="shared" si="0"/>
        <v>2043.5</v>
      </c>
      <c r="F16" s="44">
        <v>2072</v>
      </c>
      <c r="G16" s="43">
        <v>2073</v>
      </c>
      <c r="H16" s="42">
        <f t="shared" si="1"/>
        <v>2072.5</v>
      </c>
      <c r="I16" s="44">
        <v>2145</v>
      </c>
      <c r="J16" s="43">
        <v>2150</v>
      </c>
      <c r="K16" s="42">
        <f t="shared" si="2"/>
        <v>2147.5</v>
      </c>
      <c r="L16" s="44">
        <v>2208</v>
      </c>
      <c r="M16" s="43">
        <v>2213</v>
      </c>
      <c r="N16" s="42">
        <f t="shared" si="3"/>
        <v>2210.5</v>
      </c>
      <c r="O16" s="44">
        <v>2253</v>
      </c>
      <c r="P16" s="43">
        <v>2258</v>
      </c>
      <c r="Q16" s="42">
        <f t="shared" si="4"/>
        <v>2255.5</v>
      </c>
      <c r="R16" s="50">
        <v>2044</v>
      </c>
      <c r="S16" s="49">
        <v>1.3118000000000001</v>
      </c>
      <c r="T16" s="49">
        <v>1.1577</v>
      </c>
      <c r="U16" s="48">
        <v>154.81</v>
      </c>
      <c r="V16" s="41">
        <v>1558.16</v>
      </c>
      <c r="W16" s="41">
        <v>1580.39</v>
      </c>
      <c r="X16" s="47">
        <f t="shared" si="5"/>
        <v>1765.5696639889436</v>
      </c>
      <c r="Y16" s="46">
        <v>1.3117000000000001</v>
      </c>
    </row>
    <row r="17" spans="2:25" x14ac:dyDescent="0.2">
      <c r="B17" s="45">
        <v>45974</v>
      </c>
      <c r="C17" s="44">
        <v>2057.5</v>
      </c>
      <c r="D17" s="43">
        <v>2058.5</v>
      </c>
      <c r="E17" s="42">
        <f t="shared" si="0"/>
        <v>2058</v>
      </c>
      <c r="F17" s="44">
        <v>2086.5</v>
      </c>
      <c r="G17" s="43">
        <v>2087</v>
      </c>
      <c r="H17" s="42">
        <f t="shared" si="1"/>
        <v>2086.75</v>
      </c>
      <c r="I17" s="44">
        <v>2170</v>
      </c>
      <c r="J17" s="43">
        <v>2175</v>
      </c>
      <c r="K17" s="42">
        <f t="shared" si="2"/>
        <v>2172.5</v>
      </c>
      <c r="L17" s="44">
        <v>2240</v>
      </c>
      <c r="M17" s="43">
        <v>2245</v>
      </c>
      <c r="N17" s="42">
        <f t="shared" si="3"/>
        <v>2242.5</v>
      </c>
      <c r="O17" s="44">
        <v>2285</v>
      </c>
      <c r="P17" s="43">
        <v>2290</v>
      </c>
      <c r="Q17" s="42">
        <f t="shared" si="4"/>
        <v>2287.5</v>
      </c>
      <c r="R17" s="50">
        <v>2058.5</v>
      </c>
      <c r="S17" s="49">
        <v>1.3181</v>
      </c>
      <c r="T17" s="49">
        <v>1.1623000000000001</v>
      </c>
      <c r="U17" s="48">
        <v>154.61000000000001</v>
      </c>
      <c r="V17" s="41">
        <v>1561.72</v>
      </c>
      <c r="W17" s="41">
        <v>1583.34</v>
      </c>
      <c r="X17" s="47">
        <f t="shared" si="5"/>
        <v>1771.0573862169833</v>
      </c>
      <c r="Y17" s="46">
        <v>1.3181</v>
      </c>
    </row>
    <row r="18" spans="2:25" x14ac:dyDescent="0.2">
      <c r="B18" s="45">
        <v>45975</v>
      </c>
      <c r="C18" s="44">
        <v>2055</v>
      </c>
      <c r="D18" s="43">
        <v>2056</v>
      </c>
      <c r="E18" s="42">
        <f t="shared" si="0"/>
        <v>2055.5</v>
      </c>
      <c r="F18" s="44">
        <v>2076.5</v>
      </c>
      <c r="G18" s="43">
        <v>2077</v>
      </c>
      <c r="H18" s="42">
        <f t="shared" si="1"/>
        <v>2076.75</v>
      </c>
      <c r="I18" s="44">
        <v>2158</v>
      </c>
      <c r="J18" s="43">
        <v>2163</v>
      </c>
      <c r="K18" s="42">
        <f t="shared" si="2"/>
        <v>2160.5</v>
      </c>
      <c r="L18" s="44">
        <v>2228</v>
      </c>
      <c r="M18" s="43">
        <v>2233</v>
      </c>
      <c r="N18" s="42">
        <f t="shared" si="3"/>
        <v>2230.5</v>
      </c>
      <c r="O18" s="44">
        <v>2273</v>
      </c>
      <c r="P18" s="43">
        <v>2278</v>
      </c>
      <c r="Q18" s="42">
        <f t="shared" si="4"/>
        <v>2275.5</v>
      </c>
      <c r="R18" s="50">
        <v>2056</v>
      </c>
      <c r="S18" s="49">
        <v>1.3180000000000001</v>
      </c>
      <c r="T18" s="49">
        <v>1.1653</v>
      </c>
      <c r="U18" s="48">
        <v>153.81</v>
      </c>
      <c r="V18" s="41">
        <v>1559.94</v>
      </c>
      <c r="W18" s="41">
        <v>1575.87</v>
      </c>
      <c r="X18" s="47">
        <f t="shared" si="5"/>
        <v>1764.3525272462027</v>
      </c>
      <c r="Y18" s="46">
        <v>1.3180000000000001</v>
      </c>
    </row>
    <row r="19" spans="2:25" x14ac:dyDescent="0.2">
      <c r="B19" s="45">
        <v>45978</v>
      </c>
      <c r="C19" s="44">
        <v>2023.5</v>
      </c>
      <c r="D19" s="43">
        <v>2024</v>
      </c>
      <c r="E19" s="42">
        <f t="shared" si="0"/>
        <v>2023.75</v>
      </c>
      <c r="F19" s="44">
        <v>2050</v>
      </c>
      <c r="G19" s="43">
        <v>2052</v>
      </c>
      <c r="H19" s="42">
        <f t="shared" si="1"/>
        <v>2051</v>
      </c>
      <c r="I19" s="44">
        <v>2122</v>
      </c>
      <c r="J19" s="43">
        <v>2127</v>
      </c>
      <c r="K19" s="42">
        <f t="shared" si="2"/>
        <v>2124.5</v>
      </c>
      <c r="L19" s="44">
        <v>2192</v>
      </c>
      <c r="M19" s="43">
        <v>2197</v>
      </c>
      <c r="N19" s="42">
        <f t="shared" si="3"/>
        <v>2194.5</v>
      </c>
      <c r="O19" s="44">
        <v>2237</v>
      </c>
      <c r="P19" s="43">
        <v>2242</v>
      </c>
      <c r="Q19" s="42">
        <f t="shared" si="4"/>
        <v>2239.5</v>
      </c>
      <c r="R19" s="50">
        <v>2024</v>
      </c>
      <c r="S19" s="49">
        <v>1.3180000000000001</v>
      </c>
      <c r="T19" s="49">
        <v>1.1598999999999999</v>
      </c>
      <c r="U19" s="48">
        <v>154.85</v>
      </c>
      <c r="V19" s="41">
        <v>1535.66</v>
      </c>
      <c r="W19" s="41">
        <v>1556.9</v>
      </c>
      <c r="X19" s="47">
        <f t="shared" si="5"/>
        <v>1744.9780153461506</v>
      </c>
      <c r="Y19" s="46">
        <v>1.3180000000000001</v>
      </c>
    </row>
    <row r="20" spans="2:25" x14ac:dyDescent="0.2">
      <c r="B20" s="45">
        <v>45979</v>
      </c>
      <c r="C20" s="44">
        <v>2010</v>
      </c>
      <c r="D20" s="43">
        <v>2012</v>
      </c>
      <c r="E20" s="42">
        <f t="shared" si="0"/>
        <v>2011</v>
      </c>
      <c r="F20" s="44">
        <v>2034</v>
      </c>
      <c r="G20" s="43">
        <v>2036</v>
      </c>
      <c r="H20" s="42">
        <f t="shared" si="1"/>
        <v>2035</v>
      </c>
      <c r="I20" s="44">
        <v>2107</v>
      </c>
      <c r="J20" s="43">
        <v>2112</v>
      </c>
      <c r="K20" s="42">
        <f t="shared" si="2"/>
        <v>2109.5</v>
      </c>
      <c r="L20" s="44">
        <v>2177</v>
      </c>
      <c r="M20" s="43">
        <v>2182</v>
      </c>
      <c r="N20" s="42">
        <f t="shared" si="3"/>
        <v>2179.5</v>
      </c>
      <c r="O20" s="44">
        <v>2222</v>
      </c>
      <c r="P20" s="43">
        <v>2227</v>
      </c>
      <c r="Q20" s="42">
        <f t="shared" si="4"/>
        <v>2224.5</v>
      </c>
      <c r="R20" s="50">
        <v>2012</v>
      </c>
      <c r="S20" s="49">
        <v>1.3152999999999999</v>
      </c>
      <c r="T20" s="49">
        <v>1.1592</v>
      </c>
      <c r="U20" s="48">
        <v>155.19</v>
      </c>
      <c r="V20" s="41">
        <v>1529.69</v>
      </c>
      <c r="W20" s="41">
        <v>1547.94</v>
      </c>
      <c r="X20" s="47">
        <f t="shared" si="5"/>
        <v>1735.67977915804</v>
      </c>
      <c r="Y20" s="46">
        <v>1.3152999999999999</v>
      </c>
    </row>
    <row r="21" spans="2:25" x14ac:dyDescent="0.2">
      <c r="B21" s="45">
        <v>45980</v>
      </c>
      <c r="C21" s="44">
        <v>1993</v>
      </c>
      <c r="D21" s="43">
        <v>1994</v>
      </c>
      <c r="E21" s="42">
        <f t="shared" si="0"/>
        <v>1993.5</v>
      </c>
      <c r="F21" s="44">
        <v>2022</v>
      </c>
      <c r="G21" s="43">
        <v>2024</v>
      </c>
      <c r="H21" s="42">
        <f t="shared" si="1"/>
        <v>2023</v>
      </c>
      <c r="I21" s="44">
        <v>2093</v>
      </c>
      <c r="J21" s="43">
        <v>2098</v>
      </c>
      <c r="K21" s="42">
        <f t="shared" si="2"/>
        <v>2095.5</v>
      </c>
      <c r="L21" s="44">
        <v>2163</v>
      </c>
      <c r="M21" s="43">
        <v>2168</v>
      </c>
      <c r="N21" s="42">
        <f t="shared" si="3"/>
        <v>2165.5</v>
      </c>
      <c r="O21" s="44">
        <v>2208</v>
      </c>
      <c r="P21" s="43">
        <v>2213</v>
      </c>
      <c r="Q21" s="42">
        <f t="shared" si="4"/>
        <v>2210.5</v>
      </c>
      <c r="R21" s="50">
        <v>1994</v>
      </c>
      <c r="S21" s="49">
        <v>1.3118000000000001</v>
      </c>
      <c r="T21" s="49">
        <v>1.1578999999999999</v>
      </c>
      <c r="U21" s="48">
        <v>156.25</v>
      </c>
      <c r="V21" s="41">
        <v>1520.05</v>
      </c>
      <c r="W21" s="41">
        <v>1542.92</v>
      </c>
      <c r="X21" s="47">
        <f t="shared" si="5"/>
        <v>1722.083081440539</v>
      </c>
      <c r="Y21" s="46">
        <v>1.3118000000000001</v>
      </c>
    </row>
    <row r="22" spans="2:25" x14ac:dyDescent="0.2">
      <c r="B22" s="45">
        <v>45981</v>
      </c>
      <c r="C22" s="44">
        <v>1991</v>
      </c>
      <c r="D22" s="43">
        <v>1993</v>
      </c>
      <c r="E22" s="42">
        <f t="shared" si="0"/>
        <v>1992</v>
      </c>
      <c r="F22" s="44">
        <v>2018</v>
      </c>
      <c r="G22" s="43">
        <v>2020</v>
      </c>
      <c r="H22" s="42">
        <f t="shared" si="1"/>
        <v>2019</v>
      </c>
      <c r="I22" s="44">
        <v>2083</v>
      </c>
      <c r="J22" s="43">
        <v>2088</v>
      </c>
      <c r="K22" s="42">
        <f t="shared" si="2"/>
        <v>2085.5</v>
      </c>
      <c r="L22" s="44">
        <v>2153</v>
      </c>
      <c r="M22" s="43">
        <v>2158</v>
      </c>
      <c r="N22" s="42">
        <f t="shared" si="3"/>
        <v>2155.5</v>
      </c>
      <c r="O22" s="44">
        <v>2198</v>
      </c>
      <c r="P22" s="43">
        <v>2203</v>
      </c>
      <c r="Q22" s="42">
        <f t="shared" si="4"/>
        <v>2200.5</v>
      </c>
      <c r="R22" s="50">
        <v>1993</v>
      </c>
      <c r="S22" s="49">
        <v>1.3057000000000001</v>
      </c>
      <c r="T22" s="49">
        <v>1.1511</v>
      </c>
      <c r="U22" s="48">
        <v>157.71</v>
      </c>
      <c r="V22" s="41">
        <v>1526.38</v>
      </c>
      <c r="W22" s="41">
        <v>1546.83</v>
      </c>
      <c r="X22" s="47">
        <f t="shared" si="5"/>
        <v>1731.387368603944</v>
      </c>
      <c r="Y22" s="46">
        <v>1.3059000000000001</v>
      </c>
    </row>
    <row r="23" spans="2:25" x14ac:dyDescent="0.2">
      <c r="B23" s="45">
        <v>45982</v>
      </c>
      <c r="C23" s="44">
        <v>1976</v>
      </c>
      <c r="D23" s="43">
        <v>1977</v>
      </c>
      <c r="E23" s="42">
        <f t="shared" si="0"/>
        <v>1976.5</v>
      </c>
      <c r="F23" s="44">
        <v>1994</v>
      </c>
      <c r="G23" s="43">
        <v>1995</v>
      </c>
      <c r="H23" s="42">
        <f t="shared" si="1"/>
        <v>1994.5</v>
      </c>
      <c r="I23" s="44">
        <v>2065</v>
      </c>
      <c r="J23" s="43">
        <v>2070</v>
      </c>
      <c r="K23" s="42">
        <f t="shared" si="2"/>
        <v>2067.5</v>
      </c>
      <c r="L23" s="44">
        <v>2135</v>
      </c>
      <c r="M23" s="43">
        <v>2140</v>
      </c>
      <c r="N23" s="42">
        <f t="shared" si="3"/>
        <v>2137.5</v>
      </c>
      <c r="O23" s="44">
        <v>2180</v>
      </c>
      <c r="P23" s="43">
        <v>2185</v>
      </c>
      <c r="Q23" s="42">
        <f t="shared" si="4"/>
        <v>2182.5</v>
      </c>
      <c r="R23" s="50">
        <v>1977</v>
      </c>
      <c r="S23" s="49">
        <v>1.3089</v>
      </c>
      <c r="T23" s="49">
        <v>1.1525000000000001</v>
      </c>
      <c r="U23" s="48">
        <v>156.76</v>
      </c>
      <c r="V23" s="41">
        <v>1510.43</v>
      </c>
      <c r="W23" s="41">
        <v>1524.18</v>
      </c>
      <c r="X23" s="47">
        <f t="shared" si="5"/>
        <v>1715.401301518438</v>
      </c>
      <c r="Y23" s="46">
        <v>1.3089</v>
      </c>
    </row>
    <row r="24" spans="2:25" x14ac:dyDescent="0.2">
      <c r="B24" s="45">
        <v>45985</v>
      </c>
      <c r="C24" s="44">
        <v>1959.5</v>
      </c>
      <c r="D24" s="43">
        <v>1960</v>
      </c>
      <c r="E24" s="42">
        <f t="shared" si="0"/>
        <v>1959.75</v>
      </c>
      <c r="F24" s="44">
        <v>1982</v>
      </c>
      <c r="G24" s="43">
        <v>1983</v>
      </c>
      <c r="H24" s="42">
        <f t="shared" si="1"/>
        <v>1982.5</v>
      </c>
      <c r="I24" s="44">
        <v>2053</v>
      </c>
      <c r="J24" s="43">
        <v>2058</v>
      </c>
      <c r="K24" s="42">
        <f t="shared" si="2"/>
        <v>2055.5</v>
      </c>
      <c r="L24" s="44">
        <v>2113</v>
      </c>
      <c r="M24" s="43">
        <v>2118</v>
      </c>
      <c r="N24" s="42">
        <f t="shared" si="3"/>
        <v>2115.5</v>
      </c>
      <c r="O24" s="44">
        <v>2158</v>
      </c>
      <c r="P24" s="43">
        <v>2163</v>
      </c>
      <c r="Q24" s="42">
        <f t="shared" si="4"/>
        <v>2160.5</v>
      </c>
      <c r="R24" s="50">
        <v>1960</v>
      </c>
      <c r="S24" s="49">
        <v>1.3111999999999999</v>
      </c>
      <c r="T24" s="49">
        <v>1.1547000000000001</v>
      </c>
      <c r="U24" s="48">
        <v>156.55000000000001</v>
      </c>
      <c r="V24" s="41">
        <v>1494.81</v>
      </c>
      <c r="W24" s="41">
        <v>1512.36</v>
      </c>
      <c r="X24" s="47">
        <f t="shared" si="5"/>
        <v>1697.4105828353684</v>
      </c>
      <c r="Y24" s="46">
        <v>1.3111999999999999</v>
      </c>
    </row>
    <row r="25" spans="2:25" x14ac:dyDescent="0.2">
      <c r="B25" s="45">
        <v>45986</v>
      </c>
      <c r="C25" s="44">
        <v>1961</v>
      </c>
      <c r="D25" s="43">
        <v>1961.5</v>
      </c>
      <c r="E25" s="42">
        <f t="shared" si="0"/>
        <v>1961.25</v>
      </c>
      <c r="F25" s="44">
        <v>1984.5</v>
      </c>
      <c r="G25" s="43">
        <v>1985.5</v>
      </c>
      <c r="H25" s="42">
        <f t="shared" si="1"/>
        <v>1985</v>
      </c>
      <c r="I25" s="44">
        <v>2053</v>
      </c>
      <c r="J25" s="43">
        <v>2058</v>
      </c>
      <c r="K25" s="42">
        <f t="shared" si="2"/>
        <v>2055.5</v>
      </c>
      <c r="L25" s="44">
        <v>2113</v>
      </c>
      <c r="M25" s="43">
        <v>2118</v>
      </c>
      <c r="N25" s="42">
        <f t="shared" si="3"/>
        <v>2115.5</v>
      </c>
      <c r="O25" s="44">
        <v>2158</v>
      </c>
      <c r="P25" s="43">
        <v>2163</v>
      </c>
      <c r="Q25" s="42">
        <f t="shared" si="4"/>
        <v>2160.5</v>
      </c>
      <c r="R25" s="50">
        <v>1961.5</v>
      </c>
      <c r="S25" s="49">
        <v>1.3136000000000001</v>
      </c>
      <c r="T25" s="49">
        <v>1.1544000000000001</v>
      </c>
      <c r="U25" s="48">
        <v>156.30000000000001</v>
      </c>
      <c r="V25" s="41">
        <v>1493.22</v>
      </c>
      <c r="W25" s="41">
        <v>1511.5</v>
      </c>
      <c r="X25" s="47">
        <f t="shared" si="5"/>
        <v>1699.151074151074</v>
      </c>
      <c r="Y25" s="46">
        <v>1.3136000000000001</v>
      </c>
    </row>
    <row r="26" spans="2:25" x14ac:dyDescent="0.2">
      <c r="B26" s="45">
        <v>45987</v>
      </c>
      <c r="C26" s="44">
        <v>1945</v>
      </c>
      <c r="D26" s="43">
        <v>1947</v>
      </c>
      <c r="E26" s="42">
        <f t="shared" si="0"/>
        <v>1946</v>
      </c>
      <c r="F26" s="44">
        <v>1984.5</v>
      </c>
      <c r="G26" s="43">
        <v>1985</v>
      </c>
      <c r="H26" s="42">
        <f t="shared" si="1"/>
        <v>1984.75</v>
      </c>
      <c r="I26" s="44">
        <v>2053</v>
      </c>
      <c r="J26" s="43">
        <v>2058</v>
      </c>
      <c r="K26" s="42">
        <f t="shared" si="2"/>
        <v>2055.5</v>
      </c>
      <c r="L26" s="44">
        <v>2113</v>
      </c>
      <c r="M26" s="43">
        <v>2118</v>
      </c>
      <c r="N26" s="42">
        <f t="shared" si="3"/>
        <v>2115.5</v>
      </c>
      <c r="O26" s="44">
        <v>2158</v>
      </c>
      <c r="P26" s="43">
        <v>2163</v>
      </c>
      <c r="Q26" s="42">
        <f t="shared" si="4"/>
        <v>2160.5</v>
      </c>
      <c r="R26" s="50">
        <v>1947</v>
      </c>
      <c r="S26" s="49">
        <v>1.3185</v>
      </c>
      <c r="T26" s="49">
        <v>1.1573</v>
      </c>
      <c r="U26" s="48">
        <v>156.47999999999999</v>
      </c>
      <c r="V26" s="41">
        <v>1476.68</v>
      </c>
      <c r="W26" s="41">
        <v>1505.5</v>
      </c>
      <c r="X26" s="47">
        <f t="shared" si="5"/>
        <v>1682.3641233906505</v>
      </c>
      <c r="Y26" s="46">
        <v>1.3185</v>
      </c>
    </row>
    <row r="27" spans="2:25" x14ac:dyDescent="0.2">
      <c r="B27" s="45">
        <v>45988</v>
      </c>
      <c r="C27" s="44">
        <v>1939</v>
      </c>
      <c r="D27" s="43">
        <v>1940</v>
      </c>
      <c r="E27" s="42">
        <f t="shared" si="0"/>
        <v>1939.5</v>
      </c>
      <c r="F27" s="44">
        <v>1981</v>
      </c>
      <c r="G27" s="43">
        <v>1982</v>
      </c>
      <c r="H27" s="42">
        <f t="shared" si="1"/>
        <v>1981.5</v>
      </c>
      <c r="I27" s="44">
        <v>2053</v>
      </c>
      <c r="J27" s="43">
        <v>2058</v>
      </c>
      <c r="K27" s="42">
        <f t="shared" si="2"/>
        <v>2055.5</v>
      </c>
      <c r="L27" s="44">
        <v>2113</v>
      </c>
      <c r="M27" s="43">
        <v>2118</v>
      </c>
      <c r="N27" s="42">
        <f t="shared" si="3"/>
        <v>2115.5</v>
      </c>
      <c r="O27" s="44">
        <v>2158</v>
      </c>
      <c r="P27" s="43">
        <v>2163</v>
      </c>
      <c r="Q27" s="42">
        <f t="shared" si="4"/>
        <v>2160.5</v>
      </c>
      <c r="R27" s="50">
        <v>1940</v>
      </c>
      <c r="S27" s="49">
        <v>1.3233999999999999</v>
      </c>
      <c r="T27" s="49">
        <v>1.1583000000000001</v>
      </c>
      <c r="U27" s="48">
        <v>156.38</v>
      </c>
      <c r="V27" s="41">
        <v>1465.92</v>
      </c>
      <c r="W27" s="41">
        <v>1497.66</v>
      </c>
      <c r="X27" s="47">
        <f t="shared" si="5"/>
        <v>1674.8683415350081</v>
      </c>
      <c r="Y27" s="46">
        <v>1.3233999999999999</v>
      </c>
    </row>
    <row r="28" spans="2:25" x14ac:dyDescent="0.2">
      <c r="B28" s="45">
        <v>45989</v>
      </c>
      <c r="C28" s="44">
        <v>1953</v>
      </c>
      <c r="D28" s="43">
        <v>1955</v>
      </c>
      <c r="E28" s="42">
        <f t="shared" si="0"/>
        <v>1954</v>
      </c>
      <c r="F28" s="44">
        <v>1994</v>
      </c>
      <c r="G28" s="43">
        <v>1995</v>
      </c>
      <c r="H28" s="42">
        <f t="shared" si="1"/>
        <v>1994.5</v>
      </c>
      <c r="I28" s="44">
        <v>2063</v>
      </c>
      <c r="J28" s="43">
        <v>2068</v>
      </c>
      <c r="K28" s="42">
        <f t="shared" si="2"/>
        <v>2065.5</v>
      </c>
      <c r="L28" s="44">
        <v>2123</v>
      </c>
      <c r="M28" s="43">
        <v>2128</v>
      </c>
      <c r="N28" s="42">
        <f t="shared" si="3"/>
        <v>2125.5</v>
      </c>
      <c r="O28" s="44">
        <v>2168</v>
      </c>
      <c r="P28" s="43">
        <v>2173</v>
      </c>
      <c r="Q28" s="42">
        <f t="shared" si="4"/>
        <v>2170.5</v>
      </c>
      <c r="R28" s="50">
        <v>1955</v>
      </c>
      <c r="S28" s="49">
        <v>1.3219000000000001</v>
      </c>
      <c r="T28" s="49">
        <v>1.1567000000000001</v>
      </c>
      <c r="U28" s="48">
        <v>156.12</v>
      </c>
      <c r="V28" s="41">
        <v>1478.93</v>
      </c>
      <c r="W28" s="41">
        <v>1509.19</v>
      </c>
      <c r="X28" s="47">
        <f t="shared" si="5"/>
        <v>1690.1530215267571</v>
      </c>
      <c r="Y28" s="46">
        <v>1.3219000000000001</v>
      </c>
    </row>
    <row r="29" spans="2:25" x14ac:dyDescent="0.2">
      <c r="B29" s="40" t="s">
        <v>11</v>
      </c>
      <c r="C29" s="39">
        <f>ROUND(AVERAGE(C9:C28),2)</f>
        <v>2000.6</v>
      </c>
      <c r="D29" s="38">
        <f>ROUND(AVERAGE(D9:D28),2)</f>
        <v>2001.8</v>
      </c>
      <c r="E29" s="37">
        <f>ROUND(AVERAGE(C29:D29),2)</f>
        <v>2001.2</v>
      </c>
      <c r="F29" s="39">
        <f>ROUND(AVERAGE(F9:F28),2)</f>
        <v>2027.4</v>
      </c>
      <c r="G29" s="38">
        <f>ROUND(AVERAGE(G9:G28),2)</f>
        <v>2028.55</v>
      </c>
      <c r="H29" s="37">
        <f>ROUND(AVERAGE(F29:G29),2)</f>
        <v>2027.98</v>
      </c>
      <c r="I29" s="39">
        <f>ROUND(AVERAGE(I9:I28),2)</f>
        <v>2100.1999999999998</v>
      </c>
      <c r="J29" s="38">
        <f>ROUND(AVERAGE(J9:J28),2)</f>
        <v>2105.1999999999998</v>
      </c>
      <c r="K29" s="37">
        <f>ROUND(AVERAGE(I29:J29),2)</f>
        <v>2102.6999999999998</v>
      </c>
      <c r="L29" s="39">
        <f>ROUND(AVERAGE(L9:L28),2)</f>
        <v>2164.1</v>
      </c>
      <c r="M29" s="38">
        <f>ROUND(AVERAGE(M9:M28),2)</f>
        <v>2169.1</v>
      </c>
      <c r="N29" s="37">
        <f>ROUND(AVERAGE(L29:M29),2)</f>
        <v>2166.6</v>
      </c>
      <c r="O29" s="39">
        <f>ROUND(AVERAGE(O9:O28),2)</f>
        <v>2209.1</v>
      </c>
      <c r="P29" s="38">
        <f>ROUND(AVERAGE(P9:P28),2)</f>
        <v>2214.1</v>
      </c>
      <c r="Q29" s="37">
        <f>ROUND(AVERAGE(O29:P29),2)</f>
        <v>2211.6</v>
      </c>
      <c r="R29" s="36">
        <f>ROUND(AVERAGE(R9:R28),2)</f>
        <v>2001.8</v>
      </c>
      <c r="S29" s="35">
        <f>ROUND(AVERAGE(S9:S28),4)</f>
        <v>1.3138000000000001</v>
      </c>
      <c r="T29" s="34">
        <f>ROUND(AVERAGE(T9:T28),4)</f>
        <v>1.1559999999999999</v>
      </c>
      <c r="U29" s="167">
        <f>ROUND(AVERAGE(U9:U28),2)</f>
        <v>155.11000000000001</v>
      </c>
      <c r="V29" s="33">
        <f>AVERAGE(V9:V28)</f>
        <v>1523.741</v>
      </c>
      <c r="W29" s="33">
        <f>AVERAGE(W9:W28)</f>
        <v>1544.1315</v>
      </c>
      <c r="X29" s="33">
        <f>AVERAGE(X9:X28)</f>
        <v>1731.6751946119718</v>
      </c>
      <c r="Y29" s="32">
        <f>AVERAGE(Y9:Y28)</f>
        <v>1.3137350000000001</v>
      </c>
    </row>
    <row r="30" spans="2:25" x14ac:dyDescent="0.2">
      <c r="B30" s="31" t="s">
        <v>12</v>
      </c>
      <c r="C30" s="30">
        <f t="shared" ref="C30:Y30" si="6">MAX(C9:C28)</f>
        <v>2057.5</v>
      </c>
      <c r="D30" s="29">
        <f t="shared" si="6"/>
        <v>2058.5</v>
      </c>
      <c r="E30" s="28">
        <f t="shared" si="6"/>
        <v>2058</v>
      </c>
      <c r="F30" s="30">
        <f t="shared" si="6"/>
        <v>2086.5</v>
      </c>
      <c r="G30" s="29">
        <f t="shared" si="6"/>
        <v>2087</v>
      </c>
      <c r="H30" s="28">
        <f t="shared" si="6"/>
        <v>2086.75</v>
      </c>
      <c r="I30" s="30">
        <f t="shared" si="6"/>
        <v>2170</v>
      </c>
      <c r="J30" s="29">
        <f t="shared" si="6"/>
        <v>2175</v>
      </c>
      <c r="K30" s="28">
        <f t="shared" si="6"/>
        <v>2172.5</v>
      </c>
      <c r="L30" s="30">
        <f t="shared" si="6"/>
        <v>2240</v>
      </c>
      <c r="M30" s="29">
        <f t="shared" si="6"/>
        <v>2245</v>
      </c>
      <c r="N30" s="28">
        <f t="shared" si="6"/>
        <v>2242.5</v>
      </c>
      <c r="O30" s="30">
        <f t="shared" si="6"/>
        <v>2285</v>
      </c>
      <c r="P30" s="29">
        <f t="shared" si="6"/>
        <v>2290</v>
      </c>
      <c r="Q30" s="28">
        <f t="shared" si="6"/>
        <v>2287.5</v>
      </c>
      <c r="R30" s="27">
        <f t="shared" si="6"/>
        <v>2058.5</v>
      </c>
      <c r="S30" s="26">
        <f t="shared" si="6"/>
        <v>1.3233999999999999</v>
      </c>
      <c r="T30" s="25">
        <f t="shared" si="6"/>
        <v>1.1653</v>
      </c>
      <c r="U30" s="24">
        <f t="shared" si="6"/>
        <v>157.71</v>
      </c>
      <c r="V30" s="23">
        <f t="shared" si="6"/>
        <v>1561.72</v>
      </c>
      <c r="W30" s="23">
        <f t="shared" si="6"/>
        <v>1583.34</v>
      </c>
      <c r="X30" s="23">
        <f t="shared" si="6"/>
        <v>1771.0573862169833</v>
      </c>
      <c r="Y30" s="22">
        <f t="shared" si="6"/>
        <v>1.3233999999999999</v>
      </c>
    </row>
    <row r="31" spans="2:25" ht="13.5" thickBot="1" x14ac:dyDescent="0.25">
      <c r="B31" s="21" t="s">
        <v>13</v>
      </c>
      <c r="C31" s="20">
        <f t="shared" ref="C31:Y31" si="7">MIN(C9:C28)</f>
        <v>1939</v>
      </c>
      <c r="D31" s="19">
        <f t="shared" si="7"/>
        <v>1940</v>
      </c>
      <c r="E31" s="18">
        <f t="shared" si="7"/>
        <v>1939.5</v>
      </c>
      <c r="F31" s="20">
        <f t="shared" si="7"/>
        <v>1981</v>
      </c>
      <c r="G31" s="19">
        <f t="shared" si="7"/>
        <v>1982</v>
      </c>
      <c r="H31" s="18">
        <f t="shared" si="7"/>
        <v>1981.5</v>
      </c>
      <c r="I31" s="20">
        <f t="shared" si="7"/>
        <v>2053</v>
      </c>
      <c r="J31" s="19">
        <f t="shared" si="7"/>
        <v>2058</v>
      </c>
      <c r="K31" s="18">
        <f t="shared" si="7"/>
        <v>2055.5</v>
      </c>
      <c r="L31" s="20">
        <f t="shared" si="7"/>
        <v>2113</v>
      </c>
      <c r="M31" s="19">
        <f t="shared" si="7"/>
        <v>2118</v>
      </c>
      <c r="N31" s="18">
        <f t="shared" si="7"/>
        <v>2115.5</v>
      </c>
      <c r="O31" s="20">
        <f t="shared" si="7"/>
        <v>2158</v>
      </c>
      <c r="P31" s="19">
        <f t="shared" si="7"/>
        <v>2163</v>
      </c>
      <c r="Q31" s="18">
        <f t="shared" si="7"/>
        <v>2160.5</v>
      </c>
      <c r="R31" s="17">
        <f t="shared" si="7"/>
        <v>1940</v>
      </c>
      <c r="S31" s="16">
        <f t="shared" si="7"/>
        <v>1.3042</v>
      </c>
      <c r="T31" s="15">
        <f t="shared" si="7"/>
        <v>1.1489</v>
      </c>
      <c r="U31" s="14">
        <f t="shared" si="7"/>
        <v>153.1</v>
      </c>
      <c r="V31" s="13">
        <f t="shared" si="7"/>
        <v>1465.92</v>
      </c>
      <c r="W31" s="13">
        <f t="shared" si="7"/>
        <v>1497.66</v>
      </c>
      <c r="X31" s="13">
        <f t="shared" si="7"/>
        <v>1674.8683415350081</v>
      </c>
      <c r="Y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45964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45964</v>
      </c>
      <c r="C9" s="44">
        <v>36345</v>
      </c>
      <c r="D9" s="43">
        <v>36355</v>
      </c>
      <c r="E9" s="42">
        <f t="shared" ref="E9:E28" si="0">AVERAGE(C9:D9)</f>
        <v>36350</v>
      </c>
      <c r="F9" s="44">
        <v>36290</v>
      </c>
      <c r="G9" s="43">
        <v>36325</v>
      </c>
      <c r="H9" s="42">
        <f t="shared" ref="H9:H28" si="1">AVERAGE(F9:G9)</f>
        <v>36307.5</v>
      </c>
      <c r="I9" s="44">
        <v>36100</v>
      </c>
      <c r="J9" s="43">
        <v>36150</v>
      </c>
      <c r="K9" s="42">
        <f t="shared" ref="K9:K28" si="2">AVERAGE(I9:J9)</f>
        <v>36125</v>
      </c>
      <c r="L9" s="50">
        <v>36355</v>
      </c>
      <c r="M9" s="49">
        <v>1.3142</v>
      </c>
      <c r="N9" s="51">
        <v>1.1516999999999999</v>
      </c>
      <c r="O9" s="48">
        <v>154.18</v>
      </c>
      <c r="P9" s="41">
        <f>D9/M9</f>
        <v>27663.217166336934</v>
      </c>
      <c r="Q9" s="41">
        <f>G9/M9</f>
        <v>27640.389590625477</v>
      </c>
      <c r="R9" s="47">
        <f t="shared" ref="R9:R28" si="3">L9/N9</f>
        <v>31566.380133715378</v>
      </c>
      <c r="S9" s="46">
        <v>1.3142</v>
      </c>
    </row>
    <row r="10" spans="1:19" x14ac:dyDescent="0.2">
      <c r="B10" s="45">
        <v>45965</v>
      </c>
      <c r="C10" s="44">
        <v>36075</v>
      </c>
      <c r="D10" s="43">
        <v>36100</v>
      </c>
      <c r="E10" s="42">
        <f t="shared" si="0"/>
        <v>36087.5</v>
      </c>
      <c r="F10" s="44">
        <v>36140</v>
      </c>
      <c r="G10" s="43">
        <v>36160</v>
      </c>
      <c r="H10" s="42">
        <f t="shared" si="1"/>
        <v>36150</v>
      </c>
      <c r="I10" s="44">
        <v>35910</v>
      </c>
      <c r="J10" s="43">
        <v>35960</v>
      </c>
      <c r="K10" s="42">
        <f t="shared" si="2"/>
        <v>35935</v>
      </c>
      <c r="L10" s="50">
        <v>36100</v>
      </c>
      <c r="M10" s="49">
        <v>1.3068</v>
      </c>
      <c r="N10" s="49">
        <v>1.1489</v>
      </c>
      <c r="O10" s="48">
        <v>153.53</v>
      </c>
      <c r="P10" s="41">
        <f t="shared" ref="P10:P28" si="4">D10/M10</f>
        <v>27624.732170186715</v>
      </c>
      <c r="Q10" s="41">
        <f t="shared" ref="Q10:Q28" si="5">G10/M10</f>
        <v>27670.645852464037</v>
      </c>
      <c r="R10" s="47">
        <f t="shared" si="3"/>
        <v>31421.359561319521</v>
      </c>
      <c r="S10" s="46">
        <v>1.3068</v>
      </c>
    </row>
    <row r="11" spans="1:19" x14ac:dyDescent="0.2">
      <c r="B11" s="45">
        <v>45966</v>
      </c>
      <c r="C11" s="44">
        <v>35590</v>
      </c>
      <c r="D11" s="43">
        <v>35610</v>
      </c>
      <c r="E11" s="42">
        <f t="shared" si="0"/>
        <v>35600</v>
      </c>
      <c r="F11" s="44">
        <v>35550</v>
      </c>
      <c r="G11" s="43">
        <v>35575</v>
      </c>
      <c r="H11" s="42">
        <f t="shared" si="1"/>
        <v>35562.5</v>
      </c>
      <c r="I11" s="44">
        <v>35355</v>
      </c>
      <c r="J11" s="43">
        <v>35405</v>
      </c>
      <c r="K11" s="42">
        <f t="shared" si="2"/>
        <v>35380</v>
      </c>
      <c r="L11" s="50">
        <v>35610</v>
      </c>
      <c r="M11" s="49">
        <v>1.3042</v>
      </c>
      <c r="N11" s="49">
        <v>1.1491</v>
      </c>
      <c r="O11" s="48">
        <v>153.71</v>
      </c>
      <c r="P11" s="41">
        <f t="shared" si="4"/>
        <v>27304.094464039259</v>
      </c>
      <c r="Q11" s="41">
        <f t="shared" si="5"/>
        <v>27277.258089250114</v>
      </c>
      <c r="R11" s="47">
        <f t="shared" si="3"/>
        <v>30989.470020015666</v>
      </c>
      <c r="S11" s="46">
        <v>1.3041</v>
      </c>
    </row>
    <row r="12" spans="1:19" x14ac:dyDescent="0.2">
      <c r="B12" s="45">
        <v>45967</v>
      </c>
      <c r="C12" s="44">
        <v>35950</v>
      </c>
      <c r="D12" s="43">
        <v>35975</v>
      </c>
      <c r="E12" s="42">
        <f t="shared" si="0"/>
        <v>35962.5</v>
      </c>
      <c r="F12" s="44">
        <v>35950</v>
      </c>
      <c r="G12" s="43">
        <v>35975</v>
      </c>
      <c r="H12" s="42">
        <f t="shared" si="1"/>
        <v>35962.5</v>
      </c>
      <c r="I12" s="44">
        <v>35760</v>
      </c>
      <c r="J12" s="43">
        <v>35810</v>
      </c>
      <c r="K12" s="42">
        <f t="shared" si="2"/>
        <v>35785</v>
      </c>
      <c r="L12" s="50">
        <v>35975</v>
      </c>
      <c r="M12" s="49">
        <v>1.31</v>
      </c>
      <c r="N12" s="49">
        <v>1.1531</v>
      </c>
      <c r="O12" s="48">
        <v>153.61000000000001</v>
      </c>
      <c r="P12" s="41">
        <f t="shared" si="4"/>
        <v>27461.832061068701</v>
      </c>
      <c r="Q12" s="41">
        <f t="shared" si="5"/>
        <v>27461.832061068701</v>
      </c>
      <c r="R12" s="47">
        <f t="shared" si="3"/>
        <v>31198.508368745122</v>
      </c>
      <c r="S12" s="46">
        <v>1.3098000000000001</v>
      </c>
    </row>
    <row r="13" spans="1:19" x14ac:dyDescent="0.2">
      <c r="B13" s="45">
        <v>45968</v>
      </c>
      <c r="C13" s="44">
        <v>36040</v>
      </c>
      <c r="D13" s="43">
        <v>36050</v>
      </c>
      <c r="E13" s="42">
        <f t="shared" si="0"/>
        <v>36045</v>
      </c>
      <c r="F13" s="44">
        <v>35950</v>
      </c>
      <c r="G13" s="43">
        <v>36000</v>
      </c>
      <c r="H13" s="42">
        <f t="shared" si="1"/>
        <v>35975</v>
      </c>
      <c r="I13" s="44">
        <v>35765</v>
      </c>
      <c r="J13" s="43">
        <v>35815</v>
      </c>
      <c r="K13" s="42">
        <f t="shared" si="2"/>
        <v>35790</v>
      </c>
      <c r="L13" s="50">
        <v>36050</v>
      </c>
      <c r="M13" s="49">
        <v>1.3115000000000001</v>
      </c>
      <c r="N13" s="49">
        <v>1.1556</v>
      </c>
      <c r="O13" s="48">
        <v>153.1</v>
      </c>
      <c r="P13" s="41">
        <f t="shared" si="4"/>
        <v>27487.609607319861</v>
      </c>
      <c r="Q13" s="41">
        <f t="shared" si="5"/>
        <v>27449.485322150209</v>
      </c>
      <c r="R13" s="47">
        <f t="shared" si="3"/>
        <v>31195.915541709935</v>
      </c>
      <c r="S13" s="46">
        <v>1.3112999999999999</v>
      </c>
    </row>
    <row r="14" spans="1:19" x14ac:dyDescent="0.2">
      <c r="B14" s="45">
        <v>45971</v>
      </c>
      <c r="C14" s="44">
        <v>36230</v>
      </c>
      <c r="D14" s="43">
        <v>36240</v>
      </c>
      <c r="E14" s="42">
        <f t="shared" si="0"/>
        <v>36235</v>
      </c>
      <c r="F14" s="44">
        <v>36195</v>
      </c>
      <c r="G14" s="43">
        <v>36225</v>
      </c>
      <c r="H14" s="42">
        <f t="shared" si="1"/>
        <v>36210</v>
      </c>
      <c r="I14" s="44">
        <v>36010</v>
      </c>
      <c r="J14" s="43">
        <v>36060</v>
      </c>
      <c r="K14" s="42">
        <f t="shared" si="2"/>
        <v>36035</v>
      </c>
      <c r="L14" s="50">
        <v>36240</v>
      </c>
      <c r="M14" s="49">
        <v>1.3181</v>
      </c>
      <c r="N14" s="49">
        <v>1.1568000000000001</v>
      </c>
      <c r="O14" s="48">
        <v>154.12</v>
      </c>
      <c r="P14" s="41">
        <f t="shared" si="4"/>
        <v>27494.120324709809</v>
      </c>
      <c r="Q14" s="41">
        <f t="shared" si="5"/>
        <v>27482.740308019118</v>
      </c>
      <c r="R14" s="47">
        <f t="shared" si="3"/>
        <v>31327.800829875516</v>
      </c>
      <c r="S14" s="46">
        <v>1.3179000000000001</v>
      </c>
    </row>
    <row r="15" spans="1:19" x14ac:dyDescent="0.2">
      <c r="B15" s="45">
        <v>45972</v>
      </c>
      <c r="C15" s="44">
        <v>36295</v>
      </c>
      <c r="D15" s="43">
        <v>36300</v>
      </c>
      <c r="E15" s="42">
        <f t="shared" si="0"/>
        <v>36297.5</v>
      </c>
      <c r="F15" s="44">
        <v>36255</v>
      </c>
      <c r="G15" s="43">
        <v>36260</v>
      </c>
      <c r="H15" s="42">
        <f t="shared" si="1"/>
        <v>36257.5</v>
      </c>
      <c r="I15" s="44">
        <v>36070</v>
      </c>
      <c r="J15" s="43">
        <v>36120</v>
      </c>
      <c r="K15" s="42">
        <f t="shared" si="2"/>
        <v>36095</v>
      </c>
      <c r="L15" s="50">
        <v>36300</v>
      </c>
      <c r="M15" s="49">
        <v>1.3143</v>
      </c>
      <c r="N15" s="49">
        <v>1.157</v>
      </c>
      <c r="O15" s="48">
        <v>154.19999999999999</v>
      </c>
      <c r="P15" s="41">
        <f t="shared" si="4"/>
        <v>27619.265007989045</v>
      </c>
      <c r="Q15" s="41">
        <f t="shared" si="5"/>
        <v>27588.830556189605</v>
      </c>
      <c r="R15" s="47">
        <f t="shared" si="3"/>
        <v>31374.243733794294</v>
      </c>
      <c r="S15" s="46">
        <v>1.3143</v>
      </c>
    </row>
    <row r="16" spans="1:19" x14ac:dyDescent="0.2">
      <c r="B16" s="45">
        <v>45973</v>
      </c>
      <c r="C16" s="44">
        <v>36975</v>
      </c>
      <c r="D16" s="43">
        <v>37000</v>
      </c>
      <c r="E16" s="42">
        <f t="shared" si="0"/>
        <v>36987.5</v>
      </c>
      <c r="F16" s="44">
        <v>36900</v>
      </c>
      <c r="G16" s="43">
        <v>36925</v>
      </c>
      <c r="H16" s="42">
        <f t="shared" si="1"/>
        <v>36912.5</v>
      </c>
      <c r="I16" s="44">
        <v>36735</v>
      </c>
      <c r="J16" s="43">
        <v>36785</v>
      </c>
      <c r="K16" s="42">
        <f t="shared" si="2"/>
        <v>36760</v>
      </c>
      <c r="L16" s="50">
        <v>37000</v>
      </c>
      <c r="M16" s="49">
        <v>1.3118000000000001</v>
      </c>
      <c r="N16" s="49">
        <v>1.1577</v>
      </c>
      <c r="O16" s="48">
        <v>154.81</v>
      </c>
      <c r="P16" s="41">
        <f t="shared" si="4"/>
        <v>28205.519134014328</v>
      </c>
      <c r="Q16" s="41">
        <f t="shared" si="5"/>
        <v>28148.345784418354</v>
      </c>
      <c r="R16" s="47">
        <f t="shared" si="3"/>
        <v>31959.920532089491</v>
      </c>
      <c r="S16" s="46">
        <v>1.3117000000000001</v>
      </c>
    </row>
    <row r="17" spans="2:19" x14ac:dyDescent="0.2">
      <c r="B17" s="45">
        <v>45974</v>
      </c>
      <c r="C17" s="44">
        <v>37600</v>
      </c>
      <c r="D17" s="43">
        <v>37650</v>
      </c>
      <c r="E17" s="42">
        <f t="shared" si="0"/>
        <v>37625</v>
      </c>
      <c r="F17" s="44">
        <v>37560</v>
      </c>
      <c r="G17" s="43">
        <v>37570</v>
      </c>
      <c r="H17" s="42">
        <f t="shared" si="1"/>
        <v>37565</v>
      </c>
      <c r="I17" s="44">
        <v>37385</v>
      </c>
      <c r="J17" s="43">
        <v>37435</v>
      </c>
      <c r="K17" s="42">
        <f t="shared" si="2"/>
        <v>37410</v>
      </c>
      <c r="L17" s="50">
        <v>37650</v>
      </c>
      <c r="M17" s="49">
        <v>1.3181</v>
      </c>
      <c r="N17" s="49">
        <v>1.1623000000000001</v>
      </c>
      <c r="O17" s="48">
        <v>154.61000000000001</v>
      </c>
      <c r="P17" s="41">
        <f t="shared" si="4"/>
        <v>28563.841893634777</v>
      </c>
      <c r="Q17" s="41">
        <f t="shared" si="5"/>
        <v>28503.148471284425</v>
      </c>
      <c r="R17" s="47">
        <f t="shared" si="3"/>
        <v>32392.669706616191</v>
      </c>
      <c r="S17" s="46">
        <v>1.3181</v>
      </c>
    </row>
    <row r="18" spans="2:19" x14ac:dyDescent="0.2">
      <c r="B18" s="45">
        <v>45975</v>
      </c>
      <c r="C18" s="44">
        <v>36915</v>
      </c>
      <c r="D18" s="43">
        <v>36920</v>
      </c>
      <c r="E18" s="42">
        <f t="shared" si="0"/>
        <v>36917.5</v>
      </c>
      <c r="F18" s="44">
        <v>37000</v>
      </c>
      <c r="G18" s="43">
        <v>37050</v>
      </c>
      <c r="H18" s="42">
        <f t="shared" si="1"/>
        <v>37025</v>
      </c>
      <c r="I18" s="44">
        <v>36855</v>
      </c>
      <c r="J18" s="43">
        <v>36905</v>
      </c>
      <c r="K18" s="42">
        <f t="shared" si="2"/>
        <v>36880</v>
      </c>
      <c r="L18" s="50">
        <v>36920</v>
      </c>
      <c r="M18" s="49">
        <v>1.3180000000000001</v>
      </c>
      <c r="N18" s="49">
        <v>1.1653</v>
      </c>
      <c r="O18" s="48">
        <v>153.81</v>
      </c>
      <c r="P18" s="41">
        <f t="shared" si="4"/>
        <v>28012.13960546282</v>
      </c>
      <c r="Q18" s="41">
        <f t="shared" si="5"/>
        <v>28110.773899848253</v>
      </c>
      <c r="R18" s="47">
        <f t="shared" si="3"/>
        <v>31682.828456191539</v>
      </c>
      <c r="S18" s="46">
        <v>1.3180000000000001</v>
      </c>
    </row>
    <row r="19" spans="2:19" x14ac:dyDescent="0.2">
      <c r="B19" s="45">
        <v>45978</v>
      </c>
      <c r="C19" s="44">
        <v>36700</v>
      </c>
      <c r="D19" s="43">
        <v>36725</v>
      </c>
      <c r="E19" s="42">
        <f t="shared" si="0"/>
        <v>36712.5</v>
      </c>
      <c r="F19" s="44">
        <v>36750</v>
      </c>
      <c r="G19" s="43">
        <v>36775</v>
      </c>
      <c r="H19" s="42">
        <f t="shared" si="1"/>
        <v>36762.5</v>
      </c>
      <c r="I19" s="44">
        <v>36610</v>
      </c>
      <c r="J19" s="43">
        <v>36660</v>
      </c>
      <c r="K19" s="42">
        <f t="shared" si="2"/>
        <v>36635</v>
      </c>
      <c r="L19" s="50">
        <v>36725</v>
      </c>
      <c r="M19" s="49">
        <v>1.3180000000000001</v>
      </c>
      <c r="N19" s="49">
        <v>1.1598999999999999</v>
      </c>
      <c r="O19" s="48">
        <v>154.85</v>
      </c>
      <c r="P19" s="41">
        <f t="shared" si="4"/>
        <v>27864.188163884672</v>
      </c>
      <c r="Q19" s="41">
        <f t="shared" si="5"/>
        <v>27902.124430955992</v>
      </c>
      <c r="R19" s="47">
        <f t="shared" si="3"/>
        <v>31662.212259677559</v>
      </c>
      <c r="S19" s="46">
        <v>1.3180000000000001</v>
      </c>
    </row>
    <row r="20" spans="2:19" x14ac:dyDescent="0.2">
      <c r="B20" s="45">
        <v>45979</v>
      </c>
      <c r="C20" s="44">
        <v>36730</v>
      </c>
      <c r="D20" s="43">
        <v>36770</v>
      </c>
      <c r="E20" s="42">
        <f t="shared" si="0"/>
        <v>36750</v>
      </c>
      <c r="F20" s="44">
        <v>36675</v>
      </c>
      <c r="G20" s="43">
        <v>36700</v>
      </c>
      <c r="H20" s="42">
        <f t="shared" si="1"/>
        <v>36687.5</v>
      </c>
      <c r="I20" s="44">
        <v>36560</v>
      </c>
      <c r="J20" s="43">
        <v>36610</v>
      </c>
      <c r="K20" s="42">
        <f t="shared" si="2"/>
        <v>36585</v>
      </c>
      <c r="L20" s="50">
        <v>36770</v>
      </c>
      <c r="M20" s="49">
        <v>1.3152999999999999</v>
      </c>
      <c r="N20" s="49">
        <v>1.1592</v>
      </c>
      <c r="O20" s="48">
        <v>155.19</v>
      </c>
      <c r="P20" s="41">
        <f t="shared" si="4"/>
        <v>27955.599483007682</v>
      </c>
      <c r="Q20" s="41">
        <f t="shared" si="5"/>
        <v>27902.379685242911</v>
      </c>
      <c r="R20" s="47">
        <f t="shared" si="3"/>
        <v>31720.15182884748</v>
      </c>
      <c r="S20" s="46">
        <v>1.3152999999999999</v>
      </c>
    </row>
    <row r="21" spans="2:19" x14ac:dyDescent="0.2">
      <c r="B21" s="45">
        <v>45980</v>
      </c>
      <c r="C21" s="44">
        <v>37400</v>
      </c>
      <c r="D21" s="43">
        <v>37450</v>
      </c>
      <c r="E21" s="42">
        <f t="shared" si="0"/>
        <v>37425</v>
      </c>
      <c r="F21" s="44">
        <v>37225</v>
      </c>
      <c r="G21" s="43">
        <v>37230</v>
      </c>
      <c r="H21" s="42">
        <f t="shared" si="1"/>
        <v>37227.5</v>
      </c>
      <c r="I21" s="44">
        <v>37090</v>
      </c>
      <c r="J21" s="43">
        <v>37140</v>
      </c>
      <c r="K21" s="42">
        <f t="shared" si="2"/>
        <v>37115</v>
      </c>
      <c r="L21" s="50">
        <v>37450</v>
      </c>
      <c r="M21" s="49">
        <v>1.3118000000000001</v>
      </c>
      <c r="N21" s="49">
        <v>1.1578999999999999</v>
      </c>
      <c r="O21" s="48">
        <v>156.25</v>
      </c>
      <c r="P21" s="41">
        <f t="shared" si="4"/>
        <v>28548.559231590181</v>
      </c>
      <c r="Q21" s="41">
        <f t="shared" si="5"/>
        <v>28380.850739441987</v>
      </c>
      <c r="R21" s="47">
        <f t="shared" si="3"/>
        <v>32343.034804387255</v>
      </c>
      <c r="S21" s="46">
        <v>1.3118000000000001</v>
      </c>
    </row>
    <row r="22" spans="2:19" x14ac:dyDescent="0.2">
      <c r="B22" s="45">
        <v>45981</v>
      </c>
      <c r="C22" s="44">
        <v>37395</v>
      </c>
      <c r="D22" s="43">
        <v>37400</v>
      </c>
      <c r="E22" s="42">
        <f t="shared" si="0"/>
        <v>37397.5</v>
      </c>
      <c r="F22" s="44">
        <v>37150</v>
      </c>
      <c r="G22" s="43">
        <v>37200</v>
      </c>
      <c r="H22" s="42">
        <f t="shared" si="1"/>
        <v>37175</v>
      </c>
      <c r="I22" s="44">
        <v>37010</v>
      </c>
      <c r="J22" s="43">
        <v>37060</v>
      </c>
      <c r="K22" s="42">
        <f t="shared" si="2"/>
        <v>37035</v>
      </c>
      <c r="L22" s="50">
        <v>37400</v>
      </c>
      <c r="M22" s="49">
        <v>1.3057000000000001</v>
      </c>
      <c r="N22" s="49">
        <v>1.1511</v>
      </c>
      <c r="O22" s="48">
        <v>157.71</v>
      </c>
      <c r="P22" s="41">
        <f t="shared" si="4"/>
        <v>28643.639427127211</v>
      </c>
      <c r="Q22" s="41">
        <f t="shared" si="5"/>
        <v>28490.464884736157</v>
      </c>
      <c r="R22" s="47">
        <f t="shared" si="3"/>
        <v>32490.661106767438</v>
      </c>
      <c r="S22" s="46">
        <v>1.3059000000000001</v>
      </c>
    </row>
    <row r="23" spans="2:19" x14ac:dyDescent="0.2">
      <c r="B23" s="45">
        <v>45982</v>
      </c>
      <c r="C23" s="44">
        <v>36825</v>
      </c>
      <c r="D23" s="43">
        <v>36875</v>
      </c>
      <c r="E23" s="42">
        <f t="shared" si="0"/>
        <v>36850</v>
      </c>
      <c r="F23" s="44">
        <v>36700</v>
      </c>
      <c r="G23" s="43">
        <v>36710</v>
      </c>
      <c r="H23" s="42">
        <f t="shared" si="1"/>
        <v>36705</v>
      </c>
      <c r="I23" s="44">
        <v>36540</v>
      </c>
      <c r="J23" s="43">
        <v>36590</v>
      </c>
      <c r="K23" s="42">
        <f t="shared" si="2"/>
        <v>36565</v>
      </c>
      <c r="L23" s="50">
        <v>36875</v>
      </c>
      <c r="M23" s="49">
        <v>1.3089</v>
      </c>
      <c r="N23" s="49">
        <v>1.1525000000000001</v>
      </c>
      <c r="O23" s="48">
        <v>156.76</v>
      </c>
      <c r="P23" s="41">
        <f t="shared" si="4"/>
        <v>28172.51126900451</v>
      </c>
      <c r="Q23" s="41">
        <f t="shared" si="5"/>
        <v>28046.451218580489</v>
      </c>
      <c r="R23" s="47">
        <f t="shared" si="3"/>
        <v>31995.661605206071</v>
      </c>
      <c r="S23" s="46">
        <v>1.3089</v>
      </c>
    </row>
    <row r="24" spans="2:19" x14ac:dyDescent="0.2">
      <c r="B24" s="45">
        <v>45985</v>
      </c>
      <c r="C24" s="44">
        <v>37450</v>
      </c>
      <c r="D24" s="43">
        <v>37475</v>
      </c>
      <c r="E24" s="42">
        <f t="shared" si="0"/>
        <v>37462.5</v>
      </c>
      <c r="F24" s="44">
        <v>37250</v>
      </c>
      <c r="G24" s="43">
        <v>37275</v>
      </c>
      <c r="H24" s="42">
        <f t="shared" si="1"/>
        <v>37262.5</v>
      </c>
      <c r="I24" s="44">
        <v>37000</v>
      </c>
      <c r="J24" s="43">
        <v>37050</v>
      </c>
      <c r="K24" s="42">
        <f t="shared" si="2"/>
        <v>37025</v>
      </c>
      <c r="L24" s="50">
        <v>37475</v>
      </c>
      <c r="M24" s="49">
        <v>1.3111999999999999</v>
      </c>
      <c r="N24" s="49">
        <v>1.1547000000000001</v>
      </c>
      <c r="O24" s="48">
        <v>156.55000000000001</v>
      </c>
      <c r="P24" s="41">
        <f t="shared" si="4"/>
        <v>28580.689444783406</v>
      </c>
      <c r="Q24" s="41">
        <f t="shared" si="5"/>
        <v>28428.157413056742</v>
      </c>
      <c r="R24" s="47">
        <f t="shared" si="3"/>
        <v>32454.317138650731</v>
      </c>
      <c r="S24" s="46">
        <v>1.3111999999999999</v>
      </c>
    </row>
    <row r="25" spans="2:19" x14ac:dyDescent="0.2">
      <c r="B25" s="45">
        <v>45986</v>
      </c>
      <c r="C25" s="44">
        <v>37850</v>
      </c>
      <c r="D25" s="43">
        <v>37900</v>
      </c>
      <c r="E25" s="42">
        <f t="shared" si="0"/>
        <v>37875</v>
      </c>
      <c r="F25" s="44">
        <v>37800</v>
      </c>
      <c r="G25" s="43">
        <v>37850</v>
      </c>
      <c r="H25" s="42">
        <f t="shared" si="1"/>
        <v>37825</v>
      </c>
      <c r="I25" s="44">
        <v>37570</v>
      </c>
      <c r="J25" s="43">
        <v>37620</v>
      </c>
      <c r="K25" s="42">
        <f t="shared" si="2"/>
        <v>37595</v>
      </c>
      <c r="L25" s="50">
        <v>37900</v>
      </c>
      <c r="M25" s="49">
        <v>1.3136000000000001</v>
      </c>
      <c r="N25" s="49">
        <v>1.1544000000000001</v>
      </c>
      <c r="O25" s="48">
        <v>156.30000000000001</v>
      </c>
      <c r="P25" s="41">
        <f t="shared" si="4"/>
        <v>28852.009744214371</v>
      </c>
      <c r="Q25" s="41">
        <f t="shared" si="5"/>
        <v>28813.946406820949</v>
      </c>
      <c r="R25" s="47">
        <f t="shared" si="3"/>
        <v>32830.907830907825</v>
      </c>
      <c r="S25" s="46">
        <v>1.3136000000000001</v>
      </c>
    </row>
    <row r="26" spans="2:19" x14ac:dyDescent="0.2">
      <c r="B26" s="45">
        <v>45987</v>
      </c>
      <c r="C26" s="44">
        <v>37990</v>
      </c>
      <c r="D26" s="43">
        <v>37995</v>
      </c>
      <c r="E26" s="42">
        <f t="shared" si="0"/>
        <v>37992.5</v>
      </c>
      <c r="F26" s="44">
        <v>37800</v>
      </c>
      <c r="G26" s="43">
        <v>37825</v>
      </c>
      <c r="H26" s="42">
        <f t="shared" si="1"/>
        <v>37812.5</v>
      </c>
      <c r="I26" s="44">
        <v>37470</v>
      </c>
      <c r="J26" s="43">
        <v>37520</v>
      </c>
      <c r="K26" s="42">
        <f t="shared" si="2"/>
        <v>37495</v>
      </c>
      <c r="L26" s="50">
        <v>37995</v>
      </c>
      <c r="M26" s="49">
        <v>1.3185</v>
      </c>
      <c r="N26" s="49">
        <v>1.1573</v>
      </c>
      <c r="O26" s="48">
        <v>156.47999999999999</v>
      </c>
      <c r="P26" s="41">
        <f t="shared" si="4"/>
        <v>28816.83731513083</v>
      </c>
      <c r="Q26" s="41">
        <f t="shared" si="5"/>
        <v>28687.90291998483</v>
      </c>
      <c r="R26" s="47">
        <f t="shared" si="3"/>
        <v>32830.726691436968</v>
      </c>
      <c r="S26" s="46">
        <v>1.3185</v>
      </c>
    </row>
    <row r="27" spans="2:19" x14ac:dyDescent="0.2">
      <c r="B27" s="45">
        <v>45988</v>
      </c>
      <c r="C27" s="44">
        <v>38375</v>
      </c>
      <c r="D27" s="43">
        <v>38400</v>
      </c>
      <c r="E27" s="42">
        <f t="shared" si="0"/>
        <v>38387.5</v>
      </c>
      <c r="F27" s="44">
        <v>38125</v>
      </c>
      <c r="G27" s="43">
        <v>38150</v>
      </c>
      <c r="H27" s="42">
        <f t="shared" si="1"/>
        <v>38137.5</v>
      </c>
      <c r="I27" s="44">
        <v>37825</v>
      </c>
      <c r="J27" s="43">
        <v>37875</v>
      </c>
      <c r="K27" s="42">
        <f t="shared" si="2"/>
        <v>37850</v>
      </c>
      <c r="L27" s="50">
        <v>38400</v>
      </c>
      <c r="M27" s="49">
        <v>1.3233999999999999</v>
      </c>
      <c r="N27" s="49">
        <v>1.1583000000000001</v>
      </c>
      <c r="O27" s="48">
        <v>156.38</v>
      </c>
      <c r="P27" s="41">
        <f t="shared" si="4"/>
        <v>29016.170470001514</v>
      </c>
      <c r="Q27" s="41">
        <f t="shared" si="5"/>
        <v>28827.263110170774</v>
      </c>
      <c r="R27" s="47">
        <f t="shared" si="3"/>
        <v>33152.033152033146</v>
      </c>
      <c r="S27" s="46">
        <v>1.3233999999999999</v>
      </c>
    </row>
    <row r="28" spans="2:19" x14ac:dyDescent="0.2">
      <c r="B28" s="45">
        <v>45989</v>
      </c>
      <c r="C28" s="44">
        <v>39100</v>
      </c>
      <c r="D28" s="43">
        <v>39125</v>
      </c>
      <c r="E28" s="42">
        <f t="shared" si="0"/>
        <v>39112.5</v>
      </c>
      <c r="F28" s="44">
        <v>38990</v>
      </c>
      <c r="G28" s="43">
        <v>39010</v>
      </c>
      <c r="H28" s="42">
        <f t="shared" si="1"/>
        <v>39000</v>
      </c>
      <c r="I28" s="44">
        <v>38680</v>
      </c>
      <c r="J28" s="43">
        <v>38730</v>
      </c>
      <c r="K28" s="42">
        <f t="shared" si="2"/>
        <v>38705</v>
      </c>
      <c r="L28" s="50">
        <v>39125</v>
      </c>
      <c r="M28" s="49">
        <v>1.3219000000000001</v>
      </c>
      <c r="N28" s="49">
        <v>1.1567000000000001</v>
      </c>
      <c r="O28" s="48">
        <v>156.12</v>
      </c>
      <c r="P28" s="41">
        <f t="shared" si="4"/>
        <v>29597.54898252515</v>
      </c>
      <c r="Q28" s="41">
        <f t="shared" si="5"/>
        <v>29510.552991905588</v>
      </c>
      <c r="R28" s="47">
        <f t="shared" si="3"/>
        <v>33824.673640529087</v>
      </c>
      <c r="S28" s="46">
        <v>1.3219000000000001</v>
      </c>
    </row>
    <row r="29" spans="2:19" x14ac:dyDescent="0.2">
      <c r="B29" s="40" t="s">
        <v>11</v>
      </c>
      <c r="C29" s="39">
        <f>ROUND(AVERAGE(C9:C28),2)</f>
        <v>36991.5</v>
      </c>
      <c r="D29" s="38">
        <f>ROUND(AVERAGE(D9:D28),2)</f>
        <v>37015.75</v>
      </c>
      <c r="E29" s="37">
        <f>ROUND(AVERAGE(C29:D29),2)</f>
        <v>37003.629999999997</v>
      </c>
      <c r="F29" s="39">
        <f>ROUND(AVERAGE(F9:F28),2)</f>
        <v>36912.75</v>
      </c>
      <c r="G29" s="38">
        <f>ROUND(AVERAGE(G9:G28),2)</f>
        <v>36939.5</v>
      </c>
      <c r="H29" s="37">
        <f>ROUND(AVERAGE(F29:G29),2)</f>
        <v>36926.129999999997</v>
      </c>
      <c r="I29" s="39">
        <f>ROUND(AVERAGE(I9:I28),2)</f>
        <v>36715</v>
      </c>
      <c r="J29" s="38">
        <f>ROUND(AVERAGE(J9:J28),2)</f>
        <v>36765</v>
      </c>
      <c r="K29" s="37">
        <f>ROUND(AVERAGE(I29:J29),2)</f>
        <v>36740</v>
      </c>
      <c r="L29" s="36">
        <f>ROUND(AVERAGE(L9:L28),2)</f>
        <v>37015.75</v>
      </c>
      <c r="M29" s="35">
        <f>ROUND(AVERAGE(M9:M28),4)</f>
        <v>1.3138000000000001</v>
      </c>
      <c r="N29" s="34">
        <f>ROUND(AVERAGE(N9:N28),4)</f>
        <v>1.1559999999999999</v>
      </c>
      <c r="O29" s="167">
        <f>ROUND(AVERAGE(O9:O28),2)</f>
        <v>155.11000000000001</v>
      </c>
      <c r="P29" s="33">
        <f>AVERAGE(P9:P28)</f>
        <v>28174.206248301583</v>
      </c>
      <c r="Q29" s="33">
        <f>AVERAGE(Q9:Q28)</f>
        <v>28116.177186810739</v>
      </c>
      <c r="R29" s="33">
        <f>AVERAGE(R9:R28)</f>
        <v>32020.673847125803</v>
      </c>
      <c r="S29" s="32">
        <f>AVERAGE(S9:S28)</f>
        <v>1.3137350000000001</v>
      </c>
    </row>
    <row r="30" spans="2:19" x14ac:dyDescent="0.2">
      <c r="B30" s="31" t="s">
        <v>12</v>
      </c>
      <c r="C30" s="30">
        <f t="shared" ref="C30:S30" si="6">MAX(C9:C28)</f>
        <v>39100</v>
      </c>
      <c r="D30" s="29">
        <f t="shared" si="6"/>
        <v>39125</v>
      </c>
      <c r="E30" s="28">
        <f t="shared" si="6"/>
        <v>39112.5</v>
      </c>
      <c r="F30" s="30">
        <f t="shared" si="6"/>
        <v>38990</v>
      </c>
      <c r="G30" s="29">
        <f t="shared" si="6"/>
        <v>39010</v>
      </c>
      <c r="H30" s="28">
        <f t="shared" si="6"/>
        <v>39000</v>
      </c>
      <c r="I30" s="30">
        <f t="shared" si="6"/>
        <v>38680</v>
      </c>
      <c r="J30" s="29">
        <f t="shared" si="6"/>
        <v>38730</v>
      </c>
      <c r="K30" s="28">
        <f t="shared" si="6"/>
        <v>38705</v>
      </c>
      <c r="L30" s="27">
        <f t="shared" si="6"/>
        <v>39125</v>
      </c>
      <c r="M30" s="26">
        <f t="shared" si="6"/>
        <v>1.3233999999999999</v>
      </c>
      <c r="N30" s="25">
        <f t="shared" si="6"/>
        <v>1.1653</v>
      </c>
      <c r="O30" s="24">
        <f t="shared" si="6"/>
        <v>157.71</v>
      </c>
      <c r="P30" s="23">
        <f t="shared" si="6"/>
        <v>29597.54898252515</v>
      </c>
      <c r="Q30" s="23">
        <f t="shared" si="6"/>
        <v>29510.552991905588</v>
      </c>
      <c r="R30" s="23">
        <f t="shared" si="6"/>
        <v>33824.673640529087</v>
      </c>
      <c r="S30" s="22">
        <f t="shared" si="6"/>
        <v>1.3233999999999999</v>
      </c>
    </row>
    <row r="31" spans="2:19" ht="13.5" thickBot="1" x14ac:dyDescent="0.25">
      <c r="B31" s="21" t="s">
        <v>13</v>
      </c>
      <c r="C31" s="20">
        <f t="shared" ref="C31:S31" si="7">MIN(C9:C28)</f>
        <v>35590</v>
      </c>
      <c r="D31" s="19">
        <f t="shared" si="7"/>
        <v>35610</v>
      </c>
      <c r="E31" s="18">
        <f t="shared" si="7"/>
        <v>35600</v>
      </c>
      <c r="F31" s="20">
        <f t="shared" si="7"/>
        <v>35550</v>
      </c>
      <c r="G31" s="19">
        <f t="shared" si="7"/>
        <v>35575</v>
      </c>
      <c r="H31" s="18">
        <f t="shared" si="7"/>
        <v>35562.5</v>
      </c>
      <c r="I31" s="20">
        <f t="shared" si="7"/>
        <v>35355</v>
      </c>
      <c r="J31" s="19">
        <f t="shared" si="7"/>
        <v>35405</v>
      </c>
      <c r="K31" s="18">
        <f t="shared" si="7"/>
        <v>35380</v>
      </c>
      <c r="L31" s="17">
        <f t="shared" si="7"/>
        <v>35610</v>
      </c>
      <c r="M31" s="16">
        <f t="shared" si="7"/>
        <v>1.3042</v>
      </c>
      <c r="N31" s="15">
        <f t="shared" si="7"/>
        <v>1.1489</v>
      </c>
      <c r="O31" s="14">
        <f t="shared" si="7"/>
        <v>153.1</v>
      </c>
      <c r="P31" s="13">
        <f t="shared" si="7"/>
        <v>27304.094464039259</v>
      </c>
      <c r="Q31" s="13">
        <f t="shared" si="7"/>
        <v>27277.258089250114</v>
      </c>
      <c r="R31" s="13">
        <f t="shared" si="7"/>
        <v>30989.470020015666</v>
      </c>
      <c r="S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45964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45964</v>
      </c>
      <c r="C9" s="44">
        <v>14965</v>
      </c>
      <c r="D9" s="43">
        <v>14970</v>
      </c>
      <c r="E9" s="42">
        <f t="shared" ref="E9:E28" si="0">AVERAGE(C9:D9)</f>
        <v>14967.5</v>
      </c>
      <c r="F9" s="44">
        <v>15175</v>
      </c>
      <c r="G9" s="43">
        <v>15180</v>
      </c>
      <c r="H9" s="42">
        <f t="shared" ref="H9:H28" si="1">AVERAGE(F9:G9)</f>
        <v>15177.5</v>
      </c>
      <c r="I9" s="44">
        <v>15735</v>
      </c>
      <c r="J9" s="43">
        <v>15785</v>
      </c>
      <c r="K9" s="42">
        <f t="shared" ref="K9:K28" si="2">AVERAGE(I9:J9)</f>
        <v>15760</v>
      </c>
      <c r="L9" s="44">
        <v>16350</v>
      </c>
      <c r="M9" s="43">
        <v>16400</v>
      </c>
      <c r="N9" s="42">
        <f t="shared" ref="N9:N28" si="3">AVERAGE(L9:M9)</f>
        <v>16375</v>
      </c>
      <c r="O9" s="44">
        <v>16940</v>
      </c>
      <c r="P9" s="43">
        <v>16990</v>
      </c>
      <c r="Q9" s="42">
        <f t="shared" ref="Q9:Q28" si="4">AVERAGE(O9:P9)</f>
        <v>16965</v>
      </c>
      <c r="R9" s="50">
        <v>14970</v>
      </c>
      <c r="S9" s="49">
        <v>1.3142</v>
      </c>
      <c r="T9" s="51">
        <v>1.1516999999999999</v>
      </c>
      <c r="U9" s="48">
        <v>154.18</v>
      </c>
      <c r="V9" s="41">
        <f>D9/S9</f>
        <v>11390.960280018262</v>
      </c>
      <c r="W9" s="41">
        <f>G9/S9</f>
        <v>11550.753309998478</v>
      </c>
      <c r="X9" s="47">
        <f t="shared" ref="X9:X28" si="5">R9/T9</f>
        <v>12998.176608491794</v>
      </c>
      <c r="Y9" s="46">
        <v>1.3142</v>
      </c>
    </row>
    <row r="10" spans="1:25" x14ac:dyDescent="0.2">
      <c r="B10" s="45">
        <v>45965</v>
      </c>
      <c r="C10" s="44">
        <v>14930</v>
      </c>
      <c r="D10" s="43">
        <v>14940</v>
      </c>
      <c r="E10" s="42">
        <f t="shared" si="0"/>
        <v>14935</v>
      </c>
      <c r="F10" s="44">
        <v>15115</v>
      </c>
      <c r="G10" s="43">
        <v>15120</v>
      </c>
      <c r="H10" s="42">
        <f t="shared" si="1"/>
        <v>15117.5</v>
      </c>
      <c r="I10" s="44">
        <v>15675</v>
      </c>
      <c r="J10" s="43">
        <v>15725</v>
      </c>
      <c r="K10" s="42">
        <f t="shared" si="2"/>
        <v>15700</v>
      </c>
      <c r="L10" s="44">
        <v>16285</v>
      </c>
      <c r="M10" s="43">
        <v>16335</v>
      </c>
      <c r="N10" s="42">
        <f t="shared" si="3"/>
        <v>16310</v>
      </c>
      <c r="O10" s="44">
        <v>16880</v>
      </c>
      <c r="P10" s="43">
        <v>16930</v>
      </c>
      <c r="Q10" s="42">
        <f t="shared" si="4"/>
        <v>16905</v>
      </c>
      <c r="R10" s="50">
        <v>14940</v>
      </c>
      <c r="S10" s="49">
        <v>1.3068</v>
      </c>
      <c r="T10" s="49">
        <v>1.1489</v>
      </c>
      <c r="U10" s="48">
        <v>153.53</v>
      </c>
      <c r="V10" s="41">
        <f t="shared" ref="V10:V28" si="6">D10/S10</f>
        <v>11432.506887052343</v>
      </c>
      <c r="W10" s="41">
        <f t="shared" ref="W10:W28" si="7">G10/S10</f>
        <v>11570.247933884299</v>
      </c>
      <c r="X10" s="47">
        <f t="shared" si="5"/>
        <v>13003.742710418661</v>
      </c>
      <c r="Y10" s="46">
        <v>1.3068</v>
      </c>
    </row>
    <row r="11" spans="1:25" x14ac:dyDescent="0.2">
      <c r="B11" s="45">
        <v>45966</v>
      </c>
      <c r="C11" s="44">
        <v>14830</v>
      </c>
      <c r="D11" s="43">
        <v>14840</v>
      </c>
      <c r="E11" s="42">
        <f t="shared" si="0"/>
        <v>14835</v>
      </c>
      <c r="F11" s="44">
        <v>15020</v>
      </c>
      <c r="G11" s="43">
        <v>15025</v>
      </c>
      <c r="H11" s="42">
        <f t="shared" si="1"/>
        <v>15022.5</v>
      </c>
      <c r="I11" s="44">
        <v>15570</v>
      </c>
      <c r="J11" s="43">
        <v>15620</v>
      </c>
      <c r="K11" s="42">
        <f t="shared" si="2"/>
        <v>15595</v>
      </c>
      <c r="L11" s="44">
        <v>16180</v>
      </c>
      <c r="M11" s="43">
        <v>16230</v>
      </c>
      <c r="N11" s="42">
        <f t="shared" si="3"/>
        <v>16205</v>
      </c>
      <c r="O11" s="44">
        <v>16765</v>
      </c>
      <c r="P11" s="43">
        <v>16815</v>
      </c>
      <c r="Q11" s="42">
        <f t="shared" si="4"/>
        <v>16790</v>
      </c>
      <c r="R11" s="50">
        <v>14840</v>
      </c>
      <c r="S11" s="49">
        <v>1.3042</v>
      </c>
      <c r="T11" s="49">
        <v>1.1491</v>
      </c>
      <c r="U11" s="48">
        <v>153.71</v>
      </c>
      <c r="V11" s="41">
        <f t="shared" si="6"/>
        <v>11378.622910596534</v>
      </c>
      <c r="W11" s="41">
        <f t="shared" si="7"/>
        <v>11520.472320196288</v>
      </c>
      <c r="X11" s="47">
        <f t="shared" si="5"/>
        <v>12914.454790705769</v>
      </c>
      <c r="Y11" s="46">
        <v>1.3041</v>
      </c>
    </row>
    <row r="12" spans="1:25" x14ac:dyDescent="0.2">
      <c r="B12" s="45">
        <v>45967</v>
      </c>
      <c r="C12" s="44">
        <v>14915</v>
      </c>
      <c r="D12" s="43">
        <v>14920</v>
      </c>
      <c r="E12" s="42">
        <f t="shared" si="0"/>
        <v>14917.5</v>
      </c>
      <c r="F12" s="44">
        <v>15115</v>
      </c>
      <c r="G12" s="43">
        <v>15120</v>
      </c>
      <c r="H12" s="42">
        <f t="shared" si="1"/>
        <v>15117.5</v>
      </c>
      <c r="I12" s="44">
        <v>15665</v>
      </c>
      <c r="J12" s="43">
        <v>15715</v>
      </c>
      <c r="K12" s="42">
        <f t="shared" si="2"/>
        <v>15690</v>
      </c>
      <c r="L12" s="44">
        <v>16275</v>
      </c>
      <c r="M12" s="43">
        <v>16325</v>
      </c>
      <c r="N12" s="42">
        <f t="shared" si="3"/>
        <v>16300</v>
      </c>
      <c r="O12" s="44">
        <v>16840</v>
      </c>
      <c r="P12" s="43">
        <v>16890</v>
      </c>
      <c r="Q12" s="42">
        <f t="shared" si="4"/>
        <v>16865</v>
      </c>
      <c r="R12" s="50">
        <v>14920</v>
      </c>
      <c r="S12" s="49">
        <v>1.31</v>
      </c>
      <c r="T12" s="49">
        <v>1.1531</v>
      </c>
      <c r="U12" s="48">
        <v>153.61000000000001</v>
      </c>
      <c r="V12" s="41">
        <f t="shared" si="6"/>
        <v>11389.312977099236</v>
      </c>
      <c r="W12" s="41">
        <f t="shared" si="7"/>
        <v>11541.984732824427</v>
      </c>
      <c r="X12" s="47">
        <f t="shared" si="5"/>
        <v>12939.033908594223</v>
      </c>
      <c r="Y12" s="46">
        <v>1.3098000000000001</v>
      </c>
    </row>
    <row r="13" spans="1:25" x14ac:dyDescent="0.2">
      <c r="B13" s="45">
        <v>45968</v>
      </c>
      <c r="C13" s="44">
        <v>14865</v>
      </c>
      <c r="D13" s="43">
        <v>14870</v>
      </c>
      <c r="E13" s="42">
        <f t="shared" si="0"/>
        <v>14867.5</v>
      </c>
      <c r="F13" s="44">
        <v>15060</v>
      </c>
      <c r="G13" s="43">
        <v>15070</v>
      </c>
      <c r="H13" s="42">
        <f t="shared" si="1"/>
        <v>15065</v>
      </c>
      <c r="I13" s="44">
        <v>15610</v>
      </c>
      <c r="J13" s="43">
        <v>15660</v>
      </c>
      <c r="K13" s="42">
        <f t="shared" si="2"/>
        <v>15635</v>
      </c>
      <c r="L13" s="44">
        <v>16215</v>
      </c>
      <c r="M13" s="43">
        <v>16265</v>
      </c>
      <c r="N13" s="42">
        <f t="shared" si="3"/>
        <v>16240</v>
      </c>
      <c r="O13" s="44">
        <v>16780</v>
      </c>
      <c r="P13" s="43">
        <v>16830</v>
      </c>
      <c r="Q13" s="42">
        <f t="shared" si="4"/>
        <v>16805</v>
      </c>
      <c r="R13" s="50">
        <v>14870</v>
      </c>
      <c r="S13" s="49">
        <v>1.3115000000000001</v>
      </c>
      <c r="T13" s="49">
        <v>1.1556</v>
      </c>
      <c r="U13" s="48">
        <v>153.1</v>
      </c>
      <c r="V13" s="41">
        <f t="shared" si="6"/>
        <v>11338.162409454822</v>
      </c>
      <c r="W13" s="41">
        <f t="shared" si="7"/>
        <v>11490.659550133434</v>
      </c>
      <c r="X13" s="47">
        <f t="shared" si="5"/>
        <v>12867.774316372448</v>
      </c>
      <c r="Y13" s="46">
        <v>1.3112999999999999</v>
      </c>
    </row>
    <row r="14" spans="1:25" x14ac:dyDescent="0.2">
      <c r="B14" s="45">
        <v>45971</v>
      </c>
      <c r="C14" s="44">
        <v>14915</v>
      </c>
      <c r="D14" s="43">
        <v>14920</v>
      </c>
      <c r="E14" s="42">
        <f t="shared" si="0"/>
        <v>14917.5</v>
      </c>
      <c r="F14" s="44">
        <v>15105</v>
      </c>
      <c r="G14" s="43">
        <v>15110</v>
      </c>
      <c r="H14" s="42">
        <f t="shared" si="1"/>
        <v>15107.5</v>
      </c>
      <c r="I14" s="44">
        <v>15640</v>
      </c>
      <c r="J14" s="43">
        <v>15690</v>
      </c>
      <c r="K14" s="42">
        <f t="shared" si="2"/>
        <v>15665</v>
      </c>
      <c r="L14" s="44">
        <v>16230</v>
      </c>
      <c r="M14" s="43">
        <v>16280</v>
      </c>
      <c r="N14" s="42">
        <f t="shared" si="3"/>
        <v>16255</v>
      </c>
      <c r="O14" s="44">
        <v>16795</v>
      </c>
      <c r="P14" s="43">
        <v>16845</v>
      </c>
      <c r="Q14" s="42">
        <f t="shared" si="4"/>
        <v>16820</v>
      </c>
      <c r="R14" s="50">
        <v>14920</v>
      </c>
      <c r="S14" s="49">
        <v>1.3181</v>
      </c>
      <c r="T14" s="49">
        <v>1.1568000000000001</v>
      </c>
      <c r="U14" s="48">
        <v>154.12</v>
      </c>
      <c r="V14" s="41">
        <f t="shared" si="6"/>
        <v>11319.323268340793</v>
      </c>
      <c r="W14" s="41">
        <f t="shared" si="7"/>
        <v>11463.47014642288</v>
      </c>
      <c r="X14" s="47">
        <f t="shared" si="5"/>
        <v>12897.648686030429</v>
      </c>
      <c r="Y14" s="46">
        <v>1.3179000000000001</v>
      </c>
    </row>
    <row r="15" spans="1:25" x14ac:dyDescent="0.2">
      <c r="B15" s="45">
        <v>45972</v>
      </c>
      <c r="C15" s="44">
        <v>14825</v>
      </c>
      <c r="D15" s="43">
        <v>14850</v>
      </c>
      <c r="E15" s="42">
        <f t="shared" si="0"/>
        <v>14837.5</v>
      </c>
      <c r="F15" s="44">
        <v>15040</v>
      </c>
      <c r="G15" s="43">
        <v>15065</v>
      </c>
      <c r="H15" s="42">
        <f t="shared" si="1"/>
        <v>15052.5</v>
      </c>
      <c r="I15" s="44">
        <v>15590</v>
      </c>
      <c r="J15" s="43">
        <v>15640</v>
      </c>
      <c r="K15" s="42">
        <f t="shared" si="2"/>
        <v>15615</v>
      </c>
      <c r="L15" s="44">
        <v>16180</v>
      </c>
      <c r="M15" s="43">
        <v>16230</v>
      </c>
      <c r="N15" s="42">
        <f t="shared" si="3"/>
        <v>16205</v>
      </c>
      <c r="O15" s="44">
        <v>16745</v>
      </c>
      <c r="P15" s="43">
        <v>16795</v>
      </c>
      <c r="Q15" s="42">
        <f t="shared" si="4"/>
        <v>16770</v>
      </c>
      <c r="R15" s="50">
        <v>14850</v>
      </c>
      <c r="S15" s="49">
        <v>1.3143</v>
      </c>
      <c r="T15" s="49">
        <v>1.157</v>
      </c>
      <c r="U15" s="48">
        <v>154.19999999999999</v>
      </c>
      <c r="V15" s="41">
        <f t="shared" si="6"/>
        <v>11298.790230540972</v>
      </c>
      <c r="W15" s="41">
        <f t="shared" si="7"/>
        <v>11462.375408962946</v>
      </c>
      <c r="X15" s="47">
        <f t="shared" si="5"/>
        <v>12834.917891097666</v>
      </c>
      <c r="Y15" s="46">
        <v>1.3143</v>
      </c>
    </row>
    <row r="16" spans="1:25" x14ac:dyDescent="0.2">
      <c r="B16" s="45">
        <v>45973</v>
      </c>
      <c r="C16" s="44">
        <v>14840</v>
      </c>
      <c r="D16" s="43">
        <v>14845</v>
      </c>
      <c r="E16" s="42">
        <f t="shared" si="0"/>
        <v>14842.5</v>
      </c>
      <c r="F16" s="44">
        <v>15060</v>
      </c>
      <c r="G16" s="43">
        <v>15070</v>
      </c>
      <c r="H16" s="42">
        <f t="shared" si="1"/>
        <v>15065</v>
      </c>
      <c r="I16" s="44">
        <v>15605</v>
      </c>
      <c r="J16" s="43">
        <v>15655</v>
      </c>
      <c r="K16" s="42">
        <f t="shared" si="2"/>
        <v>15630</v>
      </c>
      <c r="L16" s="44">
        <v>16180</v>
      </c>
      <c r="M16" s="43">
        <v>16230</v>
      </c>
      <c r="N16" s="42">
        <f t="shared" si="3"/>
        <v>16205</v>
      </c>
      <c r="O16" s="44">
        <v>16745</v>
      </c>
      <c r="P16" s="43">
        <v>16795</v>
      </c>
      <c r="Q16" s="42">
        <f t="shared" si="4"/>
        <v>16770</v>
      </c>
      <c r="R16" s="50">
        <v>14845</v>
      </c>
      <c r="S16" s="49">
        <v>1.3118000000000001</v>
      </c>
      <c r="T16" s="49">
        <v>1.1577</v>
      </c>
      <c r="U16" s="48">
        <v>154.81</v>
      </c>
      <c r="V16" s="41">
        <f t="shared" si="6"/>
        <v>11316.511663363317</v>
      </c>
      <c r="W16" s="41">
        <f t="shared" si="7"/>
        <v>11488.031712151242</v>
      </c>
      <c r="X16" s="47">
        <f t="shared" si="5"/>
        <v>12822.838386455904</v>
      </c>
      <c r="Y16" s="46">
        <v>1.3117000000000001</v>
      </c>
    </row>
    <row r="17" spans="2:25" x14ac:dyDescent="0.2">
      <c r="B17" s="45">
        <v>45974</v>
      </c>
      <c r="C17" s="44">
        <v>14850</v>
      </c>
      <c r="D17" s="43">
        <v>14855</v>
      </c>
      <c r="E17" s="42">
        <f t="shared" si="0"/>
        <v>14852.5</v>
      </c>
      <c r="F17" s="44">
        <v>15055</v>
      </c>
      <c r="G17" s="43">
        <v>15060</v>
      </c>
      <c r="H17" s="42">
        <f t="shared" si="1"/>
        <v>15057.5</v>
      </c>
      <c r="I17" s="44">
        <v>15595</v>
      </c>
      <c r="J17" s="43">
        <v>15645</v>
      </c>
      <c r="K17" s="42">
        <f t="shared" si="2"/>
        <v>15620</v>
      </c>
      <c r="L17" s="44">
        <v>16185</v>
      </c>
      <c r="M17" s="43">
        <v>16235</v>
      </c>
      <c r="N17" s="42">
        <f t="shared" si="3"/>
        <v>16210</v>
      </c>
      <c r="O17" s="44">
        <v>16750</v>
      </c>
      <c r="P17" s="43">
        <v>16800</v>
      </c>
      <c r="Q17" s="42">
        <f t="shared" si="4"/>
        <v>16775</v>
      </c>
      <c r="R17" s="50">
        <v>14855</v>
      </c>
      <c r="S17" s="49">
        <v>1.3181</v>
      </c>
      <c r="T17" s="49">
        <v>1.1623000000000001</v>
      </c>
      <c r="U17" s="48">
        <v>154.61000000000001</v>
      </c>
      <c r="V17" s="41">
        <f t="shared" si="6"/>
        <v>11270.009862681132</v>
      </c>
      <c r="W17" s="41">
        <f t="shared" si="7"/>
        <v>11425.53675745391</v>
      </c>
      <c r="X17" s="47">
        <f t="shared" si="5"/>
        <v>12780.693452637011</v>
      </c>
      <c r="Y17" s="46">
        <v>1.3181</v>
      </c>
    </row>
    <row r="18" spans="2:25" x14ac:dyDescent="0.2">
      <c r="B18" s="45">
        <v>45975</v>
      </c>
      <c r="C18" s="44">
        <v>14665</v>
      </c>
      <c r="D18" s="43">
        <v>14670</v>
      </c>
      <c r="E18" s="42">
        <f t="shared" si="0"/>
        <v>14667.5</v>
      </c>
      <c r="F18" s="44">
        <v>14860</v>
      </c>
      <c r="G18" s="43">
        <v>14870</v>
      </c>
      <c r="H18" s="42">
        <f t="shared" si="1"/>
        <v>14865</v>
      </c>
      <c r="I18" s="44">
        <v>15400</v>
      </c>
      <c r="J18" s="43">
        <v>15450</v>
      </c>
      <c r="K18" s="42">
        <f t="shared" si="2"/>
        <v>15425</v>
      </c>
      <c r="L18" s="44">
        <v>15995</v>
      </c>
      <c r="M18" s="43">
        <v>16045</v>
      </c>
      <c r="N18" s="42">
        <f t="shared" si="3"/>
        <v>16020</v>
      </c>
      <c r="O18" s="44">
        <v>16570</v>
      </c>
      <c r="P18" s="43">
        <v>16620</v>
      </c>
      <c r="Q18" s="42">
        <f t="shared" si="4"/>
        <v>16595</v>
      </c>
      <c r="R18" s="50">
        <v>14670</v>
      </c>
      <c r="S18" s="49">
        <v>1.3180000000000001</v>
      </c>
      <c r="T18" s="49">
        <v>1.1653</v>
      </c>
      <c r="U18" s="48">
        <v>153.81</v>
      </c>
      <c r="V18" s="41">
        <f t="shared" si="6"/>
        <v>11130.50075872534</v>
      </c>
      <c r="W18" s="41">
        <f t="shared" si="7"/>
        <v>11282.245827010622</v>
      </c>
      <c r="X18" s="47">
        <f t="shared" si="5"/>
        <v>12589.032867072856</v>
      </c>
      <c r="Y18" s="46">
        <v>1.3180000000000001</v>
      </c>
    </row>
    <row r="19" spans="2:25" x14ac:dyDescent="0.2">
      <c r="B19" s="45">
        <v>45978</v>
      </c>
      <c r="C19" s="44">
        <v>14575</v>
      </c>
      <c r="D19" s="43">
        <v>14580</v>
      </c>
      <c r="E19" s="42">
        <f t="shared" si="0"/>
        <v>14577.5</v>
      </c>
      <c r="F19" s="44">
        <v>14740</v>
      </c>
      <c r="G19" s="43">
        <v>14750</v>
      </c>
      <c r="H19" s="42">
        <f t="shared" si="1"/>
        <v>14745</v>
      </c>
      <c r="I19" s="44">
        <v>15275</v>
      </c>
      <c r="J19" s="43">
        <v>15325</v>
      </c>
      <c r="K19" s="42">
        <f t="shared" si="2"/>
        <v>15300</v>
      </c>
      <c r="L19" s="44">
        <v>15870</v>
      </c>
      <c r="M19" s="43">
        <v>15920</v>
      </c>
      <c r="N19" s="42">
        <f t="shared" si="3"/>
        <v>15895</v>
      </c>
      <c r="O19" s="44">
        <v>16455</v>
      </c>
      <c r="P19" s="43">
        <v>16505</v>
      </c>
      <c r="Q19" s="42">
        <f t="shared" si="4"/>
        <v>16480</v>
      </c>
      <c r="R19" s="50">
        <v>14580</v>
      </c>
      <c r="S19" s="49">
        <v>1.3180000000000001</v>
      </c>
      <c r="T19" s="49">
        <v>1.1598999999999999</v>
      </c>
      <c r="U19" s="48">
        <v>154.85</v>
      </c>
      <c r="V19" s="41">
        <f t="shared" si="6"/>
        <v>11062.215477996964</v>
      </c>
      <c r="W19" s="41">
        <f t="shared" si="7"/>
        <v>11191.198786039453</v>
      </c>
      <c r="X19" s="47">
        <f t="shared" si="5"/>
        <v>12570.049142167429</v>
      </c>
      <c r="Y19" s="46">
        <v>1.3180000000000001</v>
      </c>
    </row>
    <row r="20" spans="2:25" x14ac:dyDescent="0.2">
      <c r="B20" s="45">
        <v>45979</v>
      </c>
      <c r="C20" s="44">
        <v>14440</v>
      </c>
      <c r="D20" s="43">
        <v>14450</v>
      </c>
      <c r="E20" s="42">
        <f t="shared" si="0"/>
        <v>14445</v>
      </c>
      <c r="F20" s="44">
        <v>14625</v>
      </c>
      <c r="G20" s="43">
        <v>14630</v>
      </c>
      <c r="H20" s="42">
        <f t="shared" si="1"/>
        <v>14627.5</v>
      </c>
      <c r="I20" s="44">
        <v>15155</v>
      </c>
      <c r="J20" s="43">
        <v>15205</v>
      </c>
      <c r="K20" s="42">
        <f t="shared" si="2"/>
        <v>15180</v>
      </c>
      <c r="L20" s="44">
        <v>15755</v>
      </c>
      <c r="M20" s="43">
        <v>15805</v>
      </c>
      <c r="N20" s="42">
        <f t="shared" si="3"/>
        <v>15780</v>
      </c>
      <c r="O20" s="44">
        <v>16340</v>
      </c>
      <c r="P20" s="43">
        <v>16390</v>
      </c>
      <c r="Q20" s="42">
        <f t="shared" si="4"/>
        <v>16365</v>
      </c>
      <c r="R20" s="50">
        <v>14450</v>
      </c>
      <c r="S20" s="49">
        <v>1.3152999999999999</v>
      </c>
      <c r="T20" s="49">
        <v>1.1592</v>
      </c>
      <c r="U20" s="48">
        <v>155.19</v>
      </c>
      <c r="V20" s="41">
        <f t="shared" si="6"/>
        <v>10986.08682429864</v>
      </c>
      <c r="W20" s="41">
        <f t="shared" si="7"/>
        <v>11122.937732836615</v>
      </c>
      <c r="X20" s="47">
        <f t="shared" si="5"/>
        <v>12465.493443754312</v>
      </c>
      <c r="Y20" s="46">
        <v>1.3152999999999999</v>
      </c>
    </row>
    <row r="21" spans="2:25" x14ac:dyDescent="0.2">
      <c r="B21" s="45">
        <v>45980</v>
      </c>
      <c r="C21" s="44">
        <v>14455</v>
      </c>
      <c r="D21" s="43">
        <v>14460</v>
      </c>
      <c r="E21" s="42">
        <f t="shared" si="0"/>
        <v>14457.5</v>
      </c>
      <c r="F21" s="44">
        <v>14650</v>
      </c>
      <c r="G21" s="43">
        <v>14660</v>
      </c>
      <c r="H21" s="42">
        <f t="shared" si="1"/>
        <v>14655</v>
      </c>
      <c r="I21" s="44">
        <v>15180</v>
      </c>
      <c r="J21" s="43">
        <v>15230</v>
      </c>
      <c r="K21" s="42">
        <f t="shared" si="2"/>
        <v>15205</v>
      </c>
      <c r="L21" s="44">
        <v>15785</v>
      </c>
      <c r="M21" s="43">
        <v>15835</v>
      </c>
      <c r="N21" s="42">
        <f t="shared" si="3"/>
        <v>15810</v>
      </c>
      <c r="O21" s="44">
        <v>16360</v>
      </c>
      <c r="P21" s="43">
        <v>16410</v>
      </c>
      <c r="Q21" s="42">
        <f t="shared" si="4"/>
        <v>16385</v>
      </c>
      <c r="R21" s="50">
        <v>14460</v>
      </c>
      <c r="S21" s="49">
        <v>1.3118000000000001</v>
      </c>
      <c r="T21" s="49">
        <v>1.1578999999999999</v>
      </c>
      <c r="U21" s="48">
        <v>156.25</v>
      </c>
      <c r="V21" s="41">
        <f t="shared" si="6"/>
        <v>11023.021802103978</v>
      </c>
      <c r="W21" s="41">
        <f t="shared" si="7"/>
        <v>11175.484067693245</v>
      </c>
      <c r="X21" s="47">
        <f t="shared" si="5"/>
        <v>12488.125053977028</v>
      </c>
      <c r="Y21" s="46">
        <v>1.3118000000000001</v>
      </c>
    </row>
    <row r="22" spans="2:25" x14ac:dyDescent="0.2">
      <c r="B22" s="45">
        <v>45981</v>
      </c>
      <c r="C22" s="44">
        <v>14365</v>
      </c>
      <c r="D22" s="43">
        <v>14370</v>
      </c>
      <c r="E22" s="42">
        <f t="shared" si="0"/>
        <v>14367.5</v>
      </c>
      <c r="F22" s="44">
        <v>14530</v>
      </c>
      <c r="G22" s="43">
        <v>14540</v>
      </c>
      <c r="H22" s="42">
        <f t="shared" si="1"/>
        <v>14535</v>
      </c>
      <c r="I22" s="44">
        <v>15055</v>
      </c>
      <c r="J22" s="43">
        <v>15105</v>
      </c>
      <c r="K22" s="42">
        <f t="shared" si="2"/>
        <v>15080</v>
      </c>
      <c r="L22" s="44">
        <v>15640</v>
      </c>
      <c r="M22" s="43">
        <v>15690</v>
      </c>
      <c r="N22" s="42">
        <f t="shared" si="3"/>
        <v>15665</v>
      </c>
      <c r="O22" s="44">
        <v>16215</v>
      </c>
      <c r="P22" s="43">
        <v>16265</v>
      </c>
      <c r="Q22" s="42">
        <f t="shared" si="4"/>
        <v>16240</v>
      </c>
      <c r="R22" s="50">
        <v>14370</v>
      </c>
      <c r="S22" s="49">
        <v>1.3057000000000001</v>
      </c>
      <c r="T22" s="49">
        <v>1.1511</v>
      </c>
      <c r="U22" s="48">
        <v>157.71</v>
      </c>
      <c r="V22" s="41">
        <f t="shared" si="6"/>
        <v>11005.590870797272</v>
      </c>
      <c r="W22" s="41">
        <f t="shared" si="7"/>
        <v>11135.789231829669</v>
      </c>
      <c r="X22" s="47">
        <f t="shared" si="5"/>
        <v>12483.711232733907</v>
      </c>
      <c r="Y22" s="46">
        <v>1.3059000000000001</v>
      </c>
    </row>
    <row r="23" spans="2:25" x14ac:dyDescent="0.2">
      <c r="B23" s="45">
        <v>45982</v>
      </c>
      <c r="C23" s="44">
        <v>14275</v>
      </c>
      <c r="D23" s="43">
        <v>14280</v>
      </c>
      <c r="E23" s="42">
        <f t="shared" si="0"/>
        <v>14277.5</v>
      </c>
      <c r="F23" s="44">
        <v>14450</v>
      </c>
      <c r="G23" s="43">
        <v>14475</v>
      </c>
      <c r="H23" s="42">
        <f t="shared" si="1"/>
        <v>14462.5</v>
      </c>
      <c r="I23" s="44">
        <v>14980</v>
      </c>
      <c r="J23" s="43">
        <v>15030</v>
      </c>
      <c r="K23" s="42">
        <f t="shared" si="2"/>
        <v>15005</v>
      </c>
      <c r="L23" s="44">
        <v>15580</v>
      </c>
      <c r="M23" s="43">
        <v>15630</v>
      </c>
      <c r="N23" s="42">
        <f t="shared" si="3"/>
        <v>15605</v>
      </c>
      <c r="O23" s="44">
        <v>16155</v>
      </c>
      <c r="P23" s="43">
        <v>16205</v>
      </c>
      <c r="Q23" s="42">
        <f t="shared" si="4"/>
        <v>16180</v>
      </c>
      <c r="R23" s="50">
        <v>14280</v>
      </c>
      <c r="S23" s="49">
        <v>1.3089</v>
      </c>
      <c r="T23" s="49">
        <v>1.1525000000000001</v>
      </c>
      <c r="U23" s="48">
        <v>156.76</v>
      </c>
      <c r="V23" s="41">
        <f t="shared" si="6"/>
        <v>10909.924363969745</v>
      </c>
      <c r="W23" s="41">
        <f t="shared" si="7"/>
        <v>11058.904423561769</v>
      </c>
      <c r="X23" s="47">
        <f t="shared" si="5"/>
        <v>12390.455531453361</v>
      </c>
      <c r="Y23" s="46">
        <v>1.3089</v>
      </c>
    </row>
    <row r="24" spans="2:25" x14ac:dyDescent="0.2">
      <c r="B24" s="45">
        <v>45985</v>
      </c>
      <c r="C24" s="44">
        <v>14435</v>
      </c>
      <c r="D24" s="43">
        <v>14440</v>
      </c>
      <c r="E24" s="42">
        <f t="shared" si="0"/>
        <v>14437.5</v>
      </c>
      <c r="F24" s="44">
        <v>14635</v>
      </c>
      <c r="G24" s="43">
        <v>14650</v>
      </c>
      <c r="H24" s="42">
        <f t="shared" si="1"/>
        <v>14642.5</v>
      </c>
      <c r="I24" s="44">
        <v>15155</v>
      </c>
      <c r="J24" s="43">
        <v>15205</v>
      </c>
      <c r="K24" s="42">
        <f t="shared" si="2"/>
        <v>15180</v>
      </c>
      <c r="L24" s="44">
        <v>15755</v>
      </c>
      <c r="M24" s="43">
        <v>15805</v>
      </c>
      <c r="N24" s="42">
        <f t="shared" si="3"/>
        <v>15780</v>
      </c>
      <c r="O24" s="44">
        <v>16340</v>
      </c>
      <c r="P24" s="43">
        <v>16390</v>
      </c>
      <c r="Q24" s="42">
        <f t="shared" si="4"/>
        <v>16365</v>
      </c>
      <c r="R24" s="50">
        <v>14440</v>
      </c>
      <c r="S24" s="49">
        <v>1.3111999999999999</v>
      </c>
      <c r="T24" s="49">
        <v>1.1547000000000001</v>
      </c>
      <c r="U24" s="48">
        <v>156.55000000000001</v>
      </c>
      <c r="V24" s="41">
        <f t="shared" si="6"/>
        <v>11012.81269066504</v>
      </c>
      <c r="W24" s="41">
        <f t="shared" si="7"/>
        <v>11172.971323978036</v>
      </c>
      <c r="X24" s="47">
        <f t="shared" si="5"/>
        <v>12505.412661297307</v>
      </c>
      <c r="Y24" s="46">
        <v>1.3111999999999999</v>
      </c>
    </row>
    <row r="25" spans="2:25" x14ac:dyDescent="0.2">
      <c r="B25" s="45">
        <v>45986</v>
      </c>
      <c r="C25" s="44">
        <v>14640</v>
      </c>
      <c r="D25" s="43">
        <v>14650</v>
      </c>
      <c r="E25" s="42">
        <f t="shared" si="0"/>
        <v>14645</v>
      </c>
      <c r="F25" s="44">
        <v>14870</v>
      </c>
      <c r="G25" s="43">
        <v>14890</v>
      </c>
      <c r="H25" s="42">
        <f t="shared" si="1"/>
        <v>14880</v>
      </c>
      <c r="I25" s="44">
        <v>15395</v>
      </c>
      <c r="J25" s="43">
        <v>15445</v>
      </c>
      <c r="K25" s="42">
        <f t="shared" si="2"/>
        <v>15420</v>
      </c>
      <c r="L25" s="44">
        <v>15995</v>
      </c>
      <c r="M25" s="43">
        <v>16045</v>
      </c>
      <c r="N25" s="42">
        <f t="shared" si="3"/>
        <v>16020</v>
      </c>
      <c r="O25" s="44">
        <v>16570</v>
      </c>
      <c r="P25" s="43">
        <v>16620</v>
      </c>
      <c r="Q25" s="42">
        <f t="shared" si="4"/>
        <v>16595</v>
      </c>
      <c r="R25" s="50">
        <v>14650</v>
      </c>
      <c r="S25" s="49">
        <v>1.3136000000000001</v>
      </c>
      <c r="T25" s="49">
        <v>1.1544000000000001</v>
      </c>
      <c r="U25" s="48">
        <v>156.30000000000001</v>
      </c>
      <c r="V25" s="41">
        <f t="shared" si="6"/>
        <v>11152.557856272837</v>
      </c>
      <c r="W25" s="41">
        <f t="shared" si="7"/>
        <v>11335.261875761265</v>
      </c>
      <c r="X25" s="47">
        <f t="shared" si="5"/>
        <v>12690.575190575189</v>
      </c>
      <c r="Y25" s="46">
        <v>1.3136000000000001</v>
      </c>
    </row>
    <row r="26" spans="2:25" x14ac:dyDescent="0.2">
      <c r="B26" s="45">
        <v>45987</v>
      </c>
      <c r="C26" s="44">
        <v>14605</v>
      </c>
      <c r="D26" s="43">
        <v>14610</v>
      </c>
      <c r="E26" s="42">
        <f t="shared" si="0"/>
        <v>14607.5</v>
      </c>
      <c r="F26" s="44">
        <v>14850</v>
      </c>
      <c r="G26" s="43">
        <v>14860</v>
      </c>
      <c r="H26" s="42">
        <f t="shared" si="1"/>
        <v>14855</v>
      </c>
      <c r="I26" s="44">
        <v>15365</v>
      </c>
      <c r="J26" s="43">
        <v>15415</v>
      </c>
      <c r="K26" s="42">
        <f t="shared" si="2"/>
        <v>15390</v>
      </c>
      <c r="L26" s="44">
        <v>15965</v>
      </c>
      <c r="M26" s="43">
        <v>16015</v>
      </c>
      <c r="N26" s="42">
        <f t="shared" si="3"/>
        <v>15990</v>
      </c>
      <c r="O26" s="44">
        <v>16525</v>
      </c>
      <c r="P26" s="43">
        <v>16575</v>
      </c>
      <c r="Q26" s="42">
        <f t="shared" si="4"/>
        <v>16550</v>
      </c>
      <c r="R26" s="50">
        <v>14610</v>
      </c>
      <c r="S26" s="49">
        <v>1.3185</v>
      </c>
      <c r="T26" s="49">
        <v>1.1573</v>
      </c>
      <c r="U26" s="48">
        <v>156.47999999999999</v>
      </c>
      <c r="V26" s="41">
        <f t="shared" si="6"/>
        <v>11080.773606370876</v>
      </c>
      <c r="W26" s="41">
        <f t="shared" si="7"/>
        <v>11270.383010997346</v>
      </c>
      <c r="X26" s="47">
        <f t="shared" si="5"/>
        <v>12624.211526829689</v>
      </c>
      <c r="Y26" s="46">
        <v>1.3185</v>
      </c>
    </row>
    <row r="27" spans="2:25" x14ac:dyDescent="0.2">
      <c r="B27" s="45">
        <v>45988</v>
      </c>
      <c r="C27" s="44">
        <v>14600</v>
      </c>
      <c r="D27" s="43">
        <v>14605</v>
      </c>
      <c r="E27" s="42">
        <f t="shared" si="0"/>
        <v>14602.5</v>
      </c>
      <c r="F27" s="44">
        <v>14830</v>
      </c>
      <c r="G27" s="43">
        <v>14840</v>
      </c>
      <c r="H27" s="42">
        <f t="shared" si="1"/>
        <v>14835</v>
      </c>
      <c r="I27" s="44">
        <v>15340</v>
      </c>
      <c r="J27" s="43">
        <v>15390</v>
      </c>
      <c r="K27" s="42">
        <f t="shared" si="2"/>
        <v>15365</v>
      </c>
      <c r="L27" s="44">
        <v>15940</v>
      </c>
      <c r="M27" s="43">
        <v>15990</v>
      </c>
      <c r="N27" s="42">
        <f t="shared" si="3"/>
        <v>15965</v>
      </c>
      <c r="O27" s="44">
        <v>16500</v>
      </c>
      <c r="P27" s="43">
        <v>16550</v>
      </c>
      <c r="Q27" s="42">
        <f t="shared" si="4"/>
        <v>16525</v>
      </c>
      <c r="R27" s="50">
        <v>14605</v>
      </c>
      <c r="S27" s="49">
        <v>1.3233999999999999</v>
      </c>
      <c r="T27" s="49">
        <v>1.1583000000000001</v>
      </c>
      <c r="U27" s="48">
        <v>156.38</v>
      </c>
      <c r="V27" s="41">
        <f t="shared" si="6"/>
        <v>11035.967961311773</v>
      </c>
      <c r="W27" s="41">
        <f t="shared" si="7"/>
        <v>11213.540879552667</v>
      </c>
      <c r="X27" s="47">
        <f t="shared" si="5"/>
        <v>12608.995942329275</v>
      </c>
      <c r="Y27" s="46">
        <v>1.3233999999999999</v>
      </c>
    </row>
    <row r="28" spans="2:25" x14ac:dyDescent="0.2">
      <c r="B28" s="45">
        <v>45989</v>
      </c>
      <c r="C28" s="44">
        <v>14655</v>
      </c>
      <c r="D28" s="43">
        <v>14660</v>
      </c>
      <c r="E28" s="42">
        <f t="shared" si="0"/>
        <v>14657.5</v>
      </c>
      <c r="F28" s="44">
        <v>14875</v>
      </c>
      <c r="G28" s="43">
        <v>14880</v>
      </c>
      <c r="H28" s="42">
        <f t="shared" si="1"/>
        <v>14877.5</v>
      </c>
      <c r="I28" s="44">
        <v>15380</v>
      </c>
      <c r="J28" s="43">
        <v>15430</v>
      </c>
      <c r="K28" s="42">
        <f t="shared" si="2"/>
        <v>15405</v>
      </c>
      <c r="L28" s="44">
        <v>15955</v>
      </c>
      <c r="M28" s="43">
        <v>16005</v>
      </c>
      <c r="N28" s="42">
        <f t="shared" si="3"/>
        <v>15980</v>
      </c>
      <c r="O28" s="44">
        <v>16530</v>
      </c>
      <c r="P28" s="43">
        <v>16580</v>
      </c>
      <c r="Q28" s="42">
        <f t="shared" si="4"/>
        <v>16555</v>
      </c>
      <c r="R28" s="50">
        <v>14660</v>
      </c>
      <c r="S28" s="49">
        <v>1.3219000000000001</v>
      </c>
      <c r="T28" s="49">
        <v>1.1567000000000001</v>
      </c>
      <c r="U28" s="48">
        <v>156.12</v>
      </c>
      <c r="V28" s="41">
        <f t="shared" si="6"/>
        <v>11090.097586806869</v>
      </c>
      <c r="W28" s="41">
        <f t="shared" si="7"/>
        <v>11256.524699296466</v>
      </c>
      <c r="X28" s="47">
        <f t="shared" si="5"/>
        <v>12673.986340451283</v>
      </c>
      <c r="Y28" s="46">
        <v>1.3219000000000001</v>
      </c>
    </row>
    <row r="29" spans="2:25" x14ac:dyDescent="0.2">
      <c r="B29" s="40" t="s">
        <v>11</v>
      </c>
      <c r="C29" s="39">
        <f>ROUND(AVERAGE(C9:C28),2)</f>
        <v>14682.25</v>
      </c>
      <c r="D29" s="38">
        <f>ROUND(AVERAGE(D9:D28),2)</f>
        <v>14689.25</v>
      </c>
      <c r="E29" s="37">
        <f>ROUND(AVERAGE(C29:D29),2)</f>
        <v>14685.75</v>
      </c>
      <c r="F29" s="39">
        <f>ROUND(AVERAGE(F9:F28),2)</f>
        <v>14883</v>
      </c>
      <c r="G29" s="38">
        <f>ROUND(AVERAGE(G9:G28),2)</f>
        <v>14893.25</v>
      </c>
      <c r="H29" s="37">
        <f>ROUND(AVERAGE(F29:G29),2)</f>
        <v>14888.13</v>
      </c>
      <c r="I29" s="39">
        <f>ROUND(AVERAGE(I9:I28),2)</f>
        <v>15418.25</v>
      </c>
      <c r="J29" s="38">
        <f>ROUND(AVERAGE(J9:J28),2)</f>
        <v>15468.25</v>
      </c>
      <c r="K29" s="37">
        <f>ROUND(AVERAGE(I29:J29),2)</f>
        <v>15443.25</v>
      </c>
      <c r="L29" s="39">
        <f>ROUND(AVERAGE(L9:L28),2)</f>
        <v>16015.75</v>
      </c>
      <c r="M29" s="38">
        <f>ROUND(AVERAGE(M9:M28),2)</f>
        <v>16065.75</v>
      </c>
      <c r="N29" s="37">
        <f>ROUND(AVERAGE(L29:M29),2)</f>
        <v>16040.75</v>
      </c>
      <c r="O29" s="39">
        <f>ROUND(AVERAGE(O9:O28),2)</f>
        <v>16590</v>
      </c>
      <c r="P29" s="38">
        <f>ROUND(AVERAGE(P9:P28),2)</f>
        <v>16640</v>
      </c>
      <c r="Q29" s="37">
        <f>ROUND(AVERAGE(O29:P29),2)</f>
        <v>16615</v>
      </c>
      <c r="R29" s="36">
        <f>ROUND(AVERAGE(R9:R28),2)</f>
        <v>14689.25</v>
      </c>
      <c r="S29" s="35">
        <f>ROUND(AVERAGE(S9:S28),4)</f>
        <v>1.3138000000000001</v>
      </c>
      <c r="T29" s="34">
        <f>ROUND(AVERAGE(T9:T28),4)</f>
        <v>1.1559999999999999</v>
      </c>
      <c r="U29" s="167">
        <f>ROUND(AVERAGE(U9:U28),2)</f>
        <v>155.11000000000001</v>
      </c>
      <c r="V29" s="33">
        <f>AVERAGE(V9:V28)</f>
        <v>11181.187514423338</v>
      </c>
      <c r="W29" s="33">
        <f>AVERAGE(W9:W28)</f>
        <v>11336.438686529251</v>
      </c>
      <c r="X29" s="33">
        <f>AVERAGE(X9:X28)</f>
        <v>12707.466484172279</v>
      </c>
      <c r="Y29" s="32">
        <f>AVERAGE(Y9:Y28)</f>
        <v>1.3137350000000001</v>
      </c>
    </row>
    <row r="30" spans="2:25" x14ac:dyDescent="0.2">
      <c r="B30" s="31" t="s">
        <v>12</v>
      </c>
      <c r="C30" s="30">
        <f t="shared" ref="C30:Y30" si="8">MAX(C9:C28)</f>
        <v>14965</v>
      </c>
      <c r="D30" s="29">
        <f t="shared" si="8"/>
        <v>14970</v>
      </c>
      <c r="E30" s="28">
        <f t="shared" si="8"/>
        <v>14967.5</v>
      </c>
      <c r="F30" s="30">
        <f t="shared" si="8"/>
        <v>15175</v>
      </c>
      <c r="G30" s="29">
        <f t="shared" si="8"/>
        <v>15180</v>
      </c>
      <c r="H30" s="28">
        <f t="shared" si="8"/>
        <v>15177.5</v>
      </c>
      <c r="I30" s="30">
        <f t="shared" si="8"/>
        <v>15735</v>
      </c>
      <c r="J30" s="29">
        <f t="shared" si="8"/>
        <v>15785</v>
      </c>
      <c r="K30" s="28">
        <f t="shared" si="8"/>
        <v>15760</v>
      </c>
      <c r="L30" s="30">
        <f t="shared" si="8"/>
        <v>16350</v>
      </c>
      <c r="M30" s="29">
        <f t="shared" si="8"/>
        <v>16400</v>
      </c>
      <c r="N30" s="28">
        <f t="shared" si="8"/>
        <v>16375</v>
      </c>
      <c r="O30" s="30">
        <f t="shared" si="8"/>
        <v>16940</v>
      </c>
      <c r="P30" s="29">
        <f t="shared" si="8"/>
        <v>16990</v>
      </c>
      <c r="Q30" s="28">
        <f t="shared" si="8"/>
        <v>16965</v>
      </c>
      <c r="R30" s="27">
        <f t="shared" si="8"/>
        <v>14970</v>
      </c>
      <c r="S30" s="26">
        <f t="shared" si="8"/>
        <v>1.3233999999999999</v>
      </c>
      <c r="T30" s="25">
        <f t="shared" si="8"/>
        <v>1.1653</v>
      </c>
      <c r="U30" s="24">
        <f t="shared" si="8"/>
        <v>157.71</v>
      </c>
      <c r="V30" s="23">
        <f t="shared" si="8"/>
        <v>11432.506887052343</v>
      </c>
      <c r="W30" s="23">
        <f t="shared" si="8"/>
        <v>11570.247933884299</v>
      </c>
      <c r="X30" s="23">
        <f t="shared" si="8"/>
        <v>13003.742710418661</v>
      </c>
      <c r="Y30" s="22">
        <f t="shared" si="8"/>
        <v>1.3233999999999999</v>
      </c>
    </row>
    <row r="31" spans="2:25" ht="13.5" thickBot="1" x14ac:dyDescent="0.25">
      <c r="B31" s="21" t="s">
        <v>13</v>
      </c>
      <c r="C31" s="20">
        <f t="shared" ref="C31:Y31" si="9">MIN(C9:C28)</f>
        <v>14275</v>
      </c>
      <c r="D31" s="19">
        <f t="shared" si="9"/>
        <v>14280</v>
      </c>
      <c r="E31" s="18">
        <f t="shared" si="9"/>
        <v>14277.5</v>
      </c>
      <c r="F31" s="20">
        <f t="shared" si="9"/>
        <v>14450</v>
      </c>
      <c r="G31" s="19">
        <f t="shared" si="9"/>
        <v>14475</v>
      </c>
      <c r="H31" s="18">
        <f t="shared" si="9"/>
        <v>14462.5</v>
      </c>
      <c r="I31" s="20">
        <f t="shared" si="9"/>
        <v>14980</v>
      </c>
      <c r="J31" s="19">
        <f t="shared" si="9"/>
        <v>15030</v>
      </c>
      <c r="K31" s="18">
        <f t="shared" si="9"/>
        <v>15005</v>
      </c>
      <c r="L31" s="20">
        <f t="shared" si="9"/>
        <v>15580</v>
      </c>
      <c r="M31" s="19">
        <f t="shared" si="9"/>
        <v>15630</v>
      </c>
      <c r="N31" s="18">
        <f t="shared" si="9"/>
        <v>15605</v>
      </c>
      <c r="O31" s="20">
        <f t="shared" si="9"/>
        <v>16155</v>
      </c>
      <c r="P31" s="19">
        <f t="shared" si="9"/>
        <v>16205</v>
      </c>
      <c r="Q31" s="18">
        <f t="shared" si="9"/>
        <v>16180</v>
      </c>
      <c r="R31" s="17">
        <f t="shared" si="9"/>
        <v>14280</v>
      </c>
      <c r="S31" s="16">
        <f t="shared" si="9"/>
        <v>1.3042</v>
      </c>
      <c r="T31" s="15">
        <f t="shared" si="9"/>
        <v>1.1489</v>
      </c>
      <c r="U31" s="14">
        <f t="shared" si="9"/>
        <v>153.1</v>
      </c>
      <c r="V31" s="13">
        <f t="shared" si="9"/>
        <v>10909.924363969745</v>
      </c>
      <c r="W31" s="13">
        <f t="shared" si="9"/>
        <v>11058.904423561769</v>
      </c>
      <c r="X31" s="13">
        <f t="shared" si="9"/>
        <v>12390.455531453361</v>
      </c>
      <c r="Y31" s="12">
        <f t="shared" si="9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16" sqref="P1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45964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45964</v>
      </c>
      <c r="C9" s="44">
        <v>47645</v>
      </c>
      <c r="D9" s="43">
        <v>48145</v>
      </c>
      <c r="E9" s="42">
        <f t="shared" ref="E9:E28" si="0">AVERAGE(C9:D9)</f>
        <v>47895</v>
      </c>
      <c r="F9" s="44">
        <v>48070</v>
      </c>
      <c r="G9" s="43">
        <v>48570</v>
      </c>
      <c r="H9" s="42">
        <f t="shared" ref="H9:H28" si="1">AVERAGE(F9:G9)</f>
        <v>48320</v>
      </c>
      <c r="I9" s="44">
        <v>49700</v>
      </c>
      <c r="J9" s="43">
        <v>50700</v>
      </c>
      <c r="K9" s="42">
        <f t="shared" ref="K9:K28" si="2">AVERAGE(I9:J9)</f>
        <v>50200</v>
      </c>
      <c r="L9" s="50">
        <v>48145</v>
      </c>
      <c r="M9" s="49">
        <v>1.3142</v>
      </c>
      <c r="N9" s="51">
        <v>1.1516999999999999</v>
      </c>
      <c r="O9" s="48">
        <v>154.18</v>
      </c>
      <c r="P9" s="41">
        <f>D9/M9</f>
        <v>36634.454420940492</v>
      </c>
      <c r="Q9" s="41">
        <f>G9/M9</f>
        <v>36957.845076852835</v>
      </c>
      <c r="R9" s="47">
        <f t="shared" ref="R9:R28" si="3">L9/N9</f>
        <v>41803.421029782061</v>
      </c>
      <c r="S9" s="46">
        <v>1.3142</v>
      </c>
    </row>
    <row r="10" spans="1:19" x14ac:dyDescent="0.2">
      <c r="B10" s="45">
        <v>45965</v>
      </c>
      <c r="C10" s="44">
        <v>47645</v>
      </c>
      <c r="D10" s="43">
        <v>48145</v>
      </c>
      <c r="E10" s="42">
        <f t="shared" si="0"/>
        <v>47895</v>
      </c>
      <c r="F10" s="44">
        <v>48070</v>
      </c>
      <c r="G10" s="43">
        <v>48570</v>
      </c>
      <c r="H10" s="42">
        <f t="shared" si="1"/>
        <v>48320</v>
      </c>
      <c r="I10" s="44">
        <v>49695</v>
      </c>
      <c r="J10" s="43">
        <v>50695</v>
      </c>
      <c r="K10" s="42">
        <f t="shared" si="2"/>
        <v>50195</v>
      </c>
      <c r="L10" s="50">
        <v>48145</v>
      </c>
      <c r="M10" s="49">
        <v>1.3068</v>
      </c>
      <c r="N10" s="49">
        <v>1.1489</v>
      </c>
      <c r="O10" s="48">
        <v>153.53</v>
      </c>
      <c r="P10" s="41">
        <f t="shared" ref="P10:P28" si="4">D10/M10</f>
        <v>36841.903887358436</v>
      </c>
      <c r="Q10" s="41">
        <f t="shared" ref="Q10:Q28" si="5">G10/M10</f>
        <v>37167.125803489442</v>
      </c>
      <c r="R10" s="47">
        <f t="shared" si="3"/>
        <v>41905.300722430147</v>
      </c>
      <c r="S10" s="46">
        <v>1.3068</v>
      </c>
    </row>
    <row r="11" spans="1:19" x14ac:dyDescent="0.2">
      <c r="B11" s="45">
        <v>45966</v>
      </c>
      <c r="C11" s="44">
        <v>47645</v>
      </c>
      <c r="D11" s="43">
        <v>48145</v>
      </c>
      <c r="E11" s="42">
        <f t="shared" si="0"/>
        <v>47895</v>
      </c>
      <c r="F11" s="44">
        <v>48070</v>
      </c>
      <c r="G11" s="43">
        <v>48570</v>
      </c>
      <c r="H11" s="42">
        <f t="shared" si="1"/>
        <v>48320</v>
      </c>
      <c r="I11" s="44">
        <v>49690</v>
      </c>
      <c r="J11" s="43">
        <v>50690</v>
      </c>
      <c r="K11" s="42">
        <f t="shared" si="2"/>
        <v>50190</v>
      </c>
      <c r="L11" s="50">
        <v>48145</v>
      </c>
      <c r="M11" s="49">
        <v>1.3042</v>
      </c>
      <c r="N11" s="49">
        <v>1.1491</v>
      </c>
      <c r="O11" s="48">
        <v>153.71</v>
      </c>
      <c r="P11" s="41">
        <f t="shared" si="4"/>
        <v>36915.350406379388</v>
      </c>
      <c r="Q11" s="41">
        <f t="shared" si="5"/>
        <v>37241.220671676121</v>
      </c>
      <c r="R11" s="47">
        <f t="shared" si="3"/>
        <v>41898.007136019492</v>
      </c>
      <c r="S11" s="46">
        <v>1.3041</v>
      </c>
    </row>
    <row r="12" spans="1:19" x14ac:dyDescent="0.2">
      <c r="B12" s="45">
        <v>45967</v>
      </c>
      <c r="C12" s="44">
        <v>47650</v>
      </c>
      <c r="D12" s="43">
        <v>48150</v>
      </c>
      <c r="E12" s="42">
        <f t="shared" si="0"/>
        <v>47900</v>
      </c>
      <c r="F12" s="44">
        <v>48070</v>
      </c>
      <c r="G12" s="43">
        <v>48570</v>
      </c>
      <c r="H12" s="42">
        <f t="shared" si="1"/>
        <v>48320</v>
      </c>
      <c r="I12" s="44">
        <v>49685</v>
      </c>
      <c r="J12" s="43">
        <v>50685</v>
      </c>
      <c r="K12" s="42">
        <f t="shared" si="2"/>
        <v>50185</v>
      </c>
      <c r="L12" s="50">
        <v>48150</v>
      </c>
      <c r="M12" s="49">
        <v>1.31</v>
      </c>
      <c r="N12" s="49">
        <v>1.1531</v>
      </c>
      <c r="O12" s="48">
        <v>153.61000000000001</v>
      </c>
      <c r="P12" s="41">
        <f t="shared" si="4"/>
        <v>36755.725190839694</v>
      </c>
      <c r="Q12" s="41">
        <f t="shared" si="5"/>
        <v>37076.335877862592</v>
      </c>
      <c r="R12" s="47">
        <f t="shared" si="3"/>
        <v>41757.002861850662</v>
      </c>
      <c r="S12" s="46">
        <v>1.3098000000000001</v>
      </c>
    </row>
    <row r="13" spans="1:19" x14ac:dyDescent="0.2">
      <c r="B13" s="45">
        <v>45968</v>
      </c>
      <c r="C13" s="44">
        <v>47660</v>
      </c>
      <c r="D13" s="43">
        <v>48160</v>
      </c>
      <c r="E13" s="42">
        <f t="shared" si="0"/>
        <v>47910</v>
      </c>
      <c r="F13" s="44">
        <v>48070</v>
      </c>
      <c r="G13" s="43">
        <v>48570</v>
      </c>
      <c r="H13" s="42">
        <f t="shared" si="1"/>
        <v>48320</v>
      </c>
      <c r="I13" s="44">
        <v>49685</v>
      </c>
      <c r="J13" s="43">
        <v>50685</v>
      </c>
      <c r="K13" s="42">
        <f t="shared" si="2"/>
        <v>50185</v>
      </c>
      <c r="L13" s="50">
        <v>48160</v>
      </c>
      <c r="M13" s="49">
        <v>1.3115000000000001</v>
      </c>
      <c r="N13" s="49">
        <v>1.1556</v>
      </c>
      <c r="O13" s="48">
        <v>153.1</v>
      </c>
      <c r="P13" s="41">
        <f t="shared" si="4"/>
        <v>36721.311475409835</v>
      </c>
      <c r="Q13" s="41">
        <f t="shared" si="5"/>
        <v>37033.930613800985</v>
      </c>
      <c r="R13" s="47">
        <f t="shared" si="3"/>
        <v>41675.320179993076</v>
      </c>
      <c r="S13" s="46">
        <v>1.3112999999999999</v>
      </c>
    </row>
    <row r="14" spans="1:19" x14ac:dyDescent="0.2">
      <c r="B14" s="45">
        <v>45971</v>
      </c>
      <c r="C14" s="44">
        <v>47635</v>
      </c>
      <c r="D14" s="43">
        <v>48135</v>
      </c>
      <c r="E14" s="42">
        <f t="shared" si="0"/>
        <v>47885</v>
      </c>
      <c r="F14" s="44">
        <v>48070</v>
      </c>
      <c r="G14" s="43">
        <v>48570</v>
      </c>
      <c r="H14" s="42">
        <f t="shared" si="1"/>
        <v>48320</v>
      </c>
      <c r="I14" s="44">
        <v>49665</v>
      </c>
      <c r="J14" s="43">
        <v>50665</v>
      </c>
      <c r="K14" s="42">
        <f t="shared" si="2"/>
        <v>50165</v>
      </c>
      <c r="L14" s="50">
        <v>48135</v>
      </c>
      <c r="M14" s="49">
        <v>1.3181</v>
      </c>
      <c r="N14" s="49">
        <v>1.1568000000000001</v>
      </c>
      <c r="O14" s="48">
        <v>154.12</v>
      </c>
      <c r="P14" s="41">
        <f t="shared" si="4"/>
        <v>36518.47356042789</v>
      </c>
      <c r="Q14" s="41">
        <f t="shared" si="5"/>
        <v>36848.494044457933</v>
      </c>
      <c r="R14" s="47">
        <f t="shared" si="3"/>
        <v>41610.477178423236</v>
      </c>
      <c r="S14" s="46">
        <v>1.3179000000000001</v>
      </c>
    </row>
    <row r="15" spans="1:19" x14ac:dyDescent="0.2">
      <c r="B15" s="45">
        <v>45972</v>
      </c>
      <c r="C15" s="44">
        <v>47635</v>
      </c>
      <c r="D15" s="43">
        <v>48135</v>
      </c>
      <c r="E15" s="42">
        <f t="shared" si="0"/>
        <v>47885</v>
      </c>
      <c r="F15" s="44">
        <v>48070</v>
      </c>
      <c r="G15" s="43">
        <v>48570</v>
      </c>
      <c r="H15" s="42">
        <f t="shared" si="1"/>
        <v>48320</v>
      </c>
      <c r="I15" s="44">
        <v>49660</v>
      </c>
      <c r="J15" s="43">
        <v>50660</v>
      </c>
      <c r="K15" s="42">
        <f t="shared" si="2"/>
        <v>50160</v>
      </c>
      <c r="L15" s="50">
        <v>48135</v>
      </c>
      <c r="M15" s="49">
        <v>1.3143</v>
      </c>
      <c r="N15" s="49">
        <v>1.157</v>
      </c>
      <c r="O15" s="48">
        <v>154.19999999999999</v>
      </c>
      <c r="P15" s="41">
        <f>D15/M15</f>
        <v>36624.058434147453</v>
      </c>
      <c r="Q15" s="41">
        <f t="shared" si="5"/>
        <v>36955.03309746633</v>
      </c>
      <c r="R15" s="47">
        <f t="shared" si="3"/>
        <v>41603.284356093347</v>
      </c>
      <c r="S15" s="46">
        <v>1.3143</v>
      </c>
    </row>
    <row r="16" spans="1:19" x14ac:dyDescent="0.2">
      <c r="B16" s="45">
        <v>45973</v>
      </c>
      <c r="C16" s="44">
        <v>47635</v>
      </c>
      <c r="D16" s="43">
        <v>48135</v>
      </c>
      <c r="E16" s="42">
        <f t="shared" si="0"/>
        <v>47885</v>
      </c>
      <c r="F16" s="44">
        <v>48070</v>
      </c>
      <c r="G16" s="43">
        <v>48570</v>
      </c>
      <c r="H16" s="42">
        <f t="shared" si="1"/>
        <v>48320</v>
      </c>
      <c r="I16" s="44">
        <v>49655</v>
      </c>
      <c r="J16" s="43">
        <v>50655</v>
      </c>
      <c r="K16" s="42">
        <f t="shared" si="2"/>
        <v>50155</v>
      </c>
      <c r="L16" s="50">
        <v>48135</v>
      </c>
      <c r="M16" s="49">
        <v>1.3118000000000001</v>
      </c>
      <c r="N16" s="49">
        <v>1.1577</v>
      </c>
      <c r="O16" s="48">
        <v>154.81</v>
      </c>
      <c r="P16" s="41">
        <f t="shared" si="4"/>
        <v>36693.855770696748</v>
      </c>
      <c r="Q16" s="41">
        <f t="shared" si="5"/>
        <v>37025.461198353405</v>
      </c>
      <c r="R16" s="47">
        <f t="shared" si="3"/>
        <v>41578.129048976421</v>
      </c>
      <c r="S16" s="46">
        <v>1.3117000000000001</v>
      </c>
    </row>
    <row r="17" spans="2:19" x14ac:dyDescent="0.2">
      <c r="B17" s="45">
        <v>45974</v>
      </c>
      <c r="C17" s="44">
        <v>47640</v>
      </c>
      <c r="D17" s="43">
        <v>48140</v>
      </c>
      <c r="E17" s="42">
        <f t="shared" si="0"/>
        <v>47890</v>
      </c>
      <c r="F17" s="44">
        <v>48070</v>
      </c>
      <c r="G17" s="43">
        <v>48570</v>
      </c>
      <c r="H17" s="42">
        <f t="shared" si="1"/>
        <v>48320</v>
      </c>
      <c r="I17" s="44">
        <v>49650</v>
      </c>
      <c r="J17" s="43">
        <v>50650</v>
      </c>
      <c r="K17" s="42">
        <f t="shared" si="2"/>
        <v>50150</v>
      </c>
      <c r="L17" s="50">
        <v>48140</v>
      </c>
      <c r="M17" s="49">
        <v>1.3181</v>
      </c>
      <c r="N17" s="49">
        <v>1.1623000000000001</v>
      </c>
      <c r="O17" s="48">
        <v>154.61000000000001</v>
      </c>
      <c r="P17" s="41">
        <f t="shared" si="4"/>
        <v>36522.266899324786</v>
      </c>
      <c r="Q17" s="41">
        <f t="shared" si="5"/>
        <v>36848.494044457933</v>
      </c>
      <c r="R17" s="47">
        <f t="shared" si="3"/>
        <v>41417.87834466144</v>
      </c>
      <c r="S17" s="46">
        <v>1.3181</v>
      </c>
    </row>
    <row r="18" spans="2:19" x14ac:dyDescent="0.2">
      <c r="B18" s="45">
        <v>45975</v>
      </c>
      <c r="C18" s="44">
        <v>47645</v>
      </c>
      <c r="D18" s="43">
        <v>48145</v>
      </c>
      <c r="E18" s="42">
        <f t="shared" si="0"/>
        <v>47895</v>
      </c>
      <c r="F18" s="44">
        <v>48070</v>
      </c>
      <c r="G18" s="43">
        <v>48570</v>
      </c>
      <c r="H18" s="42">
        <f t="shared" si="1"/>
        <v>48320</v>
      </c>
      <c r="I18" s="44">
        <v>49650</v>
      </c>
      <c r="J18" s="43">
        <v>50650</v>
      </c>
      <c r="K18" s="42">
        <f t="shared" si="2"/>
        <v>50150</v>
      </c>
      <c r="L18" s="50">
        <v>48145</v>
      </c>
      <c r="M18" s="49">
        <v>1.3180000000000001</v>
      </c>
      <c r="N18" s="49">
        <v>1.1653</v>
      </c>
      <c r="O18" s="48">
        <v>153.81</v>
      </c>
      <c r="P18" s="41">
        <f t="shared" si="4"/>
        <v>36528.831562974199</v>
      </c>
      <c r="Q18" s="41">
        <f t="shared" si="5"/>
        <v>36851.289833080424</v>
      </c>
      <c r="R18" s="47">
        <f t="shared" si="3"/>
        <v>41315.541062387369</v>
      </c>
      <c r="S18" s="46">
        <v>1.3180000000000001</v>
      </c>
    </row>
    <row r="19" spans="2:19" x14ac:dyDescent="0.2">
      <c r="B19" s="45">
        <v>45978</v>
      </c>
      <c r="C19" s="44">
        <v>47630</v>
      </c>
      <c r="D19" s="43">
        <v>48130</v>
      </c>
      <c r="E19" s="42">
        <f t="shared" si="0"/>
        <v>47880</v>
      </c>
      <c r="F19" s="44">
        <v>48070</v>
      </c>
      <c r="G19" s="43">
        <v>48570</v>
      </c>
      <c r="H19" s="42">
        <f t="shared" si="1"/>
        <v>48320</v>
      </c>
      <c r="I19" s="44">
        <v>49625</v>
      </c>
      <c r="J19" s="43">
        <v>50625</v>
      </c>
      <c r="K19" s="42">
        <f t="shared" si="2"/>
        <v>50125</v>
      </c>
      <c r="L19" s="50">
        <v>48130</v>
      </c>
      <c r="M19" s="49">
        <v>1.3180000000000001</v>
      </c>
      <c r="N19" s="49">
        <v>1.1598999999999999</v>
      </c>
      <c r="O19" s="48">
        <v>154.85</v>
      </c>
      <c r="P19" s="41">
        <f t="shared" si="4"/>
        <v>36517.450682852803</v>
      </c>
      <c r="Q19" s="41">
        <f t="shared" si="5"/>
        <v>36851.289833080424</v>
      </c>
      <c r="R19" s="47">
        <f t="shared" si="3"/>
        <v>41494.956461763948</v>
      </c>
      <c r="S19" s="46">
        <v>1.3180000000000001</v>
      </c>
    </row>
    <row r="20" spans="2:19" x14ac:dyDescent="0.2">
      <c r="B20" s="45">
        <v>45979</v>
      </c>
      <c r="C20" s="44">
        <v>47630</v>
      </c>
      <c r="D20" s="43">
        <v>48130</v>
      </c>
      <c r="E20" s="42">
        <f t="shared" si="0"/>
        <v>47880</v>
      </c>
      <c r="F20" s="44">
        <v>48070</v>
      </c>
      <c r="G20" s="43">
        <v>48570</v>
      </c>
      <c r="H20" s="42">
        <f t="shared" si="1"/>
        <v>48320</v>
      </c>
      <c r="I20" s="44">
        <v>49620</v>
      </c>
      <c r="J20" s="43">
        <v>50620</v>
      </c>
      <c r="K20" s="42">
        <f t="shared" si="2"/>
        <v>50120</v>
      </c>
      <c r="L20" s="50">
        <v>48130</v>
      </c>
      <c r="M20" s="49">
        <v>1.3152999999999999</v>
      </c>
      <c r="N20" s="49">
        <v>1.1592</v>
      </c>
      <c r="O20" s="48">
        <v>155.19</v>
      </c>
      <c r="P20" s="41">
        <f t="shared" si="4"/>
        <v>36592.412377404398</v>
      </c>
      <c r="Q20" s="41">
        <f t="shared" si="5"/>
        <v>36926.936820497227</v>
      </c>
      <c r="R20" s="47">
        <f t="shared" si="3"/>
        <v>41520.013802622496</v>
      </c>
      <c r="S20" s="46">
        <v>1.3152999999999999</v>
      </c>
    </row>
    <row r="21" spans="2:19" x14ac:dyDescent="0.2">
      <c r="B21" s="45">
        <v>45980</v>
      </c>
      <c r="C21" s="44">
        <v>47630</v>
      </c>
      <c r="D21" s="43">
        <v>48130</v>
      </c>
      <c r="E21" s="42">
        <f t="shared" si="0"/>
        <v>47880</v>
      </c>
      <c r="F21" s="44">
        <v>48070</v>
      </c>
      <c r="G21" s="43">
        <v>48570</v>
      </c>
      <c r="H21" s="42">
        <f t="shared" si="1"/>
        <v>48320</v>
      </c>
      <c r="I21" s="44">
        <v>49615</v>
      </c>
      <c r="J21" s="43">
        <v>50615</v>
      </c>
      <c r="K21" s="42">
        <f t="shared" si="2"/>
        <v>50115</v>
      </c>
      <c r="L21" s="50">
        <v>48130</v>
      </c>
      <c r="M21" s="49">
        <v>1.3118000000000001</v>
      </c>
      <c r="N21" s="49">
        <v>1.1578999999999999</v>
      </c>
      <c r="O21" s="48">
        <v>156.25</v>
      </c>
      <c r="P21" s="41">
        <f t="shared" si="4"/>
        <v>36690.044214057016</v>
      </c>
      <c r="Q21" s="41">
        <f t="shared" si="5"/>
        <v>37025.461198353405</v>
      </c>
      <c r="R21" s="47">
        <f t="shared" si="3"/>
        <v>41566.629242594354</v>
      </c>
      <c r="S21" s="46">
        <v>1.3118000000000001</v>
      </c>
    </row>
    <row r="22" spans="2:19" x14ac:dyDescent="0.2">
      <c r="B22" s="45">
        <v>45981</v>
      </c>
      <c r="C22" s="44">
        <v>47640</v>
      </c>
      <c r="D22" s="43">
        <v>48140</v>
      </c>
      <c r="E22" s="42">
        <f t="shared" si="0"/>
        <v>47890</v>
      </c>
      <c r="F22" s="44">
        <v>48070</v>
      </c>
      <c r="G22" s="43">
        <v>48570</v>
      </c>
      <c r="H22" s="42">
        <f t="shared" si="1"/>
        <v>48320</v>
      </c>
      <c r="I22" s="44">
        <v>49610</v>
      </c>
      <c r="J22" s="43">
        <v>50610</v>
      </c>
      <c r="K22" s="42">
        <f t="shared" si="2"/>
        <v>50110</v>
      </c>
      <c r="L22" s="50">
        <v>48140</v>
      </c>
      <c r="M22" s="49">
        <v>1.3057000000000001</v>
      </c>
      <c r="N22" s="49">
        <v>1.1511</v>
      </c>
      <c r="O22" s="48">
        <v>157.71</v>
      </c>
      <c r="P22" s="41">
        <f t="shared" si="4"/>
        <v>36869.112353526842</v>
      </c>
      <c r="Q22" s="41">
        <f t="shared" si="5"/>
        <v>37198.437619667609</v>
      </c>
      <c r="R22" s="47">
        <f t="shared" si="3"/>
        <v>41820.866996785684</v>
      </c>
      <c r="S22" s="46">
        <v>1.3059000000000001</v>
      </c>
    </row>
    <row r="23" spans="2:19" x14ac:dyDescent="0.2">
      <c r="B23" s="45">
        <v>45982</v>
      </c>
      <c r="C23" s="44">
        <v>47645</v>
      </c>
      <c r="D23" s="43">
        <v>48145</v>
      </c>
      <c r="E23" s="42">
        <f t="shared" si="0"/>
        <v>47895</v>
      </c>
      <c r="F23" s="44">
        <v>48070</v>
      </c>
      <c r="G23" s="43">
        <v>48570</v>
      </c>
      <c r="H23" s="42">
        <f t="shared" si="1"/>
        <v>48320</v>
      </c>
      <c r="I23" s="44">
        <v>49610</v>
      </c>
      <c r="J23" s="43">
        <v>50610</v>
      </c>
      <c r="K23" s="42">
        <f t="shared" si="2"/>
        <v>50110</v>
      </c>
      <c r="L23" s="50">
        <v>48145</v>
      </c>
      <c r="M23" s="49">
        <v>1.3089</v>
      </c>
      <c r="N23" s="49">
        <v>1.1525000000000001</v>
      </c>
      <c r="O23" s="48">
        <v>156.76</v>
      </c>
      <c r="P23" s="41">
        <f t="shared" si="4"/>
        <v>36782.794713117888</v>
      </c>
      <c r="Q23" s="41">
        <f t="shared" si="5"/>
        <v>37107.494842997941</v>
      </c>
      <c r="R23" s="47">
        <f t="shared" si="3"/>
        <v>41774.403470715835</v>
      </c>
      <c r="S23" s="46">
        <v>1.3089</v>
      </c>
    </row>
    <row r="24" spans="2:19" x14ac:dyDescent="0.2">
      <c r="B24" s="45">
        <v>45985</v>
      </c>
      <c r="C24" s="44">
        <v>47630</v>
      </c>
      <c r="D24" s="43">
        <v>48130</v>
      </c>
      <c r="E24" s="42">
        <f t="shared" si="0"/>
        <v>47880</v>
      </c>
      <c r="F24" s="44">
        <v>48070</v>
      </c>
      <c r="G24" s="43">
        <v>48570</v>
      </c>
      <c r="H24" s="42">
        <f t="shared" si="1"/>
        <v>48320</v>
      </c>
      <c r="I24" s="44">
        <v>49590</v>
      </c>
      <c r="J24" s="43">
        <v>50590</v>
      </c>
      <c r="K24" s="42">
        <f t="shared" si="2"/>
        <v>50090</v>
      </c>
      <c r="L24" s="50">
        <v>48130</v>
      </c>
      <c r="M24" s="49">
        <v>1.3111999999999999</v>
      </c>
      <c r="N24" s="49">
        <v>1.1547000000000001</v>
      </c>
      <c r="O24" s="48">
        <v>156.55000000000001</v>
      </c>
      <c r="P24" s="41">
        <f t="shared" si="4"/>
        <v>36706.833435021355</v>
      </c>
      <c r="Q24" s="41">
        <f t="shared" si="5"/>
        <v>37042.403904820014</v>
      </c>
      <c r="R24" s="47">
        <f t="shared" si="3"/>
        <v>41681.822118299126</v>
      </c>
      <c r="S24" s="46">
        <v>1.3111999999999999</v>
      </c>
    </row>
    <row r="25" spans="2:19" x14ac:dyDescent="0.2">
      <c r="B25" s="45">
        <v>45986</v>
      </c>
      <c r="C25" s="44">
        <v>47635</v>
      </c>
      <c r="D25" s="43">
        <v>48135</v>
      </c>
      <c r="E25" s="42">
        <f t="shared" si="0"/>
        <v>47885</v>
      </c>
      <c r="F25" s="44">
        <v>48070</v>
      </c>
      <c r="G25" s="43">
        <v>48570</v>
      </c>
      <c r="H25" s="42">
        <f t="shared" si="1"/>
        <v>48320</v>
      </c>
      <c r="I25" s="44">
        <v>49585</v>
      </c>
      <c r="J25" s="43">
        <v>50585</v>
      </c>
      <c r="K25" s="42">
        <f t="shared" si="2"/>
        <v>50085</v>
      </c>
      <c r="L25" s="50">
        <v>48135</v>
      </c>
      <c r="M25" s="49">
        <v>1.3136000000000001</v>
      </c>
      <c r="N25" s="49">
        <v>1.1544000000000001</v>
      </c>
      <c r="O25" s="48">
        <v>156.30000000000001</v>
      </c>
      <c r="P25" s="41">
        <f t="shared" si="4"/>
        <v>36643.574908647985</v>
      </c>
      <c r="Q25" s="41">
        <f t="shared" si="5"/>
        <v>36974.725943970763</v>
      </c>
      <c r="R25" s="47">
        <f t="shared" si="3"/>
        <v>41696.985446985447</v>
      </c>
      <c r="S25" s="46">
        <v>1.3136000000000001</v>
      </c>
    </row>
    <row r="26" spans="2:19" x14ac:dyDescent="0.2">
      <c r="B26" s="45">
        <v>45987</v>
      </c>
      <c r="C26" s="44">
        <v>47630</v>
      </c>
      <c r="D26" s="43">
        <v>48130</v>
      </c>
      <c r="E26" s="42">
        <f t="shared" si="0"/>
        <v>47880</v>
      </c>
      <c r="F26" s="44">
        <v>48070</v>
      </c>
      <c r="G26" s="43">
        <v>48570</v>
      </c>
      <c r="H26" s="42">
        <f t="shared" si="1"/>
        <v>48320</v>
      </c>
      <c r="I26" s="44">
        <v>49580</v>
      </c>
      <c r="J26" s="43">
        <v>50580</v>
      </c>
      <c r="K26" s="42">
        <f t="shared" si="2"/>
        <v>50080</v>
      </c>
      <c r="L26" s="50">
        <v>48130</v>
      </c>
      <c r="M26" s="49">
        <v>1.3185</v>
      </c>
      <c r="N26" s="49">
        <v>1.1573</v>
      </c>
      <c r="O26" s="48">
        <v>156.47999999999999</v>
      </c>
      <c r="P26" s="41">
        <f t="shared" si="4"/>
        <v>36503.602578687904</v>
      </c>
      <c r="Q26" s="41">
        <f t="shared" si="5"/>
        <v>36837.315130830488</v>
      </c>
      <c r="R26" s="47">
        <f t="shared" si="3"/>
        <v>41588.17938304675</v>
      </c>
      <c r="S26" s="46">
        <v>1.3185</v>
      </c>
    </row>
    <row r="27" spans="2:19" x14ac:dyDescent="0.2">
      <c r="B27" s="45">
        <v>45988</v>
      </c>
      <c r="C27" s="44">
        <v>47640</v>
      </c>
      <c r="D27" s="43">
        <v>48140</v>
      </c>
      <c r="E27" s="42">
        <f t="shared" si="0"/>
        <v>47890</v>
      </c>
      <c r="F27" s="44">
        <v>48070</v>
      </c>
      <c r="G27" s="43">
        <v>48570</v>
      </c>
      <c r="H27" s="42">
        <f t="shared" si="1"/>
        <v>48320</v>
      </c>
      <c r="I27" s="44">
        <v>49575</v>
      </c>
      <c r="J27" s="43">
        <v>50575</v>
      </c>
      <c r="K27" s="42">
        <f t="shared" si="2"/>
        <v>50075</v>
      </c>
      <c r="L27" s="50">
        <v>48140</v>
      </c>
      <c r="M27" s="49">
        <v>1.3233999999999999</v>
      </c>
      <c r="N27" s="49">
        <v>1.1583000000000001</v>
      </c>
      <c r="O27" s="48">
        <v>156.38</v>
      </c>
      <c r="P27" s="41">
        <f t="shared" si="4"/>
        <v>36376.001209007103</v>
      </c>
      <c r="Q27" s="41">
        <f t="shared" si="5"/>
        <v>36700.921867915975</v>
      </c>
      <c r="R27" s="47">
        <f t="shared" si="3"/>
        <v>41560.908227574888</v>
      </c>
      <c r="S27" s="46">
        <v>1.3233999999999999</v>
      </c>
    </row>
    <row r="28" spans="2:19" x14ac:dyDescent="0.2">
      <c r="B28" s="45">
        <v>45989</v>
      </c>
      <c r="C28" s="44">
        <v>47645</v>
      </c>
      <c r="D28" s="43">
        <v>48145</v>
      </c>
      <c r="E28" s="42">
        <f t="shared" si="0"/>
        <v>47895</v>
      </c>
      <c r="F28" s="44">
        <v>48070</v>
      </c>
      <c r="G28" s="43">
        <v>48570</v>
      </c>
      <c r="H28" s="42">
        <f t="shared" si="1"/>
        <v>48320</v>
      </c>
      <c r="I28" s="44">
        <v>49575</v>
      </c>
      <c r="J28" s="43">
        <v>50575</v>
      </c>
      <c r="K28" s="42">
        <f t="shared" si="2"/>
        <v>50075</v>
      </c>
      <c r="L28" s="50">
        <v>48145</v>
      </c>
      <c r="M28" s="49">
        <v>1.3219000000000001</v>
      </c>
      <c r="N28" s="49">
        <v>1.1567000000000001</v>
      </c>
      <c r="O28" s="48">
        <v>156.12</v>
      </c>
      <c r="P28" s="41">
        <f t="shared" si="4"/>
        <v>36421.060594598683</v>
      </c>
      <c r="Q28" s="41">
        <f t="shared" si="5"/>
        <v>36742.567516453586</v>
      </c>
      <c r="R28" s="47">
        <f t="shared" si="3"/>
        <v>41622.719806345638</v>
      </c>
      <c r="S28" s="46">
        <v>1.3219000000000001</v>
      </c>
    </row>
    <row r="29" spans="2:19" x14ac:dyDescent="0.2">
      <c r="B29" s="40" t="s">
        <v>11</v>
      </c>
      <c r="C29" s="39">
        <f>ROUND(AVERAGE(C9:C28),2)</f>
        <v>47639.5</v>
      </c>
      <c r="D29" s="38">
        <f>ROUND(AVERAGE(D9:D28),2)</f>
        <v>48139.5</v>
      </c>
      <c r="E29" s="37">
        <f>ROUND(AVERAGE(C29:D29),2)</f>
        <v>47889.5</v>
      </c>
      <c r="F29" s="39">
        <f>ROUND(AVERAGE(F9:F28),2)</f>
        <v>48070</v>
      </c>
      <c r="G29" s="38">
        <f>ROUND(AVERAGE(G9:G28),2)</f>
        <v>48570</v>
      </c>
      <c r="H29" s="37">
        <f>ROUND(AVERAGE(F29:G29),2)</f>
        <v>48320</v>
      </c>
      <c r="I29" s="39">
        <f>ROUND(AVERAGE(I9:I28),2)</f>
        <v>49636</v>
      </c>
      <c r="J29" s="38">
        <f>ROUND(AVERAGE(J9:J28),2)</f>
        <v>50636</v>
      </c>
      <c r="K29" s="37">
        <f>ROUND(AVERAGE(I29:J29),2)</f>
        <v>50136</v>
      </c>
      <c r="L29" s="36">
        <f>ROUND(AVERAGE(L9:L28),2)</f>
        <v>48139.5</v>
      </c>
      <c r="M29" s="35">
        <f>ROUND(AVERAGE(M9:M28),4)</f>
        <v>1.3138000000000001</v>
      </c>
      <c r="N29" s="34">
        <f>ROUND(AVERAGE(N9:N28),4)</f>
        <v>1.1559999999999999</v>
      </c>
      <c r="O29" s="167">
        <f>ROUND(AVERAGE(O9:O28),2)</f>
        <v>155.11000000000001</v>
      </c>
      <c r="P29" s="33">
        <f>AVERAGE(P9:P28)</f>
        <v>36642.955933771053</v>
      </c>
      <c r="Q29" s="33">
        <f>AVERAGE(Q9:Q28)</f>
        <v>36970.63924700427</v>
      </c>
      <c r="R29" s="33">
        <f>AVERAGE(R9:R28)</f>
        <v>41644.592343867567</v>
      </c>
      <c r="S29" s="32">
        <f>AVERAGE(S9:S28)</f>
        <v>1.3137350000000001</v>
      </c>
    </row>
    <row r="30" spans="2:19" x14ac:dyDescent="0.2">
      <c r="B30" s="31" t="s">
        <v>12</v>
      </c>
      <c r="C30" s="30">
        <f t="shared" ref="C30:S30" si="6">MAX(C9:C28)</f>
        <v>47660</v>
      </c>
      <c r="D30" s="29">
        <f t="shared" si="6"/>
        <v>48160</v>
      </c>
      <c r="E30" s="28">
        <f t="shared" si="6"/>
        <v>47910</v>
      </c>
      <c r="F30" s="30">
        <f t="shared" si="6"/>
        <v>48070</v>
      </c>
      <c r="G30" s="29">
        <f t="shared" si="6"/>
        <v>48570</v>
      </c>
      <c r="H30" s="28">
        <f t="shared" si="6"/>
        <v>48320</v>
      </c>
      <c r="I30" s="30">
        <f t="shared" si="6"/>
        <v>49700</v>
      </c>
      <c r="J30" s="29">
        <f t="shared" si="6"/>
        <v>50700</v>
      </c>
      <c r="K30" s="28">
        <f t="shared" si="6"/>
        <v>50200</v>
      </c>
      <c r="L30" s="27">
        <f t="shared" si="6"/>
        <v>48160</v>
      </c>
      <c r="M30" s="26">
        <f t="shared" si="6"/>
        <v>1.3233999999999999</v>
      </c>
      <c r="N30" s="25">
        <f t="shared" si="6"/>
        <v>1.1653</v>
      </c>
      <c r="O30" s="24">
        <f t="shared" si="6"/>
        <v>157.71</v>
      </c>
      <c r="P30" s="23">
        <f t="shared" si="6"/>
        <v>36915.350406379388</v>
      </c>
      <c r="Q30" s="23">
        <f t="shared" si="6"/>
        <v>37241.220671676121</v>
      </c>
      <c r="R30" s="23">
        <f t="shared" si="6"/>
        <v>41905.300722430147</v>
      </c>
      <c r="S30" s="22">
        <f t="shared" si="6"/>
        <v>1.3233999999999999</v>
      </c>
    </row>
    <row r="31" spans="2:19" ht="13.5" thickBot="1" x14ac:dyDescent="0.25">
      <c r="B31" s="21" t="s">
        <v>13</v>
      </c>
      <c r="C31" s="20">
        <f t="shared" ref="C31:S31" si="7">MIN(C9:C28)</f>
        <v>47630</v>
      </c>
      <c r="D31" s="19">
        <f t="shared" si="7"/>
        <v>48130</v>
      </c>
      <c r="E31" s="18">
        <f t="shared" si="7"/>
        <v>47880</v>
      </c>
      <c r="F31" s="20">
        <f t="shared" si="7"/>
        <v>48070</v>
      </c>
      <c r="G31" s="19">
        <f t="shared" si="7"/>
        <v>48570</v>
      </c>
      <c r="H31" s="18">
        <f t="shared" si="7"/>
        <v>48320</v>
      </c>
      <c r="I31" s="20">
        <f t="shared" si="7"/>
        <v>49575</v>
      </c>
      <c r="J31" s="19">
        <f t="shared" si="7"/>
        <v>50575</v>
      </c>
      <c r="K31" s="18">
        <f t="shared" si="7"/>
        <v>50075</v>
      </c>
      <c r="L31" s="17">
        <f t="shared" si="7"/>
        <v>48130</v>
      </c>
      <c r="M31" s="16">
        <f t="shared" si="7"/>
        <v>1.3042</v>
      </c>
      <c r="N31" s="15">
        <f t="shared" si="7"/>
        <v>1.1489</v>
      </c>
      <c r="O31" s="14">
        <f t="shared" si="7"/>
        <v>153.1</v>
      </c>
      <c r="P31" s="13">
        <f t="shared" si="7"/>
        <v>36376.001209007103</v>
      </c>
      <c r="Q31" s="13">
        <f t="shared" si="7"/>
        <v>36700.921867915975</v>
      </c>
      <c r="R31" s="13">
        <f t="shared" si="7"/>
        <v>41315.541062387369</v>
      </c>
      <c r="S31" s="12">
        <f t="shared" si="7"/>
        <v>1.3041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3" t="s">
        <v>39</v>
      </c>
    </row>
    <row r="3" spans="2:10" ht="13.5" thickBot="1" x14ac:dyDescent="0.25"/>
    <row r="4" spans="2:10" x14ac:dyDescent="0.2">
      <c r="C4" s="179" t="s">
        <v>38</v>
      </c>
      <c r="D4" s="180"/>
      <c r="F4" s="179" t="s">
        <v>37</v>
      </c>
      <c r="G4" s="180"/>
      <c r="I4" s="179" t="s">
        <v>36</v>
      </c>
      <c r="J4" s="180"/>
    </row>
    <row r="5" spans="2:10" x14ac:dyDescent="0.2">
      <c r="C5" s="72">
        <v>45989</v>
      </c>
      <c r="D5" s="71"/>
      <c r="F5" s="72">
        <v>45989</v>
      </c>
      <c r="G5" s="71"/>
      <c r="I5" s="72">
        <v>45989</v>
      </c>
      <c r="J5" s="71"/>
    </row>
    <row r="6" spans="2:10" x14ac:dyDescent="0.2">
      <c r="C6" s="70"/>
      <c r="D6" s="69" t="s">
        <v>35</v>
      </c>
      <c r="F6" s="70"/>
      <c r="G6" s="69" t="s">
        <v>35</v>
      </c>
      <c r="I6" s="70"/>
      <c r="J6" s="69" t="s">
        <v>35</v>
      </c>
    </row>
    <row r="7" spans="2:10" x14ac:dyDescent="0.2">
      <c r="C7" s="68"/>
      <c r="D7" s="67"/>
      <c r="F7" s="68"/>
      <c r="G7" s="67"/>
      <c r="I7" s="68"/>
      <c r="J7" s="67"/>
    </row>
    <row r="8" spans="2:10" x14ac:dyDescent="0.2">
      <c r="C8" s="66">
        <v>45964</v>
      </c>
      <c r="D8" s="65"/>
      <c r="F8" s="66">
        <f t="shared" ref="F8:F27" si="0">C8</f>
        <v>45964</v>
      </c>
      <c r="G8" s="65"/>
      <c r="I8" s="66">
        <f t="shared" ref="I8:I27" si="1">C8</f>
        <v>45964</v>
      </c>
      <c r="J8" s="65"/>
    </row>
    <row r="9" spans="2:10" x14ac:dyDescent="0.2">
      <c r="C9" s="66">
        <v>45965</v>
      </c>
      <c r="D9" s="65"/>
      <c r="F9" s="66">
        <f t="shared" si="0"/>
        <v>45965</v>
      </c>
      <c r="G9" s="65"/>
      <c r="I9" s="66">
        <f t="shared" si="1"/>
        <v>45965</v>
      </c>
      <c r="J9" s="65"/>
    </row>
    <row r="10" spans="2:10" x14ac:dyDescent="0.2">
      <c r="C10" s="66">
        <v>45966</v>
      </c>
      <c r="D10" s="65"/>
      <c r="F10" s="66">
        <f t="shared" si="0"/>
        <v>45966</v>
      </c>
      <c r="G10" s="65"/>
      <c r="I10" s="66">
        <f t="shared" si="1"/>
        <v>45966</v>
      </c>
      <c r="J10" s="65"/>
    </row>
    <row r="11" spans="2:10" x14ac:dyDescent="0.2">
      <c r="C11" s="66">
        <v>45967</v>
      </c>
      <c r="D11" s="65"/>
      <c r="F11" s="66">
        <f t="shared" si="0"/>
        <v>45967</v>
      </c>
      <c r="G11" s="65"/>
      <c r="I11" s="66">
        <f t="shared" si="1"/>
        <v>45967</v>
      </c>
      <c r="J11" s="65"/>
    </row>
    <row r="12" spans="2:10" x14ac:dyDescent="0.2">
      <c r="C12" s="66">
        <v>45968</v>
      </c>
      <c r="D12" s="65"/>
      <c r="F12" s="66">
        <f t="shared" si="0"/>
        <v>45968</v>
      </c>
      <c r="G12" s="65"/>
      <c r="I12" s="66">
        <f t="shared" si="1"/>
        <v>45968</v>
      </c>
      <c r="J12" s="65"/>
    </row>
    <row r="13" spans="2:10" x14ac:dyDescent="0.2">
      <c r="C13" s="66">
        <v>45971</v>
      </c>
      <c r="D13" s="65"/>
      <c r="F13" s="66">
        <f t="shared" si="0"/>
        <v>45971</v>
      </c>
      <c r="G13" s="65"/>
      <c r="I13" s="66">
        <f t="shared" si="1"/>
        <v>45971</v>
      </c>
      <c r="J13" s="65"/>
    </row>
    <row r="14" spans="2:10" x14ac:dyDescent="0.2">
      <c r="C14" s="66">
        <v>45972</v>
      </c>
      <c r="D14" s="65"/>
      <c r="F14" s="66">
        <f t="shared" si="0"/>
        <v>45972</v>
      </c>
      <c r="G14" s="65"/>
      <c r="I14" s="66">
        <f t="shared" si="1"/>
        <v>45972</v>
      </c>
      <c r="J14" s="65"/>
    </row>
    <row r="15" spans="2:10" x14ac:dyDescent="0.2">
      <c r="C15" s="66">
        <v>45973</v>
      </c>
      <c r="D15" s="65"/>
      <c r="F15" s="66">
        <f t="shared" si="0"/>
        <v>45973</v>
      </c>
      <c r="G15" s="65"/>
      <c r="I15" s="66">
        <f t="shared" si="1"/>
        <v>45973</v>
      </c>
      <c r="J15" s="65"/>
    </row>
    <row r="16" spans="2:10" x14ac:dyDescent="0.2">
      <c r="C16" s="66">
        <v>45974</v>
      </c>
      <c r="D16" s="65"/>
      <c r="F16" s="66">
        <f t="shared" si="0"/>
        <v>45974</v>
      </c>
      <c r="G16" s="65"/>
      <c r="I16" s="66">
        <f t="shared" si="1"/>
        <v>45974</v>
      </c>
      <c r="J16" s="65"/>
    </row>
    <row r="17" spans="3:10" x14ac:dyDescent="0.2">
      <c r="C17" s="66">
        <v>45975</v>
      </c>
      <c r="D17" s="65"/>
      <c r="F17" s="66">
        <f t="shared" si="0"/>
        <v>45975</v>
      </c>
      <c r="G17" s="65"/>
      <c r="I17" s="66">
        <f t="shared" si="1"/>
        <v>45975</v>
      </c>
      <c r="J17" s="65"/>
    </row>
    <row r="18" spans="3:10" x14ac:dyDescent="0.2">
      <c r="C18" s="66">
        <v>45978</v>
      </c>
      <c r="D18" s="65"/>
      <c r="F18" s="66">
        <f t="shared" si="0"/>
        <v>45978</v>
      </c>
      <c r="G18" s="65"/>
      <c r="I18" s="66">
        <f t="shared" si="1"/>
        <v>45978</v>
      </c>
      <c r="J18" s="65"/>
    </row>
    <row r="19" spans="3:10" x14ac:dyDescent="0.2">
      <c r="C19" s="66">
        <v>45979</v>
      </c>
      <c r="D19" s="65"/>
      <c r="F19" s="66">
        <f t="shared" si="0"/>
        <v>45979</v>
      </c>
      <c r="G19" s="65"/>
      <c r="I19" s="66">
        <f t="shared" si="1"/>
        <v>45979</v>
      </c>
      <c r="J19" s="65"/>
    </row>
    <row r="20" spans="3:10" x14ac:dyDescent="0.2">
      <c r="C20" s="66">
        <v>45980</v>
      </c>
      <c r="D20" s="65"/>
      <c r="F20" s="66">
        <f t="shared" si="0"/>
        <v>45980</v>
      </c>
      <c r="G20" s="65"/>
      <c r="I20" s="66">
        <f t="shared" si="1"/>
        <v>45980</v>
      </c>
      <c r="J20" s="65"/>
    </row>
    <row r="21" spans="3:10" x14ac:dyDescent="0.2">
      <c r="C21" s="66">
        <v>45981</v>
      </c>
      <c r="D21" s="65"/>
      <c r="F21" s="66">
        <f t="shared" si="0"/>
        <v>45981</v>
      </c>
      <c r="G21" s="65"/>
      <c r="I21" s="66">
        <f t="shared" si="1"/>
        <v>45981</v>
      </c>
      <c r="J21" s="65"/>
    </row>
    <row r="22" spans="3:10" x14ac:dyDescent="0.2">
      <c r="C22" s="66">
        <v>45982</v>
      </c>
      <c r="D22" s="65"/>
      <c r="F22" s="66">
        <f t="shared" si="0"/>
        <v>45982</v>
      </c>
      <c r="G22" s="65"/>
      <c r="I22" s="66">
        <f t="shared" si="1"/>
        <v>45982</v>
      </c>
      <c r="J22" s="65"/>
    </row>
    <row r="23" spans="3:10" x14ac:dyDescent="0.2">
      <c r="C23" s="66">
        <v>45985</v>
      </c>
      <c r="D23" s="65"/>
      <c r="F23" s="66">
        <f t="shared" si="0"/>
        <v>45985</v>
      </c>
      <c r="G23" s="65"/>
      <c r="I23" s="66">
        <f t="shared" si="1"/>
        <v>45985</v>
      </c>
      <c r="J23" s="65"/>
    </row>
    <row r="24" spans="3:10" x14ac:dyDescent="0.2">
      <c r="C24" s="66">
        <v>45986</v>
      </c>
      <c r="D24" s="65"/>
      <c r="F24" s="66">
        <f t="shared" si="0"/>
        <v>45986</v>
      </c>
      <c r="G24" s="65"/>
      <c r="I24" s="66">
        <f t="shared" si="1"/>
        <v>45986</v>
      </c>
      <c r="J24" s="65"/>
    </row>
    <row r="25" spans="3:10" x14ac:dyDescent="0.2">
      <c r="C25" s="66">
        <v>45987</v>
      </c>
      <c r="D25" s="65"/>
      <c r="F25" s="66">
        <f t="shared" si="0"/>
        <v>45987</v>
      </c>
      <c r="G25" s="65"/>
      <c r="I25" s="66">
        <f t="shared" si="1"/>
        <v>45987</v>
      </c>
      <c r="J25" s="65"/>
    </row>
    <row r="26" spans="3:10" x14ac:dyDescent="0.2">
      <c r="C26" s="66">
        <v>45988</v>
      </c>
      <c r="D26" s="65"/>
      <c r="F26" s="66">
        <f t="shared" si="0"/>
        <v>45988</v>
      </c>
      <c r="G26" s="65"/>
      <c r="I26" s="66">
        <f t="shared" si="1"/>
        <v>45988</v>
      </c>
      <c r="J26" s="65"/>
    </row>
    <row r="27" spans="3:10" ht="13.5" thickBot="1" x14ac:dyDescent="0.25">
      <c r="C27" s="66">
        <v>45989</v>
      </c>
      <c r="D27" s="65"/>
      <c r="F27" s="66">
        <f t="shared" si="0"/>
        <v>45989</v>
      </c>
      <c r="G27" s="65"/>
      <c r="I27" s="66">
        <f t="shared" si="1"/>
        <v>45989</v>
      </c>
      <c r="J27" s="65"/>
    </row>
    <row r="28" spans="3:10" x14ac:dyDescent="0.2">
      <c r="C28" s="64" t="s">
        <v>11</v>
      </c>
      <c r="D28" s="63" t="e">
        <f>ROUND(AVERAGE(D8:D27),2)</f>
        <v>#DIV/0!</v>
      </c>
      <c r="F28" s="64" t="s">
        <v>11</v>
      </c>
      <c r="G28" s="63" t="e">
        <f>ROUND(AVERAGE(G8:G27),2)</f>
        <v>#DIV/0!</v>
      </c>
      <c r="I28" s="64" t="s">
        <v>11</v>
      </c>
      <c r="J28" s="63" t="e">
        <f>ROUND(AVERAGE(J8:J27),2)</f>
        <v>#DIV/0!</v>
      </c>
    </row>
    <row r="29" spans="3:10" x14ac:dyDescent="0.2">
      <c r="C29" s="62" t="s">
        <v>12</v>
      </c>
      <c r="D29" s="61">
        <f>MAX(D8:D27)</f>
        <v>0</v>
      </c>
      <c r="F29" s="62" t="s">
        <v>12</v>
      </c>
      <c r="G29" s="61">
        <f>MAX(G8:G27)</f>
        <v>0</v>
      </c>
      <c r="I29" s="62" t="s">
        <v>12</v>
      </c>
      <c r="J29" s="61">
        <f>MAX(J8:J27)</f>
        <v>0</v>
      </c>
    </row>
    <row r="30" spans="3:10" x14ac:dyDescent="0.2">
      <c r="C30" s="60" t="s">
        <v>13</v>
      </c>
      <c r="D30" s="59">
        <f>MIN(D8:D27)</f>
        <v>0</v>
      </c>
      <c r="F30" s="60" t="s">
        <v>13</v>
      </c>
      <c r="G30" s="59">
        <f>MIN(G8:G27)</f>
        <v>0</v>
      </c>
      <c r="I30" s="60" t="s">
        <v>13</v>
      </c>
      <c r="J30" s="59">
        <f>MIN(J8:J27)</f>
        <v>0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29"/>
    <col min="2" max="2" width="15.5703125" style="129" customWidth="1"/>
    <col min="3" max="10" width="12.7109375" style="129" customWidth="1"/>
    <col min="11" max="16384" width="9.140625" style="129"/>
  </cols>
  <sheetData>
    <row r="3" spans="2:9" ht="15.75" x14ac:dyDescent="0.25">
      <c r="B3" s="166" t="s">
        <v>94</v>
      </c>
      <c r="C3" s="141"/>
      <c r="D3" s="166"/>
      <c r="G3" s="153"/>
      <c r="H3" s="153"/>
      <c r="I3" s="165"/>
    </row>
    <row r="4" spans="2:9" x14ac:dyDescent="0.2">
      <c r="B4" s="163" t="s">
        <v>93</v>
      </c>
      <c r="C4" s="164"/>
      <c r="D4" s="163"/>
      <c r="G4" s="162"/>
      <c r="H4" s="161"/>
      <c r="I4" s="153"/>
    </row>
    <row r="5" spans="2:9" x14ac:dyDescent="0.2">
      <c r="B5" s="160" t="s">
        <v>95</v>
      </c>
      <c r="C5" s="141"/>
      <c r="D5" s="159"/>
      <c r="G5" s="158"/>
      <c r="H5" s="153"/>
      <c r="I5" s="141"/>
    </row>
    <row r="6" spans="2:9" x14ac:dyDescent="0.2">
      <c r="B6" s="141"/>
      <c r="C6" s="141"/>
      <c r="D6" s="141"/>
      <c r="E6" s="141"/>
      <c r="F6" s="141"/>
      <c r="G6" s="141"/>
      <c r="H6" s="141"/>
      <c r="I6" s="141"/>
    </row>
    <row r="7" spans="2:9" x14ac:dyDescent="0.2">
      <c r="B7" s="152"/>
      <c r="C7" s="157" t="s">
        <v>92</v>
      </c>
      <c r="D7" s="157" t="s">
        <v>92</v>
      </c>
      <c r="E7" s="157" t="s">
        <v>92</v>
      </c>
    </row>
    <row r="8" spans="2:9" x14ac:dyDescent="0.2">
      <c r="B8" s="155"/>
      <c r="C8" s="156" t="s">
        <v>55</v>
      </c>
      <c r="D8" s="156" t="s">
        <v>82</v>
      </c>
      <c r="E8" s="156" t="s">
        <v>80</v>
      </c>
    </row>
    <row r="9" spans="2:9" x14ac:dyDescent="0.2">
      <c r="B9" s="155"/>
      <c r="C9" s="154" t="s">
        <v>79</v>
      </c>
      <c r="D9" s="154" t="s">
        <v>79</v>
      </c>
      <c r="E9" s="154" t="s">
        <v>79</v>
      </c>
    </row>
    <row r="10" spans="2:9" x14ac:dyDescent="0.2">
      <c r="B10" s="152"/>
      <c r="C10" s="151"/>
      <c r="D10" s="151"/>
      <c r="E10" s="151"/>
    </row>
    <row r="11" spans="2:9" x14ac:dyDescent="0.2">
      <c r="B11" s="150" t="s">
        <v>91</v>
      </c>
      <c r="C11" s="149" t="e">
        <f>ABR!D28</f>
        <v>#DIV/0!</v>
      </c>
      <c r="D11" s="149" t="e">
        <f>ABR!G28</f>
        <v>#DIV/0!</v>
      </c>
      <c r="E11" s="149" t="e">
        <f>ABR!J28</f>
        <v>#DIV/0!</v>
      </c>
    </row>
    <row r="15" spans="2:9" x14ac:dyDescent="0.2">
      <c r="B15" s="147" t="s">
        <v>48</v>
      </c>
      <c r="C15" s="148"/>
    </row>
    <row r="16" spans="2:9" x14ac:dyDescent="0.2">
      <c r="B16" s="147" t="s">
        <v>46</v>
      </c>
      <c r="C16" s="146"/>
    </row>
    <row r="17" spans="2:9" x14ac:dyDescent="0.2">
      <c r="B17" s="145" t="s">
        <v>10</v>
      </c>
      <c r="C17" s="143">
        <f>'Averages Inc. Euro Eq'!F66</f>
        <v>1.3138000000000001</v>
      </c>
    </row>
    <row r="18" spans="2:9" x14ac:dyDescent="0.2">
      <c r="B18" s="145" t="s">
        <v>43</v>
      </c>
      <c r="C18" s="144">
        <f>'Averages Inc. Euro Eq'!F67</f>
        <v>155.11000000000001</v>
      </c>
    </row>
    <row r="19" spans="2:9" x14ac:dyDescent="0.2">
      <c r="B19" s="145" t="s">
        <v>41</v>
      </c>
      <c r="C19" s="143">
        <f>'Averages Inc. Euro Eq'!F68</f>
        <v>1.1559999999999999</v>
      </c>
    </row>
    <row r="21" spans="2:9" x14ac:dyDescent="0.2">
      <c r="B21" s="142" t="s">
        <v>40</v>
      </c>
    </row>
    <row r="24" spans="2:9" x14ac:dyDescent="0.2">
      <c r="B24" s="140" t="s">
        <v>14</v>
      </c>
      <c r="C24" s="139"/>
      <c r="D24" s="138"/>
      <c r="E24" s="137"/>
      <c r="F24" s="136"/>
      <c r="G24" s="135"/>
      <c r="H24" s="134"/>
      <c r="I24" s="133"/>
    </row>
    <row r="25" spans="2:9" x14ac:dyDescent="0.2">
      <c r="B25" s="132" t="s">
        <v>96</v>
      </c>
      <c r="C25" s="131"/>
      <c r="D25" s="131"/>
      <c r="E25" s="131"/>
      <c r="F25" s="131"/>
      <c r="G25" s="131"/>
      <c r="H25" s="131"/>
      <c r="I25" s="130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tabSelected="1"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8"/>
      <c r="C5" s="2"/>
      <c r="D5" s="127"/>
      <c r="F5" s="126" t="s">
        <v>90</v>
      </c>
      <c r="G5" s="114"/>
      <c r="H5" s="114"/>
      <c r="I5" s="125"/>
    </row>
    <row r="6" spans="2:13" x14ac:dyDescent="0.2">
      <c r="B6" s="124"/>
      <c r="C6" s="124"/>
      <c r="D6" s="73"/>
      <c r="F6" s="123" t="s">
        <v>89</v>
      </c>
      <c r="G6" s="114"/>
      <c r="H6" s="122"/>
      <c r="I6" s="114"/>
    </row>
    <row r="7" spans="2:13" x14ac:dyDescent="0.2">
      <c r="B7" s="2"/>
      <c r="C7" s="2"/>
      <c r="D7" s="121"/>
      <c r="F7" s="102" t="s">
        <v>95</v>
      </c>
      <c r="G7" s="120"/>
      <c r="H7" s="114"/>
      <c r="I7" s="2"/>
    </row>
    <row r="8" spans="2:13" ht="13.5" thickBot="1" x14ac:dyDescent="0.25"/>
    <row r="9" spans="2:13" x14ac:dyDescent="0.2">
      <c r="B9" s="119"/>
      <c r="C9" s="118" t="s">
        <v>88</v>
      </c>
      <c r="D9" s="117" t="s">
        <v>82</v>
      </c>
      <c r="E9" s="117" t="s">
        <v>55</v>
      </c>
      <c r="F9" s="117" t="s">
        <v>54</v>
      </c>
      <c r="G9" s="117" t="s">
        <v>53</v>
      </c>
      <c r="H9" s="117" t="s">
        <v>52</v>
      </c>
      <c r="I9" s="117" t="s">
        <v>87</v>
      </c>
      <c r="J9" s="117" t="s">
        <v>86</v>
      </c>
      <c r="K9" s="117" t="s">
        <v>85</v>
      </c>
      <c r="L9" s="117" t="s">
        <v>84</v>
      </c>
      <c r="M9" s="116" t="s">
        <v>83</v>
      </c>
    </row>
    <row r="10" spans="2:13" x14ac:dyDescent="0.2">
      <c r="B10" s="113"/>
      <c r="C10" s="115" t="s">
        <v>82</v>
      </c>
      <c r="D10" s="114" t="s">
        <v>81</v>
      </c>
      <c r="E10" s="114"/>
      <c r="F10" s="114"/>
      <c r="G10" s="114"/>
      <c r="H10" s="114"/>
      <c r="I10" s="114"/>
      <c r="J10" s="114"/>
      <c r="K10" s="114"/>
      <c r="L10" s="114"/>
      <c r="M10" s="3"/>
    </row>
    <row r="11" spans="2:13" x14ac:dyDescent="0.2">
      <c r="B11" s="113"/>
      <c r="C11" s="112" t="s">
        <v>79</v>
      </c>
      <c r="D11" s="112" t="s">
        <v>79</v>
      </c>
      <c r="E11" s="112" t="s">
        <v>79</v>
      </c>
      <c r="F11" s="112" t="s">
        <v>79</v>
      </c>
      <c r="G11" s="112" t="s">
        <v>79</v>
      </c>
      <c r="H11" s="112" t="s">
        <v>79</v>
      </c>
      <c r="I11" s="112" t="s">
        <v>79</v>
      </c>
      <c r="J11" s="112" t="s">
        <v>79</v>
      </c>
      <c r="K11" s="112" t="s">
        <v>79</v>
      </c>
      <c r="L11" s="112" t="s">
        <v>79</v>
      </c>
      <c r="M11" s="111" t="s">
        <v>79</v>
      </c>
    </row>
    <row r="12" spans="2:13" x14ac:dyDescent="0.2">
      <c r="B12" s="95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3"/>
    </row>
    <row r="13" spans="2:13" x14ac:dyDescent="0.2">
      <c r="B13" s="109" t="s">
        <v>78</v>
      </c>
      <c r="C13" s="108">
        <v>2822.2</v>
      </c>
      <c r="D13" s="108">
        <v>2499</v>
      </c>
      <c r="E13" s="108">
        <v>10799.25</v>
      </c>
      <c r="F13" s="108">
        <v>2000.6</v>
      </c>
      <c r="G13" s="108">
        <v>14682.25</v>
      </c>
      <c r="H13" s="108">
        <v>36991.5</v>
      </c>
      <c r="I13" s="108">
        <v>3185.9</v>
      </c>
      <c r="J13" s="108">
        <v>2390</v>
      </c>
      <c r="K13" s="108">
        <v>0.5</v>
      </c>
      <c r="L13" s="108">
        <v>47639.5</v>
      </c>
      <c r="M13" s="107">
        <v>0.5</v>
      </c>
    </row>
    <row r="14" spans="2:13" x14ac:dyDescent="0.2">
      <c r="B14" s="95" t="s">
        <v>77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3"/>
    </row>
    <row r="15" spans="2:13" x14ac:dyDescent="0.2">
      <c r="B15" s="109" t="s">
        <v>76</v>
      </c>
      <c r="C15" s="108">
        <v>2822.93</v>
      </c>
      <c r="D15" s="108">
        <v>2509</v>
      </c>
      <c r="E15" s="108">
        <v>10800.78</v>
      </c>
      <c r="F15" s="108">
        <v>2001.8</v>
      </c>
      <c r="G15" s="108">
        <v>14689.25</v>
      </c>
      <c r="H15" s="108">
        <v>37015.75</v>
      </c>
      <c r="I15" s="108">
        <v>3187.4</v>
      </c>
      <c r="J15" s="108">
        <v>2400</v>
      </c>
      <c r="K15" s="108">
        <v>1</v>
      </c>
      <c r="L15" s="108">
        <v>48139.5</v>
      </c>
      <c r="M15" s="107">
        <v>1</v>
      </c>
    </row>
    <row r="16" spans="2:13" x14ac:dyDescent="0.2">
      <c r="B16" s="95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"/>
    </row>
    <row r="17" spans="2:13" x14ac:dyDescent="0.2">
      <c r="B17" s="109" t="s">
        <v>75</v>
      </c>
      <c r="C17" s="108">
        <v>2822.56</v>
      </c>
      <c r="D17" s="108">
        <v>2504</v>
      </c>
      <c r="E17" s="108">
        <v>10800.01</v>
      </c>
      <c r="F17" s="108">
        <v>2001.2</v>
      </c>
      <c r="G17" s="108">
        <v>14685.75</v>
      </c>
      <c r="H17" s="108">
        <v>37003.629999999997</v>
      </c>
      <c r="I17" s="108">
        <v>3186.65</v>
      </c>
      <c r="J17" s="108">
        <v>2395</v>
      </c>
      <c r="K17" s="108">
        <v>0.75</v>
      </c>
      <c r="L17" s="108">
        <v>47889.5</v>
      </c>
      <c r="M17" s="107">
        <v>0.75</v>
      </c>
    </row>
    <row r="18" spans="2:13" x14ac:dyDescent="0.2">
      <c r="B18" s="95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"/>
    </row>
    <row r="19" spans="2:13" x14ac:dyDescent="0.2">
      <c r="B19" s="109" t="s">
        <v>97</v>
      </c>
      <c r="C19" s="108">
        <v>2844.78</v>
      </c>
      <c r="D19" s="108">
        <v>2499</v>
      </c>
      <c r="E19" s="108">
        <v>10811.68</v>
      </c>
      <c r="F19" s="108">
        <v>2027.4</v>
      </c>
      <c r="G19" s="108">
        <v>14883</v>
      </c>
      <c r="H19" s="108">
        <v>36912.75</v>
      </c>
      <c r="I19" s="108">
        <v>3037.23</v>
      </c>
      <c r="J19" s="108">
        <v>2390</v>
      </c>
      <c r="K19" s="108">
        <v>0.5</v>
      </c>
      <c r="L19" s="108">
        <v>48070</v>
      </c>
      <c r="M19" s="107">
        <v>0.5</v>
      </c>
    </row>
    <row r="20" spans="2:13" x14ac:dyDescent="0.2">
      <c r="B20" s="95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"/>
    </row>
    <row r="21" spans="2:13" x14ac:dyDescent="0.2">
      <c r="B21" s="109" t="s">
        <v>74</v>
      </c>
      <c r="C21" s="108">
        <v>2845.75</v>
      </c>
      <c r="D21" s="108">
        <v>2509</v>
      </c>
      <c r="E21" s="108">
        <v>10814.28</v>
      </c>
      <c r="F21" s="108">
        <v>2028.55</v>
      </c>
      <c r="G21" s="108">
        <v>14893.25</v>
      </c>
      <c r="H21" s="108">
        <v>36939.5</v>
      </c>
      <c r="I21" s="108">
        <v>3038.38</v>
      </c>
      <c r="J21" s="108">
        <v>2400</v>
      </c>
      <c r="K21" s="108">
        <v>1</v>
      </c>
      <c r="L21" s="108">
        <v>48570</v>
      </c>
      <c r="M21" s="107">
        <v>1</v>
      </c>
    </row>
    <row r="22" spans="2:13" x14ac:dyDescent="0.2">
      <c r="B22" s="9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"/>
    </row>
    <row r="23" spans="2:13" x14ac:dyDescent="0.2">
      <c r="B23" s="109" t="s">
        <v>73</v>
      </c>
      <c r="C23" s="108">
        <v>2845.26</v>
      </c>
      <c r="D23" s="108">
        <v>2504</v>
      </c>
      <c r="E23" s="108">
        <v>10812.98</v>
      </c>
      <c r="F23" s="108">
        <v>2027.98</v>
      </c>
      <c r="G23" s="108">
        <v>14888.13</v>
      </c>
      <c r="H23" s="108">
        <v>36926.129999999997</v>
      </c>
      <c r="I23" s="108">
        <v>3037.8</v>
      </c>
      <c r="J23" s="108">
        <v>2395</v>
      </c>
      <c r="K23" s="108">
        <v>0.75</v>
      </c>
      <c r="L23" s="108">
        <v>48320</v>
      </c>
      <c r="M23" s="107">
        <v>0.75</v>
      </c>
    </row>
    <row r="24" spans="2:13" x14ac:dyDescent="0.2">
      <c r="B24" s="95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"/>
    </row>
    <row r="25" spans="2:13" x14ac:dyDescent="0.2">
      <c r="B25" s="109" t="s">
        <v>72</v>
      </c>
      <c r="C25" s="108">
        <v>2874.85</v>
      </c>
      <c r="D25" s="108">
        <v>2500</v>
      </c>
      <c r="E25" s="108">
        <v>10720.75</v>
      </c>
      <c r="F25" s="108">
        <v>2100.1999999999998</v>
      </c>
      <c r="G25" s="108">
        <v>15418.25</v>
      </c>
      <c r="H25" s="108"/>
      <c r="I25" s="108">
        <v>2999.8</v>
      </c>
      <c r="J25" s="108">
        <v>2390</v>
      </c>
      <c r="K25" s="108"/>
      <c r="L25" s="108"/>
      <c r="M25" s="107"/>
    </row>
    <row r="26" spans="2:13" x14ac:dyDescent="0.2">
      <c r="B26" s="95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"/>
    </row>
    <row r="27" spans="2:13" x14ac:dyDescent="0.2">
      <c r="B27" s="109" t="s">
        <v>71</v>
      </c>
      <c r="C27" s="108">
        <v>2879.85</v>
      </c>
      <c r="D27" s="108">
        <v>2510</v>
      </c>
      <c r="E27" s="108">
        <v>10730.75</v>
      </c>
      <c r="F27" s="108">
        <v>2105.1999999999998</v>
      </c>
      <c r="G27" s="108">
        <v>15468.25</v>
      </c>
      <c r="H27" s="108"/>
      <c r="I27" s="108">
        <v>3004.8</v>
      </c>
      <c r="J27" s="108">
        <v>2400</v>
      </c>
      <c r="K27" s="108"/>
      <c r="L27" s="108"/>
      <c r="M27" s="107"/>
    </row>
    <row r="28" spans="2:13" x14ac:dyDescent="0.2">
      <c r="B28" s="95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"/>
    </row>
    <row r="29" spans="2:13" x14ac:dyDescent="0.2">
      <c r="B29" s="109" t="s">
        <v>70</v>
      </c>
      <c r="C29" s="108">
        <v>2877.35</v>
      </c>
      <c r="D29" s="108">
        <v>2505</v>
      </c>
      <c r="E29" s="108">
        <v>10725.75</v>
      </c>
      <c r="F29" s="108">
        <v>2102.6999999999998</v>
      </c>
      <c r="G29" s="108">
        <v>15443.25</v>
      </c>
      <c r="H29" s="108"/>
      <c r="I29" s="108">
        <v>3002.3</v>
      </c>
      <c r="J29" s="108">
        <v>2395</v>
      </c>
      <c r="K29" s="108"/>
      <c r="L29" s="108"/>
      <c r="M29" s="107"/>
    </row>
    <row r="30" spans="2:13" x14ac:dyDescent="0.2">
      <c r="B30" s="95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3"/>
    </row>
    <row r="31" spans="2:13" x14ac:dyDescent="0.2">
      <c r="B31" s="109" t="s">
        <v>98</v>
      </c>
      <c r="C31" s="108">
        <v>2891</v>
      </c>
      <c r="D31" s="108"/>
      <c r="E31" s="108">
        <v>10598.75</v>
      </c>
      <c r="F31" s="108">
        <v>2164.1</v>
      </c>
      <c r="G31" s="108">
        <v>16015.75</v>
      </c>
      <c r="H31" s="108"/>
      <c r="I31" s="108">
        <v>2915.85</v>
      </c>
      <c r="J31" s="108"/>
      <c r="K31" s="108"/>
      <c r="L31" s="108"/>
      <c r="M31" s="107"/>
    </row>
    <row r="32" spans="2:13" x14ac:dyDescent="0.2">
      <c r="B32" s="95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3"/>
    </row>
    <row r="33" spans="2:13" x14ac:dyDescent="0.2">
      <c r="B33" s="109" t="s">
        <v>69</v>
      </c>
      <c r="C33" s="108">
        <v>2896</v>
      </c>
      <c r="D33" s="108"/>
      <c r="E33" s="108">
        <v>10608.75</v>
      </c>
      <c r="F33" s="108">
        <v>2169.1</v>
      </c>
      <c r="G33" s="108">
        <v>16065.75</v>
      </c>
      <c r="H33" s="108"/>
      <c r="I33" s="108">
        <v>2920.85</v>
      </c>
      <c r="J33" s="108"/>
      <c r="K33" s="108"/>
      <c r="L33" s="108"/>
      <c r="M33" s="107"/>
    </row>
    <row r="34" spans="2:13" x14ac:dyDescent="0.2">
      <c r="B34" s="95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3"/>
    </row>
    <row r="35" spans="2:13" x14ac:dyDescent="0.2">
      <c r="B35" s="109" t="s">
        <v>68</v>
      </c>
      <c r="C35" s="108">
        <v>2893.5</v>
      </c>
      <c r="D35" s="108"/>
      <c r="E35" s="108">
        <v>10603.75</v>
      </c>
      <c r="F35" s="108">
        <v>2166.6</v>
      </c>
      <c r="G35" s="108">
        <v>16040.75</v>
      </c>
      <c r="H35" s="108"/>
      <c r="I35" s="108">
        <v>2918.35</v>
      </c>
      <c r="J35" s="108"/>
      <c r="K35" s="108"/>
      <c r="L35" s="108"/>
      <c r="M35" s="107"/>
    </row>
    <row r="36" spans="2:13" x14ac:dyDescent="0.2">
      <c r="B36" s="95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3"/>
    </row>
    <row r="37" spans="2:13" x14ac:dyDescent="0.2">
      <c r="B37" s="109" t="s">
        <v>67</v>
      </c>
      <c r="C37" s="108">
        <v>2901.95</v>
      </c>
      <c r="D37" s="108"/>
      <c r="E37" s="108">
        <v>10485.5</v>
      </c>
      <c r="F37" s="108">
        <v>2209.1</v>
      </c>
      <c r="G37" s="108">
        <v>16590</v>
      </c>
      <c r="H37" s="108"/>
      <c r="I37" s="108">
        <v>2895.85</v>
      </c>
      <c r="J37" s="108"/>
      <c r="K37" s="108"/>
      <c r="L37" s="108"/>
      <c r="M37" s="107"/>
    </row>
    <row r="38" spans="2:13" x14ac:dyDescent="0.2">
      <c r="B38" s="95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3"/>
    </row>
    <row r="39" spans="2:13" x14ac:dyDescent="0.2">
      <c r="B39" s="109" t="s">
        <v>66</v>
      </c>
      <c r="C39" s="108">
        <v>2906.95</v>
      </c>
      <c r="D39" s="108"/>
      <c r="E39" s="108">
        <v>10495.5</v>
      </c>
      <c r="F39" s="108">
        <v>2214.1</v>
      </c>
      <c r="G39" s="108">
        <v>16640</v>
      </c>
      <c r="H39" s="108"/>
      <c r="I39" s="108">
        <v>2900.85</v>
      </c>
      <c r="J39" s="108"/>
      <c r="K39" s="108"/>
      <c r="L39" s="108"/>
      <c r="M39" s="107"/>
    </row>
    <row r="40" spans="2:13" x14ac:dyDescent="0.2">
      <c r="B40" s="95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3"/>
    </row>
    <row r="41" spans="2:13" x14ac:dyDescent="0.2">
      <c r="B41" s="109" t="s">
        <v>65</v>
      </c>
      <c r="C41" s="108">
        <v>2904.45</v>
      </c>
      <c r="D41" s="108"/>
      <c r="E41" s="108">
        <v>10490.5</v>
      </c>
      <c r="F41" s="108">
        <v>2211.6</v>
      </c>
      <c r="G41" s="108">
        <v>16615</v>
      </c>
      <c r="H41" s="108"/>
      <c r="I41" s="108">
        <v>2898.35</v>
      </c>
      <c r="J41" s="108"/>
      <c r="K41" s="108"/>
      <c r="L41" s="108"/>
      <c r="M41" s="107"/>
    </row>
    <row r="42" spans="2:13" x14ac:dyDescent="0.2">
      <c r="B42" s="95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3"/>
    </row>
    <row r="43" spans="2:13" x14ac:dyDescent="0.2">
      <c r="B43" s="109" t="s">
        <v>64</v>
      </c>
      <c r="C43" s="108"/>
      <c r="D43" s="108"/>
      <c r="E43" s="108"/>
      <c r="F43" s="108"/>
      <c r="G43" s="108"/>
      <c r="H43" s="108">
        <v>36715</v>
      </c>
      <c r="I43" s="108"/>
      <c r="J43" s="108"/>
      <c r="K43" s="108">
        <v>0.5</v>
      </c>
      <c r="L43" s="108">
        <v>49636</v>
      </c>
      <c r="M43" s="107">
        <v>0.5</v>
      </c>
    </row>
    <row r="44" spans="2:13" x14ac:dyDescent="0.2">
      <c r="B44" s="95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3"/>
    </row>
    <row r="45" spans="2:13" x14ac:dyDescent="0.2">
      <c r="B45" s="109" t="s">
        <v>63</v>
      </c>
      <c r="C45" s="108"/>
      <c r="D45" s="108"/>
      <c r="E45" s="108"/>
      <c r="F45" s="108"/>
      <c r="G45" s="108"/>
      <c r="H45" s="108">
        <v>36765</v>
      </c>
      <c r="I45" s="108"/>
      <c r="J45" s="108"/>
      <c r="K45" s="108">
        <v>1</v>
      </c>
      <c r="L45" s="108">
        <v>50636</v>
      </c>
      <c r="M45" s="107">
        <v>1</v>
      </c>
    </row>
    <row r="46" spans="2:13" x14ac:dyDescent="0.2">
      <c r="B46" s="95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"/>
    </row>
    <row r="47" spans="2:13" x14ac:dyDescent="0.2">
      <c r="B47" s="106" t="s">
        <v>62</v>
      </c>
      <c r="C47" s="105"/>
      <c r="D47" s="105"/>
      <c r="E47" s="105"/>
      <c r="F47" s="105"/>
      <c r="G47" s="105"/>
      <c r="H47" s="105">
        <v>36740</v>
      </c>
      <c r="I47" s="105"/>
      <c r="J47" s="105"/>
      <c r="K47" s="105">
        <v>0.75</v>
      </c>
      <c r="L47" s="105">
        <v>50136</v>
      </c>
      <c r="M47" s="104">
        <v>0.75</v>
      </c>
    </row>
    <row r="49" spans="2:5" x14ac:dyDescent="0.2">
      <c r="B49" s="73" t="s">
        <v>61</v>
      </c>
    </row>
    <row r="50" spans="2:5" x14ac:dyDescent="0.2">
      <c r="B50" s="103" t="s">
        <v>95</v>
      </c>
    </row>
    <row r="52" spans="2:5" x14ac:dyDescent="0.2">
      <c r="B52" s="101" t="s">
        <v>60</v>
      </c>
      <c r="C52" s="100" t="s">
        <v>59</v>
      </c>
    </row>
    <row r="53" spans="2:5" x14ac:dyDescent="0.2">
      <c r="B53" s="99"/>
      <c r="C53" s="98" t="s">
        <v>58</v>
      </c>
    </row>
    <row r="54" spans="2:5" x14ac:dyDescent="0.2">
      <c r="B54" s="96" t="s">
        <v>57</v>
      </c>
      <c r="C54" s="97">
        <v>2442.0700000000002</v>
      </c>
    </row>
    <row r="55" spans="2:5" x14ac:dyDescent="0.2">
      <c r="B55" s="96" t="s">
        <v>56</v>
      </c>
      <c r="C55" s="97">
        <v>2170.4899999999998</v>
      </c>
    </row>
    <row r="56" spans="2:5" x14ac:dyDescent="0.2">
      <c r="B56" s="96" t="s">
        <v>55</v>
      </c>
      <c r="C56" s="97">
        <v>9343.3799999999992</v>
      </c>
    </row>
    <row r="57" spans="2:5" x14ac:dyDescent="0.2">
      <c r="B57" s="96" t="s">
        <v>54</v>
      </c>
      <c r="C57" s="97">
        <v>1731.67</v>
      </c>
    </row>
    <row r="58" spans="2:5" x14ac:dyDescent="0.2">
      <c r="B58" s="96" t="s">
        <v>53</v>
      </c>
      <c r="C58" s="97">
        <v>12707.47</v>
      </c>
    </row>
    <row r="59" spans="2:5" x14ac:dyDescent="0.2">
      <c r="B59" s="96" t="s">
        <v>52</v>
      </c>
      <c r="C59" s="97">
        <v>32020.67</v>
      </c>
    </row>
    <row r="60" spans="2:5" x14ac:dyDescent="0.2">
      <c r="B60" s="96" t="s">
        <v>51</v>
      </c>
      <c r="C60" s="97">
        <v>2757.33</v>
      </c>
    </row>
    <row r="61" spans="2:5" x14ac:dyDescent="0.2">
      <c r="B61" s="94" t="s">
        <v>50</v>
      </c>
      <c r="C61" s="93">
        <v>2076.1999999999998</v>
      </c>
    </row>
    <row r="63" spans="2:5" x14ac:dyDescent="0.2">
      <c r="B63" s="86" t="s">
        <v>49</v>
      </c>
    </row>
    <row r="64" spans="2:5" x14ac:dyDescent="0.2">
      <c r="E64" s="92" t="s">
        <v>48</v>
      </c>
    </row>
    <row r="65" spans="2:9" x14ac:dyDescent="0.2">
      <c r="B65" s="2" t="s">
        <v>47</v>
      </c>
      <c r="D65" s="89">
        <v>8221.11</v>
      </c>
      <c r="E65" s="92" t="s">
        <v>46</v>
      </c>
    </row>
    <row r="66" spans="2:9" x14ac:dyDescent="0.2">
      <c r="B66" s="2" t="s">
        <v>45</v>
      </c>
      <c r="D66" s="89">
        <v>8231.6</v>
      </c>
      <c r="E66" s="91" t="s">
        <v>10</v>
      </c>
      <c r="F66" s="87">
        <v>1.3138000000000001</v>
      </c>
    </row>
    <row r="67" spans="2:9" x14ac:dyDescent="0.2">
      <c r="B67" s="2" t="s">
        <v>44</v>
      </c>
      <c r="D67" s="89">
        <v>1523.74</v>
      </c>
      <c r="E67" s="91" t="s">
        <v>43</v>
      </c>
      <c r="F67" s="90">
        <v>155.11000000000001</v>
      </c>
    </row>
    <row r="68" spans="2:9" x14ac:dyDescent="0.2">
      <c r="B68" s="2" t="s">
        <v>42</v>
      </c>
      <c r="D68" s="89">
        <v>1544.13</v>
      </c>
      <c r="E68" s="88" t="s">
        <v>41</v>
      </c>
      <c r="F68" s="87">
        <v>1.1559999999999999</v>
      </c>
    </row>
    <row r="69" spans="2:9" x14ac:dyDescent="0.2">
      <c r="H69" s="85" t="s">
        <v>40</v>
      </c>
    </row>
    <row r="70" spans="2:9" x14ac:dyDescent="0.2">
      <c r="B70" s="84" t="s">
        <v>14</v>
      </c>
      <c r="C70" s="83"/>
      <c r="D70" s="82"/>
      <c r="E70" s="81"/>
      <c r="F70" s="80"/>
      <c r="G70" s="79"/>
      <c r="H70" s="78"/>
      <c r="I70" s="77"/>
    </row>
    <row r="71" spans="2:9" x14ac:dyDescent="0.2">
      <c r="B71" s="76" t="s">
        <v>96</v>
      </c>
      <c r="C71" s="75"/>
      <c r="D71" s="75"/>
      <c r="E71" s="75"/>
      <c r="F71" s="75"/>
      <c r="G71" s="75"/>
      <c r="H71" s="75"/>
      <c r="I71" s="74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2025-11-28T13:33:22Z</dcterms:modified>
</cp:coreProperties>
</file>