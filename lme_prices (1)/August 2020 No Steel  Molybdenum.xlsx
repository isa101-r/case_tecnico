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370" yWindow="720" windowWidth="20730" windowHeight="11205" tabRatio="993" activeTab="8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E11" i="13"/>
  <c r="J30" i="12"/>
  <c r="G30" i="12"/>
  <c r="D30" i="12"/>
  <c r="J29" i="12"/>
  <c r="G29" i="12"/>
  <c r="D29" i="12"/>
  <c r="J28" i="12"/>
  <c r="G28" i="12"/>
  <c r="D11" i="13" s="1"/>
  <c r="D28" i="12"/>
  <c r="C11" i="13" s="1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R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Q30" i="10"/>
  <c r="P30" i="10"/>
  <c r="O30" i="10"/>
  <c r="N30" i="10"/>
  <c r="M30" i="10"/>
  <c r="L30" i="10"/>
  <c r="K30" i="10"/>
  <c r="J30" i="10"/>
  <c r="I30" i="10"/>
  <c r="G30" i="10"/>
  <c r="F30" i="10"/>
  <c r="E30" i="10"/>
  <c r="D30" i="10"/>
  <c r="C30" i="10"/>
  <c r="S29" i="10"/>
  <c r="Q29" i="10"/>
  <c r="P29" i="10"/>
  <c r="O29" i="10"/>
  <c r="N29" i="10"/>
  <c r="M29" i="10"/>
  <c r="L29" i="10"/>
  <c r="J29" i="10"/>
  <c r="I29" i="10"/>
  <c r="K29" i="10" s="1"/>
  <c r="H29" i="10"/>
  <c r="G29" i="10"/>
  <c r="F29" i="10"/>
  <c r="D29" i="10"/>
  <c r="E29" i="10" s="1"/>
  <c r="C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0" i="10" s="1"/>
  <c r="K9" i="10"/>
  <c r="K31" i="10" s="1"/>
  <c r="H9" i="10"/>
  <c r="E9" i="10"/>
  <c r="E31" i="10" s="1"/>
  <c r="Y31" i="8"/>
  <c r="W31" i="8"/>
  <c r="V31" i="8"/>
  <c r="U31" i="8"/>
  <c r="T31" i="8"/>
  <c r="S31" i="8"/>
  <c r="R31" i="8"/>
  <c r="P31" i="8"/>
  <c r="O31" i="8"/>
  <c r="N31" i="8"/>
  <c r="M31" i="8"/>
  <c r="L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Q30" i="8"/>
  <c r="P30" i="8"/>
  <c r="O30" i="8"/>
  <c r="M30" i="8"/>
  <c r="L30" i="8"/>
  <c r="J30" i="8"/>
  <c r="I30" i="8"/>
  <c r="G30" i="8"/>
  <c r="F30" i="8"/>
  <c r="E30" i="8"/>
  <c r="D30" i="8"/>
  <c r="C30" i="8"/>
  <c r="Y29" i="8"/>
  <c r="W29" i="8"/>
  <c r="V29" i="8"/>
  <c r="U29" i="8"/>
  <c r="T29" i="8"/>
  <c r="S29" i="8"/>
  <c r="R29" i="8"/>
  <c r="P29" i="8"/>
  <c r="Q29" i="8" s="1"/>
  <c r="O29" i="8"/>
  <c r="M29" i="8"/>
  <c r="L29" i="8"/>
  <c r="N29" i="8" s="1"/>
  <c r="J29" i="8"/>
  <c r="I29" i="8"/>
  <c r="K29" i="8" s="1"/>
  <c r="H29" i="8"/>
  <c r="G29" i="8"/>
  <c r="F29" i="8"/>
  <c r="D29" i="8"/>
  <c r="E29" i="8" s="1"/>
  <c r="C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N30" i="8" s="1"/>
  <c r="K10" i="8"/>
  <c r="H10" i="8"/>
  <c r="E10" i="8"/>
  <c r="X9" i="8"/>
  <c r="Q9" i="8"/>
  <c r="Q31" i="8" s="1"/>
  <c r="N9" i="8"/>
  <c r="K9" i="8"/>
  <c r="K30" i="8" s="1"/>
  <c r="H9" i="8"/>
  <c r="E9" i="8"/>
  <c r="E31" i="8" s="1"/>
  <c r="S31" i="7"/>
  <c r="R31" i="7"/>
  <c r="Q31" i="7"/>
  <c r="P31" i="7"/>
  <c r="O31" i="7"/>
  <c r="N31" i="7"/>
  <c r="M31" i="7"/>
  <c r="L31" i="7"/>
  <c r="J31" i="7"/>
  <c r="I31" i="7"/>
  <c r="G31" i="7"/>
  <c r="F31" i="7"/>
  <c r="D31" i="7"/>
  <c r="C31" i="7"/>
  <c r="S30" i="7"/>
  <c r="R30" i="7"/>
  <c r="Q30" i="7"/>
  <c r="P30" i="7"/>
  <c r="O30" i="7"/>
  <c r="N30" i="7"/>
  <c r="M30" i="7"/>
  <c r="L30" i="7"/>
  <c r="K30" i="7"/>
  <c r="J30" i="7"/>
  <c r="I30" i="7"/>
  <c r="G30" i="7"/>
  <c r="F30" i="7"/>
  <c r="D30" i="7"/>
  <c r="C30" i="7"/>
  <c r="S29" i="7"/>
  <c r="Q29" i="7"/>
  <c r="P29" i="7"/>
  <c r="O29" i="7"/>
  <c r="N29" i="7"/>
  <c r="M29" i="7"/>
  <c r="L29" i="7"/>
  <c r="K29" i="7"/>
  <c r="J29" i="7"/>
  <c r="I29" i="7"/>
  <c r="G29" i="7"/>
  <c r="H29" i="7" s="1"/>
  <c r="F29" i="7"/>
  <c r="D29" i="7"/>
  <c r="C29" i="7"/>
  <c r="E29" i="7" s="1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29" i="7" s="1"/>
  <c r="K9" i="7"/>
  <c r="K31" i="7" s="1"/>
  <c r="H9" i="7"/>
  <c r="H31" i="7" s="1"/>
  <c r="E9" i="7"/>
  <c r="E30" i="7" s="1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Q30" i="6"/>
  <c r="P30" i="6"/>
  <c r="O30" i="6"/>
  <c r="M30" i="6"/>
  <c r="L30" i="6"/>
  <c r="J30" i="6"/>
  <c r="I30" i="6"/>
  <c r="G30" i="6"/>
  <c r="F30" i="6"/>
  <c r="E30" i="6"/>
  <c r="D30" i="6"/>
  <c r="C30" i="6"/>
  <c r="Y29" i="6"/>
  <c r="W29" i="6"/>
  <c r="V29" i="6"/>
  <c r="U29" i="6"/>
  <c r="T29" i="6"/>
  <c r="S29" i="6"/>
  <c r="R29" i="6"/>
  <c r="P29" i="6"/>
  <c r="Q29" i="6" s="1"/>
  <c r="O29" i="6"/>
  <c r="M29" i="6"/>
  <c r="L29" i="6"/>
  <c r="N29" i="6" s="1"/>
  <c r="J29" i="6"/>
  <c r="I29" i="6"/>
  <c r="K29" i="6" s="1"/>
  <c r="H29" i="6"/>
  <c r="G29" i="6"/>
  <c r="F29" i="6"/>
  <c r="D29" i="6"/>
  <c r="E29" i="6" s="1"/>
  <c r="C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N30" i="6" s="1"/>
  <c r="K10" i="6"/>
  <c r="H10" i="6"/>
  <c r="E10" i="6"/>
  <c r="X9" i="6"/>
  <c r="Q9" i="6"/>
  <c r="Q31" i="6" s="1"/>
  <c r="N9" i="6"/>
  <c r="K9" i="6"/>
  <c r="K30" i="6" s="1"/>
  <c r="H9" i="6"/>
  <c r="E9" i="6"/>
  <c r="E31" i="6" s="1"/>
  <c r="Y31" i="5"/>
  <c r="W31" i="5"/>
  <c r="V31" i="5"/>
  <c r="U31" i="5"/>
  <c r="T31" i="5"/>
  <c r="S31" i="5"/>
  <c r="R31" i="5"/>
  <c r="P31" i="5"/>
  <c r="O31" i="5"/>
  <c r="M31" i="5"/>
  <c r="L31" i="5"/>
  <c r="K31" i="5"/>
  <c r="J31" i="5"/>
  <c r="I31" i="5"/>
  <c r="G31" i="5"/>
  <c r="F31" i="5"/>
  <c r="D31" i="5"/>
  <c r="C31" i="5"/>
  <c r="Y30" i="5"/>
  <c r="W30" i="5"/>
  <c r="V30" i="5"/>
  <c r="U30" i="5"/>
  <c r="T30" i="5"/>
  <c r="S30" i="5"/>
  <c r="R30" i="5"/>
  <c r="P30" i="5"/>
  <c r="O30" i="5"/>
  <c r="N30" i="5"/>
  <c r="M30" i="5"/>
  <c r="L30" i="5"/>
  <c r="J30" i="5"/>
  <c r="I30" i="5"/>
  <c r="G30" i="5"/>
  <c r="F30" i="5"/>
  <c r="D30" i="5"/>
  <c r="C30" i="5"/>
  <c r="Y29" i="5"/>
  <c r="W29" i="5"/>
  <c r="V29" i="5"/>
  <c r="U29" i="5"/>
  <c r="T29" i="5"/>
  <c r="S29" i="5"/>
  <c r="R29" i="5"/>
  <c r="Q29" i="5"/>
  <c r="P29" i="5"/>
  <c r="O29" i="5"/>
  <c r="M29" i="5"/>
  <c r="N29" i="5" s="1"/>
  <c r="L29" i="5"/>
  <c r="J29" i="5"/>
  <c r="I29" i="5"/>
  <c r="K29" i="5" s="1"/>
  <c r="G29" i="5"/>
  <c r="F29" i="5"/>
  <c r="H29" i="5" s="1"/>
  <c r="E29" i="5"/>
  <c r="D29" i="5"/>
  <c r="C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X30" i="5" s="1"/>
  <c r="Q10" i="5"/>
  <c r="N10" i="5"/>
  <c r="K10" i="5"/>
  <c r="H10" i="5"/>
  <c r="H30" i="5" s="1"/>
  <c r="E10" i="5"/>
  <c r="X9" i="5"/>
  <c r="X29" i="5" s="1"/>
  <c r="Q9" i="5"/>
  <c r="Q30" i="5" s="1"/>
  <c r="N9" i="5"/>
  <c r="N31" i="5" s="1"/>
  <c r="K9" i="5"/>
  <c r="K30" i="5" s="1"/>
  <c r="H9" i="5"/>
  <c r="E9" i="5"/>
  <c r="E30" i="5" s="1"/>
  <c r="Y31" i="4"/>
  <c r="W31" i="4"/>
  <c r="V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M30" i="4"/>
  <c r="L30" i="4"/>
  <c r="J30" i="4"/>
  <c r="I30" i="4"/>
  <c r="G30" i="4"/>
  <c r="F30" i="4"/>
  <c r="D30" i="4"/>
  <c r="C30" i="4"/>
  <c r="Y29" i="4"/>
  <c r="W29" i="4"/>
  <c r="V29" i="4"/>
  <c r="U29" i="4"/>
  <c r="T29" i="4"/>
  <c r="S29" i="4"/>
  <c r="R29" i="4"/>
  <c r="P29" i="4"/>
  <c r="O29" i="4"/>
  <c r="Q29" i="4" s="1"/>
  <c r="N29" i="4"/>
  <c r="M29" i="4"/>
  <c r="L29" i="4"/>
  <c r="J29" i="4"/>
  <c r="K29" i="4" s="1"/>
  <c r="I29" i="4"/>
  <c r="G29" i="4"/>
  <c r="F29" i="4"/>
  <c r="D29" i="4"/>
  <c r="C29" i="4"/>
  <c r="E29" i="4" s="1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X30" i="4" s="1"/>
  <c r="Q10" i="4"/>
  <c r="N10" i="4"/>
  <c r="K10" i="4"/>
  <c r="K30" i="4" s="1"/>
  <c r="H10" i="4"/>
  <c r="H30" i="4" s="1"/>
  <c r="E10" i="4"/>
  <c r="X9" i="4"/>
  <c r="Q9" i="4"/>
  <c r="N9" i="4"/>
  <c r="K9" i="4"/>
  <c r="H9" i="4"/>
  <c r="E9" i="4"/>
  <c r="S31" i="3"/>
  <c r="Q31" i="3"/>
  <c r="P31" i="3"/>
  <c r="O31" i="3"/>
  <c r="N31" i="3"/>
  <c r="M31" i="3"/>
  <c r="L31" i="3"/>
  <c r="J31" i="3"/>
  <c r="I31" i="3"/>
  <c r="H31" i="3"/>
  <c r="G31" i="3"/>
  <c r="F31" i="3"/>
  <c r="D31" i="3"/>
  <c r="C31" i="3"/>
  <c r="S30" i="3"/>
  <c r="Q30" i="3"/>
  <c r="P30" i="3"/>
  <c r="O30" i="3"/>
  <c r="N30" i="3"/>
  <c r="M30" i="3"/>
  <c r="L30" i="3"/>
  <c r="J30" i="3"/>
  <c r="I30" i="3"/>
  <c r="H30" i="3"/>
  <c r="G30" i="3"/>
  <c r="F30" i="3"/>
  <c r="E30" i="3"/>
  <c r="D30" i="3"/>
  <c r="C30" i="3"/>
  <c r="S29" i="3"/>
  <c r="R29" i="3"/>
  <c r="Q29" i="3"/>
  <c r="P29" i="3"/>
  <c r="O29" i="3"/>
  <c r="N29" i="3"/>
  <c r="M29" i="3"/>
  <c r="L29" i="3"/>
  <c r="J29" i="3"/>
  <c r="I29" i="3"/>
  <c r="K29" i="3" s="1"/>
  <c r="G29" i="3"/>
  <c r="F29" i="3"/>
  <c r="H29" i="3" s="1"/>
  <c r="E29" i="3"/>
  <c r="D29" i="3"/>
  <c r="C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K9" i="3"/>
  <c r="K30" i="3" s="1"/>
  <c r="H9" i="3"/>
  <c r="E9" i="3"/>
  <c r="E31" i="3" s="1"/>
  <c r="S31" i="2"/>
  <c r="R31" i="2"/>
  <c r="Q31" i="2"/>
  <c r="P31" i="2"/>
  <c r="O31" i="2"/>
  <c r="N31" i="2"/>
  <c r="M31" i="2"/>
  <c r="L31" i="2"/>
  <c r="J31" i="2"/>
  <c r="I31" i="2"/>
  <c r="G31" i="2"/>
  <c r="F31" i="2"/>
  <c r="D31" i="2"/>
  <c r="C31" i="2"/>
  <c r="S30" i="2"/>
  <c r="Q30" i="2"/>
  <c r="P30" i="2"/>
  <c r="O30" i="2"/>
  <c r="N30" i="2"/>
  <c r="M30" i="2"/>
  <c r="L30" i="2"/>
  <c r="J30" i="2"/>
  <c r="I30" i="2"/>
  <c r="H30" i="2"/>
  <c r="G30" i="2"/>
  <c r="F30" i="2"/>
  <c r="E30" i="2"/>
  <c r="D30" i="2"/>
  <c r="C30" i="2"/>
  <c r="S29" i="2"/>
  <c r="Q29" i="2"/>
  <c r="P29" i="2"/>
  <c r="O29" i="2"/>
  <c r="N29" i="2"/>
  <c r="M29" i="2"/>
  <c r="L29" i="2"/>
  <c r="J29" i="2"/>
  <c r="I29" i="2"/>
  <c r="K29" i="2" s="1"/>
  <c r="H29" i="2"/>
  <c r="G29" i="2"/>
  <c r="F29" i="2"/>
  <c r="E29" i="2"/>
  <c r="D29" i="2"/>
  <c r="C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0" i="2" s="1"/>
  <c r="K9" i="2"/>
  <c r="K31" i="2" s="1"/>
  <c r="H9" i="2"/>
  <c r="H31" i="2" s="1"/>
  <c r="E9" i="2"/>
  <c r="E31" i="2" s="1"/>
  <c r="Y31" i="1"/>
  <c r="X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N30" i="1"/>
  <c r="M30" i="1"/>
  <c r="L30" i="1"/>
  <c r="J30" i="1"/>
  <c r="I30" i="1"/>
  <c r="G30" i="1"/>
  <c r="F30" i="1"/>
  <c r="D30" i="1"/>
  <c r="C30" i="1"/>
  <c r="Y29" i="1"/>
  <c r="W29" i="1"/>
  <c r="V29" i="1"/>
  <c r="U29" i="1"/>
  <c r="T29" i="1"/>
  <c r="S29" i="1"/>
  <c r="R29" i="1"/>
  <c r="Q29" i="1"/>
  <c r="P29" i="1"/>
  <c r="O29" i="1"/>
  <c r="N29" i="1"/>
  <c r="M29" i="1"/>
  <c r="L29" i="1"/>
  <c r="J29" i="1"/>
  <c r="I29" i="1"/>
  <c r="K29" i="1" s="1"/>
  <c r="G29" i="1"/>
  <c r="F29" i="1"/>
  <c r="H29" i="1" s="1"/>
  <c r="E29" i="1"/>
  <c r="D29" i="1"/>
  <c r="C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X30" i="1" s="1"/>
  <c r="Q10" i="1"/>
  <c r="N10" i="1"/>
  <c r="K10" i="1"/>
  <c r="H10" i="1"/>
  <c r="H30" i="1" s="1"/>
  <c r="E10" i="1"/>
  <c r="X9" i="1"/>
  <c r="X29" i="1" s="1"/>
  <c r="Q9" i="1"/>
  <c r="N9" i="1"/>
  <c r="N31" i="1" s="1"/>
  <c r="K9" i="1"/>
  <c r="K31" i="1" s="1"/>
  <c r="H9" i="1"/>
  <c r="E9" i="1"/>
  <c r="K30" i="1" l="1"/>
  <c r="K30" i="2"/>
  <c r="K31" i="3"/>
  <c r="E30" i="4"/>
  <c r="E31" i="4"/>
  <c r="Q30" i="4"/>
  <c r="Q31" i="4"/>
  <c r="H30" i="6"/>
  <c r="H31" i="6"/>
  <c r="X30" i="6"/>
  <c r="X31" i="6"/>
  <c r="X29" i="6"/>
  <c r="H30" i="8"/>
  <c r="H31" i="8"/>
  <c r="X30" i="8"/>
  <c r="X31" i="8"/>
  <c r="X29" i="8"/>
  <c r="H31" i="10"/>
  <c r="H30" i="10"/>
  <c r="H31" i="1"/>
  <c r="X29" i="4"/>
  <c r="H31" i="4"/>
  <c r="N31" i="6"/>
  <c r="N30" i="4"/>
  <c r="N31" i="4"/>
  <c r="E30" i="1"/>
  <c r="Q30" i="1"/>
  <c r="R31" i="3"/>
  <c r="R30" i="3"/>
  <c r="K31" i="4"/>
  <c r="H29" i="4"/>
  <c r="X31" i="4"/>
  <c r="E31" i="7"/>
  <c r="K31" i="8"/>
  <c r="H31" i="5"/>
  <c r="X31" i="5"/>
  <c r="K31" i="6"/>
  <c r="E31" i="1"/>
  <c r="Q31" i="1"/>
  <c r="R29" i="2"/>
  <c r="E31" i="5"/>
  <c r="Q31" i="5"/>
  <c r="H30" i="7"/>
  <c r="R29" i="10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<sst xmlns="http://schemas.openxmlformats.org/spreadsheetml/2006/main" count="429" uniqueCount="99">
  <si>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</si>
  <si>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</si>
  <si>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</si>
  <si>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</si>
  <si>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</si>
  <si>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</si>
  <si>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</si>
  <si>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</si>
  <si>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</si>
  <si>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</si>
  <si>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</si>
  <si>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</si>
  <si>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</si>
  <si>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</si>
  <si>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</si>
  <si>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</si>
  <si>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</si>
  <si>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</si>
  <si>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</si>
  <si>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</si>
  <si>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</si>
  <si>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</si>
  <si>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</si>
  <si>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</si>
  <si>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</si>
  <si>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</si>
  <si>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</si>
  <si>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</si>
  <si>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</si>
  <si>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</si>
  <si>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</si>
  <si>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</si>
  <si>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</si>
  <si>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</si>
  <si>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</si>
  <si>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</si>
  <si>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</si>
  <si>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</si>
  <si>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</si>
  <si>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</si>
  <si>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</si>
  <si>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</si>
  <si>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</si>
  <si>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</si>
  <si>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</si>
  <si>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</si>
  <si>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</si>
  <si>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</si>
  <si>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</si>
  <si>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</si>
  <si>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</si>
  <si>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</si>
  <si>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</si>
  <si>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</si>
  <si>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</si>
  <si>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</si>
  <si>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</si>
  <si>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</si>
  <si>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</si>
  <si>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</si>
  <si>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</si>
  <si>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</si>
  <si>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</si>
  <si>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</si>
  <si>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</si>
  <si>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</si>
  <si>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</si>
  <si>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</si>
  <si>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</si>
  <si>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</si>
  <si>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</si>
  <si>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</si>
  <si>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</si>
  <si>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</si>
  <si>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</si>
  <si>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</si>
  <si>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</si>
  <si>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</si>
  <si>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</si>
  <si>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</si>
  <si>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</si>
  <si>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</si>
  <si>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</si>
  <si>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</si>
  <si>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</si>
  <si>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</si>
  <si>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</si>
  <si>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</si>
  <si>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</si>
  <si>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</si>
  <si>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</si>
  <si>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</si>
  <si>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</si>
  <si>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</si>
  <si>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</si>
  <si>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AUGUST 2020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</si>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</sst>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topLeftCell="C1" workbookViewId="0">
      <pane ySplit="8" topLeftCell="A9" activePane="bottomLeft" state="frozen"/>
      <selection activeCell="C46" sqref="C46"/>
      <selection pane="bottomLeft" activeCell="Z42" sqref="Z42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44046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44046</v>
      </c>
      <c r="C9" s="46">
        <v>6441</v>
      </c>
      <c r="D9" s="45">
        <v>6441</v>
      </c>
      <c r="E9" s="44">
        <f t="shared" ref="E9:E28" si="0">AVERAGE(C9:D9)</f>
        <v>6441</v>
      </c>
      <c r="F9" s="46">
        <v>6435</v>
      </c>
      <c r="G9" s="45">
        <v>6435</v>
      </c>
      <c r="H9" s="44">
        <f t="shared" ref="H9:H28" si="1">AVERAGE(F9:G9)</f>
        <v>6435</v>
      </c>
      <c r="I9" s="46">
        <v>6429</v>
      </c>
      <c r="J9" s="45">
        <v>6429</v>
      </c>
      <c r="K9" s="44">
        <f t="shared" ref="K9:K28" si="2">AVERAGE(I9:J9)</f>
        <v>6429</v>
      </c>
      <c r="L9" s="46">
        <v>6439</v>
      </c>
      <c r="M9" s="45">
        <v>6439</v>
      </c>
      <c r="N9" s="44">
        <f t="shared" ref="N9:N28" si="3">AVERAGE(L9:M9)</f>
        <v>6439</v>
      </c>
      <c r="O9" s="46">
        <v>6467</v>
      </c>
      <c r="P9" s="45">
        <v>6467</v>
      </c>
      <c r="Q9" s="44">
        <f t="shared" ref="Q9:Q28" si="4">AVERAGE(O9:P9)</f>
        <v>6467</v>
      </c>
      <c r="R9" s="52">
        <v>6441</v>
      </c>
      <c r="S9" s="51">
        <v>1.3031999999999999</v>
      </c>
      <c r="T9" s="53">
        <v>1.1726000000000001</v>
      </c>
      <c r="U9" s="50">
        <v>106.21</v>
      </c>
      <c r="V9" s="43">
        <v>4942.45</v>
      </c>
      <c r="W9" s="43">
        <v>4935.57</v>
      </c>
      <c r="X9" s="49">
        <f t="shared" ref="X9:X28" si="5">R9/T9</f>
        <v>5492.9217124339075</v>
      </c>
      <c r="Y9" s="48">
        <v>1.3038000000000001</v>
      </c>
    </row>
    <row r="10" spans="1:25" x14ac:dyDescent="0.2">
      <c r="B10" s="47">
        <v>44047</v>
      </c>
      <c r="C10" s="46">
        <v>6440</v>
      </c>
      <c r="D10" s="45">
        <v>6440</v>
      </c>
      <c r="E10" s="44">
        <f t="shared" si="0"/>
        <v>6440</v>
      </c>
      <c r="F10" s="46">
        <v>6435</v>
      </c>
      <c r="G10" s="45">
        <v>6435</v>
      </c>
      <c r="H10" s="44">
        <f t="shared" si="1"/>
        <v>6435</v>
      </c>
      <c r="I10" s="46">
        <v>6438</v>
      </c>
      <c r="J10" s="45">
        <v>6438</v>
      </c>
      <c r="K10" s="44">
        <f t="shared" si="2"/>
        <v>6438</v>
      </c>
      <c r="L10" s="46">
        <v>6453</v>
      </c>
      <c r="M10" s="45">
        <v>6453</v>
      </c>
      <c r="N10" s="44">
        <f t="shared" si="3"/>
        <v>6453</v>
      </c>
      <c r="O10" s="46">
        <v>6481</v>
      </c>
      <c r="P10" s="45">
        <v>6481</v>
      </c>
      <c r="Q10" s="44">
        <f t="shared" si="4"/>
        <v>6481</v>
      </c>
      <c r="R10" s="52">
        <v>6440</v>
      </c>
      <c r="S10" s="51">
        <v>1.3025</v>
      </c>
      <c r="T10" s="51">
        <v>1.1760999999999999</v>
      </c>
      <c r="U10" s="50">
        <v>106.12</v>
      </c>
      <c r="V10" s="43">
        <v>4944.34</v>
      </c>
      <c r="W10" s="43">
        <v>4938.6000000000004</v>
      </c>
      <c r="X10" s="49">
        <f t="shared" si="5"/>
        <v>5475.7248533287993</v>
      </c>
      <c r="Y10" s="48">
        <v>1.3029999999999999</v>
      </c>
    </row>
    <row r="11" spans="1:25" x14ac:dyDescent="0.2">
      <c r="B11" s="47">
        <v>44048</v>
      </c>
      <c r="C11" s="46">
        <v>6525.5</v>
      </c>
      <c r="D11" s="45">
        <v>6525.5</v>
      </c>
      <c r="E11" s="44">
        <f t="shared" si="0"/>
        <v>6525.5</v>
      </c>
      <c r="F11" s="46">
        <v>6523</v>
      </c>
      <c r="G11" s="45">
        <v>6523</v>
      </c>
      <c r="H11" s="44">
        <f t="shared" si="1"/>
        <v>6523</v>
      </c>
      <c r="I11" s="46">
        <v>6531</v>
      </c>
      <c r="J11" s="45">
        <v>6531</v>
      </c>
      <c r="K11" s="44">
        <f t="shared" si="2"/>
        <v>6531</v>
      </c>
      <c r="L11" s="46">
        <v>6547</v>
      </c>
      <c r="M11" s="45">
        <v>6547</v>
      </c>
      <c r="N11" s="44">
        <f t="shared" si="3"/>
        <v>6547</v>
      </c>
      <c r="O11" s="46">
        <v>6577</v>
      </c>
      <c r="P11" s="45">
        <v>6577</v>
      </c>
      <c r="Q11" s="44">
        <f t="shared" si="4"/>
        <v>6577</v>
      </c>
      <c r="R11" s="52">
        <v>6525.5</v>
      </c>
      <c r="S11" s="51">
        <v>1.3142</v>
      </c>
      <c r="T11" s="51">
        <v>1.1855</v>
      </c>
      <c r="U11" s="50">
        <v>105.73</v>
      </c>
      <c r="V11" s="43">
        <v>4965.38</v>
      </c>
      <c r="W11" s="43">
        <v>4961.59</v>
      </c>
      <c r="X11" s="49">
        <f t="shared" si="5"/>
        <v>5504.4285111767185</v>
      </c>
      <c r="Y11" s="48">
        <v>1.3147</v>
      </c>
    </row>
    <row r="12" spans="1:25" x14ac:dyDescent="0.2">
      <c r="B12" s="47">
        <v>44049</v>
      </c>
      <c r="C12" s="46">
        <v>6453.5</v>
      </c>
      <c r="D12" s="45">
        <v>6453.5</v>
      </c>
      <c r="E12" s="44">
        <f t="shared" si="0"/>
        <v>6453.5</v>
      </c>
      <c r="F12" s="46">
        <v>6450.5</v>
      </c>
      <c r="G12" s="45">
        <v>6450.5</v>
      </c>
      <c r="H12" s="44">
        <f t="shared" si="1"/>
        <v>6450.5</v>
      </c>
      <c r="I12" s="46">
        <v>6456</v>
      </c>
      <c r="J12" s="45">
        <v>6456</v>
      </c>
      <c r="K12" s="44">
        <f t="shared" si="2"/>
        <v>6456</v>
      </c>
      <c r="L12" s="46">
        <v>6470</v>
      </c>
      <c r="M12" s="45">
        <v>6470</v>
      </c>
      <c r="N12" s="44">
        <f t="shared" si="3"/>
        <v>6470</v>
      </c>
      <c r="O12" s="46">
        <v>6500</v>
      </c>
      <c r="P12" s="45">
        <v>6500</v>
      </c>
      <c r="Q12" s="44">
        <f t="shared" si="4"/>
        <v>6500</v>
      </c>
      <c r="R12" s="52">
        <v>6453.5</v>
      </c>
      <c r="S12" s="51">
        <v>1.3164</v>
      </c>
      <c r="T12" s="51">
        <v>1.1847000000000001</v>
      </c>
      <c r="U12" s="50">
        <v>105.41</v>
      </c>
      <c r="V12" s="43">
        <v>4902.3900000000003</v>
      </c>
      <c r="W12" s="43">
        <v>4898.25</v>
      </c>
      <c r="X12" s="49">
        <f t="shared" si="5"/>
        <v>5447.3706423567146</v>
      </c>
      <c r="Y12" s="48">
        <v>1.3169</v>
      </c>
    </row>
    <row r="13" spans="1:25" x14ac:dyDescent="0.2">
      <c r="B13" s="47">
        <v>44050</v>
      </c>
      <c r="C13" s="46">
        <v>6437</v>
      </c>
      <c r="D13" s="45">
        <v>6437</v>
      </c>
      <c r="E13" s="44">
        <f t="shared" si="0"/>
        <v>6437</v>
      </c>
      <c r="F13" s="46">
        <v>6428.5</v>
      </c>
      <c r="G13" s="45">
        <v>6428.5</v>
      </c>
      <c r="H13" s="44">
        <f t="shared" si="1"/>
        <v>6428.5</v>
      </c>
      <c r="I13" s="46">
        <v>6439</v>
      </c>
      <c r="J13" s="45">
        <v>6439</v>
      </c>
      <c r="K13" s="44">
        <f t="shared" si="2"/>
        <v>6439</v>
      </c>
      <c r="L13" s="46">
        <v>6453</v>
      </c>
      <c r="M13" s="45">
        <v>6453</v>
      </c>
      <c r="N13" s="44">
        <f t="shared" si="3"/>
        <v>6453</v>
      </c>
      <c r="O13" s="46">
        <v>6483</v>
      </c>
      <c r="P13" s="45">
        <v>6483</v>
      </c>
      <c r="Q13" s="44">
        <f t="shared" si="4"/>
        <v>6483</v>
      </c>
      <c r="R13" s="52">
        <v>6437</v>
      </c>
      <c r="S13" s="51">
        <v>1.3078000000000001</v>
      </c>
      <c r="T13" s="51">
        <v>1.1818</v>
      </c>
      <c r="U13" s="50">
        <v>105.64</v>
      </c>
      <c r="V13" s="43">
        <v>4922.01</v>
      </c>
      <c r="W13" s="43">
        <v>4913.63</v>
      </c>
      <c r="X13" s="49">
        <f t="shared" si="5"/>
        <v>5446.7761042477578</v>
      </c>
      <c r="Y13" s="48">
        <v>1.3083</v>
      </c>
    </row>
    <row r="14" spans="1:25" x14ac:dyDescent="0.2">
      <c r="B14" s="47">
        <v>44053</v>
      </c>
      <c r="C14" s="46">
        <v>6363</v>
      </c>
      <c r="D14" s="45">
        <v>6363</v>
      </c>
      <c r="E14" s="44">
        <f t="shared" si="0"/>
        <v>6363</v>
      </c>
      <c r="F14" s="46">
        <v>6361.5</v>
      </c>
      <c r="G14" s="45">
        <v>6361.5</v>
      </c>
      <c r="H14" s="44">
        <f t="shared" si="1"/>
        <v>6361.5</v>
      </c>
      <c r="I14" s="46">
        <v>6375</v>
      </c>
      <c r="J14" s="45">
        <v>6375</v>
      </c>
      <c r="K14" s="44">
        <f t="shared" si="2"/>
        <v>6375</v>
      </c>
      <c r="L14" s="46">
        <v>6395</v>
      </c>
      <c r="M14" s="45">
        <v>6395</v>
      </c>
      <c r="N14" s="44">
        <f t="shared" si="3"/>
        <v>6395</v>
      </c>
      <c r="O14" s="46">
        <v>6425</v>
      </c>
      <c r="P14" s="45">
        <v>6425</v>
      </c>
      <c r="Q14" s="44">
        <f t="shared" si="4"/>
        <v>6425</v>
      </c>
      <c r="R14" s="52">
        <v>6363</v>
      </c>
      <c r="S14" s="51">
        <v>1.3038000000000001</v>
      </c>
      <c r="T14" s="51">
        <v>1.1754</v>
      </c>
      <c r="U14" s="50">
        <v>106.14</v>
      </c>
      <c r="V14" s="43">
        <v>4880.3500000000004</v>
      </c>
      <c r="W14" s="43">
        <v>4877.33</v>
      </c>
      <c r="X14" s="49">
        <f t="shared" si="5"/>
        <v>5413.4762633996934</v>
      </c>
      <c r="Y14" s="48">
        <v>1.3043</v>
      </c>
    </row>
    <row r="15" spans="1:25" x14ac:dyDescent="0.2">
      <c r="B15" s="47">
        <v>44054</v>
      </c>
      <c r="C15" s="46">
        <v>6356.5</v>
      </c>
      <c r="D15" s="45">
        <v>6356.5</v>
      </c>
      <c r="E15" s="44">
        <f t="shared" si="0"/>
        <v>6356.5</v>
      </c>
      <c r="F15" s="46">
        <v>6361</v>
      </c>
      <c r="G15" s="45">
        <v>6361</v>
      </c>
      <c r="H15" s="44">
        <f t="shared" si="1"/>
        <v>6361</v>
      </c>
      <c r="I15" s="46">
        <v>6374</v>
      </c>
      <c r="J15" s="45">
        <v>6374</v>
      </c>
      <c r="K15" s="44">
        <f t="shared" si="2"/>
        <v>6374</v>
      </c>
      <c r="L15" s="46">
        <v>6394</v>
      </c>
      <c r="M15" s="45">
        <v>6394</v>
      </c>
      <c r="N15" s="44">
        <f t="shared" si="3"/>
        <v>6394</v>
      </c>
      <c r="O15" s="46">
        <v>6424</v>
      </c>
      <c r="P15" s="45">
        <v>6424</v>
      </c>
      <c r="Q15" s="44">
        <f t="shared" si="4"/>
        <v>6424</v>
      </c>
      <c r="R15" s="52">
        <v>6356.5</v>
      </c>
      <c r="S15" s="51">
        <v>1.3116000000000001</v>
      </c>
      <c r="T15" s="51">
        <v>1.1779999999999999</v>
      </c>
      <c r="U15" s="50">
        <v>106.04</v>
      </c>
      <c r="V15" s="43">
        <v>4846.37</v>
      </c>
      <c r="W15" s="43">
        <v>4847.95</v>
      </c>
      <c r="X15" s="49">
        <f t="shared" si="5"/>
        <v>5396.0101867572157</v>
      </c>
      <c r="Y15" s="48">
        <v>1.3121</v>
      </c>
    </row>
    <row r="16" spans="1:25" x14ac:dyDescent="0.2">
      <c r="B16" s="47">
        <v>44055</v>
      </c>
      <c r="C16" s="46">
        <v>6379</v>
      </c>
      <c r="D16" s="45">
        <v>6379</v>
      </c>
      <c r="E16" s="44">
        <f t="shared" si="0"/>
        <v>6379</v>
      </c>
      <c r="F16" s="46">
        <v>6380.5</v>
      </c>
      <c r="G16" s="45">
        <v>6380.5</v>
      </c>
      <c r="H16" s="44">
        <f t="shared" si="1"/>
        <v>6380.5</v>
      </c>
      <c r="I16" s="46">
        <v>6395</v>
      </c>
      <c r="J16" s="45">
        <v>6395</v>
      </c>
      <c r="K16" s="44">
        <f t="shared" si="2"/>
        <v>6395</v>
      </c>
      <c r="L16" s="46">
        <v>6413</v>
      </c>
      <c r="M16" s="45">
        <v>6413</v>
      </c>
      <c r="N16" s="44">
        <f t="shared" si="3"/>
        <v>6413</v>
      </c>
      <c r="O16" s="46">
        <v>6440</v>
      </c>
      <c r="P16" s="45">
        <v>6440</v>
      </c>
      <c r="Q16" s="44">
        <f t="shared" si="4"/>
        <v>6440</v>
      </c>
      <c r="R16" s="52">
        <v>6379</v>
      </c>
      <c r="S16" s="51">
        <v>1.3017000000000001</v>
      </c>
      <c r="T16" s="51">
        <v>1.1767000000000001</v>
      </c>
      <c r="U16" s="50">
        <v>106.95</v>
      </c>
      <c r="V16" s="43">
        <v>4900.51</v>
      </c>
      <c r="W16" s="43">
        <v>4899.78</v>
      </c>
      <c r="X16" s="49">
        <f t="shared" si="5"/>
        <v>5421.0928868870569</v>
      </c>
      <c r="Y16" s="48">
        <v>1.3022</v>
      </c>
    </row>
    <row r="17" spans="2:25" x14ac:dyDescent="0.2">
      <c r="B17" s="47">
        <v>44056</v>
      </c>
      <c r="C17" s="46">
        <v>6380</v>
      </c>
      <c r="D17" s="45">
        <v>6380</v>
      </c>
      <c r="E17" s="44">
        <f t="shared" si="0"/>
        <v>6380</v>
      </c>
      <c r="F17" s="46">
        <v>6373.5</v>
      </c>
      <c r="G17" s="45">
        <v>6373.5</v>
      </c>
      <c r="H17" s="44">
        <f t="shared" si="1"/>
        <v>6373.5</v>
      </c>
      <c r="I17" s="46">
        <v>6386.5</v>
      </c>
      <c r="J17" s="45">
        <v>6386.5</v>
      </c>
      <c r="K17" s="44">
        <f t="shared" si="2"/>
        <v>6386.5</v>
      </c>
      <c r="L17" s="46">
        <v>6398.5</v>
      </c>
      <c r="M17" s="45">
        <v>6398.5</v>
      </c>
      <c r="N17" s="44">
        <f t="shared" si="3"/>
        <v>6398.5</v>
      </c>
      <c r="O17" s="46">
        <v>6426.5</v>
      </c>
      <c r="P17" s="45">
        <v>6426.5</v>
      </c>
      <c r="Q17" s="44">
        <f t="shared" si="4"/>
        <v>6426.5</v>
      </c>
      <c r="R17" s="52">
        <v>6380</v>
      </c>
      <c r="S17" s="51">
        <v>1.3095000000000001</v>
      </c>
      <c r="T17" s="51">
        <v>1.1837</v>
      </c>
      <c r="U17" s="50">
        <v>106.97</v>
      </c>
      <c r="V17" s="43">
        <v>4872.09</v>
      </c>
      <c r="W17" s="43">
        <v>4864.8999999999996</v>
      </c>
      <c r="X17" s="49">
        <f t="shared" si="5"/>
        <v>5389.8791923629296</v>
      </c>
      <c r="Y17" s="48">
        <v>1.3101</v>
      </c>
    </row>
    <row r="18" spans="2:25" x14ac:dyDescent="0.2">
      <c r="B18" s="47">
        <v>44057</v>
      </c>
      <c r="C18" s="46">
        <v>6342.5</v>
      </c>
      <c r="D18" s="45">
        <v>6342.5</v>
      </c>
      <c r="E18" s="44">
        <f t="shared" si="0"/>
        <v>6342.5</v>
      </c>
      <c r="F18" s="46">
        <v>6334</v>
      </c>
      <c r="G18" s="45">
        <v>6334</v>
      </c>
      <c r="H18" s="44">
        <f t="shared" si="1"/>
        <v>6334</v>
      </c>
      <c r="I18" s="46">
        <v>6352.5</v>
      </c>
      <c r="J18" s="45">
        <v>6352.5</v>
      </c>
      <c r="K18" s="44">
        <f t="shared" si="2"/>
        <v>6352.5</v>
      </c>
      <c r="L18" s="46">
        <v>6370.5</v>
      </c>
      <c r="M18" s="45">
        <v>6370.5</v>
      </c>
      <c r="N18" s="44">
        <f t="shared" si="3"/>
        <v>6370.5</v>
      </c>
      <c r="O18" s="46">
        <v>6395.5</v>
      </c>
      <c r="P18" s="45">
        <v>6395.5</v>
      </c>
      <c r="Q18" s="44">
        <f t="shared" si="4"/>
        <v>6395.5</v>
      </c>
      <c r="R18" s="52">
        <v>6342.5</v>
      </c>
      <c r="S18" s="51">
        <v>1.3104</v>
      </c>
      <c r="T18" s="51">
        <v>1.1809000000000001</v>
      </c>
      <c r="U18" s="50">
        <v>106.68</v>
      </c>
      <c r="V18" s="43">
        <v>4840.13</v>
      </c>
      <c r="W18" s="43">
        <v>4831.43</v>
      </c>
      <c r="X18" s="49">
        <f t="shared" si="5"/>
        <v>5370.9035481412475</v>
      </c>
      <c r="Y18" s="48">
        <v>1.3109999999999999</v>
      </c>
    </row>
    <row r="19" spans="2:25" x14ac:dyDescent="0.2">
      <c r="B19" s="47">
        <v>44060</v>
      </c>
      <c r="C19" s="46">
        <v>6439.5</v>
      </c>
      <c r="D19" s="45">
        <v>6439.5</v>
      </c>
      <c r="E19" s="44">
        <f t="shared" si="0"/>
        <v>6439.5</v>
      </c>
      <c r="F19" s="46">
        <v>6428</v>
      </c>
      <c r="G19" s="45">
        <v>6428</v>
      </c>
      <c r="H19" s="44">
        <f t="shared" si="1"/>
        <v>6428</v>
      </c>
      <c r="I19" s="46">
        <v>6442.5</v>
      </c>
      <c r="J19" s="45">
        <v>6442.5</v>
      </c>
      <c r="K19" s="44">
        <f t="shared" si="2"/>
        <v>6442.5</v>
      </c>
      <c r="L19" s="46">
        <v>6458.5</v>
      </c>
      <c r="M19" s="45">
        <v>6458.5</v>
      </c>
      <c r="N19" s="44">
        <f t="shared" si="3"/>
        <v>6458.5</v>
      </c>
      <c r="O19" s="46">
        <v>6483.5</v>
      </c>
      <c r="P19" s="45">
        <v>6483.5</v>
      </c>
      <c r="Q19" s="44">
        <f t="shared" si="4"/>
        <v>6483.5</v>
      </c>
      <c r="R19" s="52">
        <v>6439.5</v>
      </c>
      <c r="S19" s="51">
        <v>1.3085</v>
      </c>
      <c r="T19" s="51">
        <v>1.1856</v>
      </c>
      <c r="U19" s="50">
        <v>106.29</v>
      </c>
      <c r="V19" s="43">
        <v>4921.28</v>
      </c>
      <c r="W19" s="43">
        <v>4910.24</v>
      </c>
      <c r="X19" s="49">
        <f t="shared" si="5"/>
        <v>5431.427125506073</v>
      </c>
      <c r="Y19" s="48">
        <v>1.3090999999999999</v>
      </c>
    </row>
    <row r="20" spans="2:25" x14ac:dyDescent="0.2">
      <c r="B20" s="47">
        <v>44061</v>
      </c>
      <c r="C20" s="46">
        <v>6492.5</v>
      </c>
      <c r="D20" s="45">
        <v>6492.5</v>
      </c>
      <c r="E20" s="44">
        <f t="shared" si="0"/>
        <v>6492.5</v>
      </c>
      <c r="F20" s="46">
        <v>6486.5</v>
      </c>
      <c r="G20" s="45">
        <v>6486.5</v>
      </c>
      <c r="H20" s="44">
        <f t="shared" si="1"/>
        <v>6486.5</v>
      </c>
      <c r="I20" s="46">
        <v>6502</v>
      </c>
      <c r="J20" s="45">
        <v>6502</v>
      </c>
      <c r="K20" s="44">
        <f t="shared" si="2"/>
        <v>6502</v>
      </c>
      <c r="L20" s="46">
        <v>6521</v>
      </c>
      <c r="M20" s="45">
        <v>6521</v>
      </c>
      <c r="N20" s="44">
        <f t="shared" si="3"/>
        <v>6521</v>
      </c>
      <c r="O20" s="46">
        <v>6549</v>
      </c>
      <c r="P20" s="45">
        <v>6549</v>
      </c>
      <c r="Q20" s="44">
        <f t="shared" si="4"/>
        <v>6549</v>
      </c>
      <c r="R20" s="52">
        <v>6492.5</v>
      </c>
      <c r="S20" s="51">
        <v>1.3174999999999999</v>
      </c>
      <c r="T20" s="51">
        <v>1.1906000000000001</v>
      </c>
      <c r="U20" s="50">
        <v>105.46</v>
      </c>
      <c r="V20" s="43">
        <v>4927.8900000000003</v>
      </c>
      <c r="W20" s="43">
        <v>4921.1000000000004</v>
      </c>
      <c r="X20" s="49">
        <f t="shared" si="5"/>
        <v>5453.1328741810848</v>
      </c>
      <c r="Y20" s="48">
        <v>1.3180989999999999</v>
      </c>
    </row>
    <row r="21" spans="2:25" x14ac:dyDescent="0.2">
      <c r="B21" s="47">
        <v>44062</v>
      </c>
      <c r="C21" s="46">
        <v>6667</v>
      </c>
      <c r="D21" s="45">
        <v>6667</v>
      </c>
      <c r="E21" s="44">
        <f t="shared" si="0"/>
        <v>6667</v>
      </c>
      <c r="F21" s="46">
        <v>6648</v>
      </c>
      <c r="G21" s="45">
        <v>6648</v>
      </c>
      <c r="H21" s="44">
        <f t="shared" si="1"/>
        <v>6648</v>
      </c>
      <c r="I21" s="46">
        <v>6642</v>
      </c>
      <c r="J21" s="45">
        <v>6642</v>
      </c>
      <c r="K21" s="44">
        <f t="shared" si="2"/>
        <v>6642</v>
      </c>
      <c r="L21" s="46">
        <v>6650</v>
      </c>
      <c r="M21" s="45">
        <v>6650</v>
      </c>
      <c r="N21" s="44">
        <f t="shared" si="3"/>
        <v>6650</v>
      </c>
      <c r="O21" s="46">
        <v>6675</v>
      </c>
      <c r="P21" s="45">
        <v>6675</v>
      </c>
      <c r="Q21" s="44">
        <f t="shared" si="4"/>
        <v>6675</v>
      </c>
      <c r="R21" s="52">
        <v>6667</v>
      </c>
      <c r="S21" s="51">
        <v>1.3210999999999999</v>
      </c>
      <c r="T21" s="51">
        <v>1.1935</v>
      </c>
      <c r="U21" s="50">
        <v>105.27</v>
      </c>
      <c r="V21" s="43">
        <v>5046.55</v>
      </c>
      <c r="W21" s="43">
        <v>5029.8900000000003</v>
      </c>
      <c r="X21" s="49">
        <f t="shared" si="5"/>
        <v>5586.0913280268114</v>
      </c>
      <c r="Y21" s="48">
        <v>1.3217000000000001</v>
      </c>
    </row>
    <row r="22" spans="2:25" x14ac:dyDescent="0.2">
      <c r="B22" s="47">
        <v>44063</v>
      </c>
      <c r="C22" s="46">
        <v>6594.5</v>
      </c>
      <c r="D22" s="45">
        <v>6594.5</v>
      </c>
      <c r="E22" s="44">
        <f t="shared" si="0"/>
        <v>6594.5</v>
      </c>
      <c r="F22" s="46">
        <v>6584.5</v>
      </c>
      <c r="G22" s="45">
        <v>6584.5</v>
      </c>
      <c r="H22" s="44">
        <f t="shared" si="1"/>
        <v>6584.5</v>
      </c>
      <c r="I22" s="46">
        <v>6578.5</v>
      </c>
      <c r="J22" s="45">
        <v>6578.5</v>
      </c>
      <c r="K22" s="44">
        <f t="shared" si="2"/>
        <v>6578.5</v>
      </c>
      <c r="L22" s="46">
        <v>6583.5</v>
      </c>
      <c r="M22" s="45">
        <v>6583.5</v>
      </c>
      <c r="N22" s="44">
        <f t="shared" si="3"/>
        <v>6583.5</v>
      </c>
      <c r="O22" s="46">
        <v>6606</v>
      </c>
      <c r="P22" s="45">
        <v>6606</v>
      </c>
      <c r="Q22" s="44">
        <f t="shared" si="4"/>
        <v>6606</v>
      </c>
      <c r="R22" s="52">
        <v>6594.5</v>
      </c>
      <c r="S22" s="51">
        <v>1.3145</v>
      </c>
      <c r="T22" s="51">
        <v>1.1850000000000001</v>
      </c>
      <c r="U22" s="50">
        <v>105.88</v>
      </c>
      <c r="V22" s="43">
        <v>5016.74</v>
      </c>
      <c r="W22" s="43">
        <v>5006.84</v>
      </c>
      <c r="X22" s="49">
        <f t="shared" si="5"/>
        <v>5564.9789029535859</v>
      </c>
      <c r="Y22" s="48">
        <v>1.3150999999999999</v>
      </c>
    </row>
    <row r="23" spans="2:25" x14ac:dyDescent="0.2">
      <c r="B23" s="47">
        <v>44064</v>
      </c>
      <c r="C23" s="46">
        <v>6564.5</v>
      </c>
      <c r="D23" s="45">
        <v>6564.5</v>
      </c>
      <c r="E23" s="44">
        <f t="shared" si="0"/>
        <v>6564.5</v>
      </c>
      <c r="F23" s="46">
        <v>6542</v>
      </c>
      <c r="G23" s="45">
        <v>6542</v>
      </c>
      <c r="H23" s="44">
        <f t="shared" si="1"/>
        <v>6542</v>
      </c>
      <c r="I23" s="46">
        <v>6537.5</v>
      </c>
      <c r="J23" s="45">
        <v>6537.5</v>
      </c>
      <c r="K23" s="44">
        <f t="shared" si="2"/>
        <v>6537.5</v>
      </c>
      <c r="L23" s="46">
        <v>6537.5</v>
      </c>
      <c r="M23" s="45">
        <v>6537.5</v>
      </c>
      <c r="N23" s="44">
        <f t="shared" si="3"/>
        <v>6537.5</v>
      </c>
      <c r="O23" s="46">
        <v>6560</v>
      </c>
      <c r="P23" s="45">
        <v>6560</v>
      </c>
      <c r="Q23" s="44">
        <f t="shared" si="4"/>
        <v>6560</v>
      </c>
      <c r="R23" s="52">
        <v>6564.5</v>
      </c>
      <c r="S23" s="51">
        <v>1.3109</v>
      </c>
      <c r="T23" s="51">
        <v>1.1775</v>
      </c>
      <c r="U23" s="50">
        <v>105.75</v>
      </c>
      <c r="V23" s="43">
        <v>5007.63</v>
      </c>
      <c r="W23" s="43">
        <v>4988.18</v>
      </c>
      <c r="X23" s="49">
        <f t="shared" si="5"/>
        <v>5574.9469214437368</v>
      </c>
      <c r="Y23" s="48">
        <v>1.3115000000000001</v>
      </c>
    </row>
    <row r="24" spans="2:25" x14ac:dyDescent="0.2">
      <c r="B24" s="47">
        <v>44067</v>
      </c>
      <c r="C24" s="46">
        <v>6579.5</v>
      </c>
      <c r="D24" s="45">
        <v>6579.5</v>
      </c>
      <c r="E24" s="44">
        <f t="shared" si="0"/>
        <v>6579.5</v>
      </c>
      <c r="F24" s="46">
        <v>6559.5</v>
      </c>
      <c r="G24" s="45">
        <v>6559.5</v>
      </c>
      <c r="H24" s="44">
        <f t="shared" si="1"/>
        <v>6559.5</v>
      </c>
      <c r="I24" s="46">
        <v>6558</v>
      </c>
      <c r="J24" s="45">
        <v>6558</v>
      </c>
      <c r="K24" s="44">
        <f t="shared" si="2"/>
        <v>6558</v>
      </c>
      <c r="L24" s="46">
        <v>6558</v>
      </c>
      <c r="M24" s="45">
        <v>6558</v>
      </c>
      <c r="N24" s="44">
        <f t="shared" si="3"/>
        <v>6558</v>
      </c>
      <c r="O24" s="46">
        <v>6580.5</v>
      </c>
      <c r="P24" s="45">
        <v>6580.5</v>
      </c>
      <c r="Q24" s="44">
        <f t="shared" si="4"/>
        <v>6580.5</v>
      </c>
      <c r="R24" s="52">
        <v>6579.5</v>
      </c>
      <c r="S24" s="51">
        <v>1.3139000000000001</v>
      </c>
      <c r="T24" s="51">
        <v>1.1843999999999999</v>
      </c>
      <c r="U24" s="50">
        <v>105.75</v>
      </c>
      <c r="V24" s="43">
        <v>5007.6099999999997</v>
      </c>
      <c r="W24" s="43">
        <v>4990.1099999999997</v>
      </c>
      <c r="X24" s="49">
        <f t="shared" si="5"/>
        <v>5555.1334008780823</v>
      </c>
      <c r="Y24" s="48">
        <v>1.3145</v>
      </c>
    </row>
    <row r="25" spans="2:25" x14ac:dyDescent="0.2">
      <c r="B25" s="47">
        <v>44068</v>
      </c>
      <c r="C25" s="46">
        <v>6544.5</v>
      </c>
      <c r="D25" s="45">
        <v>6544.5</v>
      </c>
      <c r="E25" s="44">
        <f t="shared" si="0"/>
        <v>6544.5</v>
      </c>
      <c r="F25" s="46">
        <v>6525</v>
      </c>
      <c r="G25" s="45">
        <v>6525</v>
      </c>
      <c r="H25" s="44">
        <f t="shared" si="1"/>
        <v>6525</v>
      </c>
      <c r="I25" s="46">
        <v>6525.5</v>
      </c>
      <c r="J25" s="45">
        <v>6525.5</v>
      </c>
      <c r="K25" s="44">
        <f t="shared" si="2"/>
        <v>6525.5</v>
      </c>
      <c r="L25" s="46">
        <v>6526.5</v>
      </c>
      <c r="M25" s="45">
        <v>6526.5</v>
      </c>
      <c r="N25" s="44">
        <f t="shared" si="3"/>
        <v>6526.5</v>
      </c>
      <c r="O25" s="46">
        <v>6549</v>
      </c>
      <c r="P25" s="45">
        <v>6549</v>
      </c>
      <c r="Q25" s="44">
        <f t="shared" si="4"/>
        <v>6549</v>
      </c>
      <c r="R25" s="52">
        <v>6544.5</v>
      </c>
      <c r="S25" s="51">
        <v>1.3134999999999999</v>
      </c>
      <c r="T25" s="51">
        <v>1.1813</v>
      </c>
      <c r="U25" s="50">
        <v>106.43</v>
      </c>
      <c r="V25" s="43">
        <v>4982.49</v>
      </c>
      <c r="W25" s="43">
        <v>4965.38</v>
      </c>
      <c r="X25" s="49">
        <f t="shared" si="5"/>
        <v>5540.0829594514516</v>
      </c>
      <c r="Y25" s="48">
        <v>1.3141</v>
      </c>
    </row>
    <row r="26" spans="2:25" x14ac:dyDescent="0.2">
      <c r="B26" s="47">
        <v>44069</v>
      </c>
      <c r="C26" s="46">
        <v>6603.5</v>
      </c>
      <c r="D26" s="45">
        <v>6603.5</v>
      </c>
      <c r="E26" s="44">
        <f t="shared" si="0"/>
        <v>6603.5</v>
      </c>
      <c r="F26" s="46">
        <v>6584</v>
      </c>
      <c r="G26" s="45">
        <v>6584</v>
      </c>
      <c r="H26" s="44">
        <f t="shared" si="1"/>
        <v>6584</v>
      </c>
      <c r="I26" s="46">
        <v>6575</v>
      </c>
      <c r="J26" s="45">
        <v>6575</v>
      </c>
      <c r="K26" s="44">
        <f t="shared" si="2"/>
        <v>6575</v>
      </c>
      <c r="L26" s="46">
        <v>6571</v>
      </c>
      <c r="M26" s="45">
        <v>6571</v>
      </c>
      <c r="N26" s="44">
        <f t="shared" si="3"/>
        <v>6571</v>
      </c>
      <c r="O26" s="46">
        <v>6589</v>
      </c>
      <c r="P26" s="45">
        <v>6589</v>
      </c>
      <c r="Q26" s="44">
        <f t="shared" si="4"/>
        <v>6589</v>
      </c>
      <c r="R26" s="52">
        <v>6603.5</v>
      </c>
      <c r="S26" s="51">
        <v>1.3144</v>
      </c>
      <c r="T26" s="51">
        <v>1.1796</v>
      </c>
      <c r="U26" s="50">
        <v>106.32</v>
      </c>
      <c r="V26" s="43">
        <v>5023.97</v>
      </c>
      <c r="W26" s="43">
        <v>5006.84</v>
      </c>
      <c r="X26" s="49">
        <f t="shared" si="5"/>
        <v>5598.0840963038318</v>
      </c>
      <c r="Y26" s="48">
        <v>1.3149999999999999</v>
      </c>
    </row>
    <row r="27" spans="2:25" x14ac:dyDescent="0.2">
      <c r="B27" s="47">
        <v>44070</v>
      </c>
      <c r="C27" s="46">
        <v>6602.5</v>
      </c>
      <c r="D27" s="45">
        <v>6602.5</v>
      </c>
      <c r="E27" s="44">
        <f t="shared" si="0"/>
        <v>6602.5</v>
      </c>
      <c r="F27" s="46">
        <v>6575</v>
      </c>
      <c r="G27" s="45">
        <v>6575</v>
      </c>
      <c r="H27" s="44">
        <f t="shared" si="1"/>
        <v>6575</v>
      </c>
      <c r="I27" s="46">
        <v>6566</v>
      </c>
      <c r="J27" s="45">
        <v>6566</v>
      </c>
      <c r="K27" s="44">
        <f t="shared" si="2"/>
        <v>6566</v>
      </c>
      <c r="L27" s="46">
        <v>6565</v>
      </c>
      <c r="M27" s="45">
        <v>6565</v>
      </c>
      <c r="N27" s="44">
        <f t="shared" si="3"/>
        <v>6565</v>
      </c>
      <c r="O27" s="46">
        <v>6583</v>
      </c>
      <c r="P27" s="45">
        <v>6583</v>
      </c>
      <c r="Q27" s="44">
        <f t="shared" si="4"/>
        <v>6583</v>
      </c>
      <c r="R27" s="52">
        <v>6602.5</v>
      </c>
      <c r="S27" s="51">
        <v>1.3199000000000001</v>
      </c>
      <c r="T27" s="51">
        <v>1.1814</v>
      </c>
      <c r="U27" s="50">
        <v>106.08</v>
      </c>
      <c r="V27" s="43">
        <v>5002.2700000000004</v>
      </c>
      <c r="W27" s="43">
        <v>4979.17</v>
      </c>
      <c r="X27" s="49">
        <f t="shared" si="5"/>
        <v>5588.7083121719988</v>
      </c>
      <c r="Y27" s="48">
        <v>1.3205</v>
      </c>
    </row>
    <row r="28" spans="2:25" x14ac:dyDescent="0.2">
      <c r="B28" s="47">
        <v>44071</v>
      </c>
      <c r="C28" s="46">
        <v>6728</v>
      </c>
      <c r="D28" s="45">
        <v>6728</v>
      </c>
      <c r="E28" s="44">
        <f t="shared" si="0"/>
        <v>6728</v>
      </c>
      <c r="F28" s="46">
        <v>6702</v>
      </c>
      <c r="G28" s="45">
        <v>6702</v>
      </c>
      <c r="H28" s="44">
        <f t="shared" si="1"/>
        <v>6702</v>
      </c>
      <c r="I28" s="46">
        <v>6684</v>
      </c>
      <c r="J28" s="45">
        <v>6684</v>
      </c>
      <c r="K28" s="44">
        <f t="shared" si="2"/>
        <v>6684</v>
      </c>
      <c r="L28" s="46">
        <v>6683</v>
      </c>
      <c r="M28" s="45">
        <v>6683</v>
      </c>
      <c r="N28" s="44">
        <f t="shared" si="3"/>
        <v>6683</v>
      </c>
      <c r="O28" s="46">
        <v>6698</v>
      </c>
      <c r="P28" s="45">
        <v>6698</v>
      </c>
      <c r="Q28" s="44">
        <f t="shared" si="4"/>
        <v>6698</v>
      </c>
      <c r="R28" s="52">
        <v>6728</v>
      </c>
      <c r="S28" s="51">
        <v>1.3310999999999999</v>
      </c>
      <c r="T28" s="51">
        <v>1.1912</v>
      </c>
      <c r="U28" s="50">
        <v>105.36</v>
      </c>
      <c r="V28" s="43">
        <v>5054.47</v>
      </c>
      <c r="W28" s="43">
        <v>5032.67</v>
      </c>
      <c r="X28" s="49">
        <f t="shared" si="5"/>
        <v>5648.0859637340491</v>
      </c>
      <c r="Y28" s="48">
        <v>1.3317000000000001</v>
      </c>
    </row>
    <row r="29" spans="2:25" s="10" customFormat="1" x14ac:dyDescent="0.2">
      <c r="B29" s="42" t="s">
        <v>11</v>
      </c>
      <c r="C29" s="41">
        <f>ROUND(AVERAGE(C9:C28),2)</f>
        <v>6496.7</v>
      </c>
      <c r="D29" s="40">
        <f>ROUND(AVERAGE(D9:D28),2)</f>
        <v>6496.7</v>
      </c>
      <c r="E29" s="39">
        <f>ROUND(AVERAGE(C29:D29),2)</f>
        <v>6496.7</v>
      </c>
      <c r="F29" s="41">
        <f>ROUND(AVERAGE(F9:F28),2)</f>
        <v>6485.85</v>
      </c>
      <c r="G29" s="40">
        <f>ROUND(AVERAGE(G9:G28),2)</f>
        <v>6485.85</v>
      </c>
      <c r="H29" s="39">
        <f>ROUND(AVERAGE(F29:G29),2)</f>
        <v>6485.85</v>
      </c>
      <c r="I29" s="41">
        <f>ROUND(AVERAGE(I9:I28),2)</f>
        <v>6489.35</v>
      </c>
      <c r="J29" s="40">
        <f>ROUND(AVERAGE(J9:J28),2)</f>
        <v>6489.35</v>
      </c>
      <c r="K29" s="39">
        <f>ROUND(AVERAGE(I29:J29),2)</f>
        <v>6489.35</v>
      </c>
      <c r="L29" s="41">
        <f>ROUND(AVERAGE(L9:L28),2)</f>
        <v>6499.35</v>
      </c>
      <c r="M29" s="40">
        <f>ROUND(AVERAGE(M9:M28),2)</f>
        <v>6499.35</v>
      </c>
      <c r="N29" s="39">
        <f>ROUND(AVERAGE(L29:M29),2)</f>
        <v>6499.35</v>
      </c>
      <c r="O29" s="41">
        <f>ROUND(AVERAGE(O9:O28),2)</f>
        <v>6524.6</v>
      </c>
      <c r="P29" s="40">
        <f>ROUND(AVERAGE(P9:P28),2)</f>
        <v>6524.6</v>
      </c>
      <c r="Q29" s="39">
        <f>ROUND(AVERAGE(O29:P29),2)</f>
        <v>6524.6</v>
      </c>
      <c r="R29" s="38">
        <f>ROUND(AVERAGE(R9:R28),2)</f>
        <v>6496.7</v>
      </c>
      <c r="S29" s="37">
        <f>ROUND(AVERAGE(S9:S28),4)</f>
        <v>1.3123</v>
      </c>
      <c r="T29" s="36">
        <f>ROUND(AVERAGE(T9:T28),4)</f>
        <v>1.1822999999999999</v>
      </c>
      <c r="U29" s="175">
        <f>ROUND(AVERAGE(U9:U28),2)</f>
        <v>106.02</v>
      </c>
      <c r="V29" s="35">
        <f>AVERAGE(V9:V28)</f>
        <v>4950.3460000000005</v>
      </c>
      <c r="W29" s="35">
        <f>AVERAGE(W9:W28)</f>
        <v>4939.9724999999999</v>
      </c>
      <c r="X29" s="35">
        <f>AVERAGE(X9:X28)</f>
        <v>5494.9627892871385</v>
      </c>
      <c r="Y29" s="34">
        <f>AVERAGE(Y9:Y28)</f>
        <v>1.3128849499999999</v>
      </c>
    </row>
    <row r="30" spans="2:25" s="5" customFormat="1" x14ac:dyDescent="0.2">
      <c r="B30" s="33" t="s">
        <v>12</v>
      </c>
      <c r="C30" s="32">
        <f t="shared" ref="C30:Y30" si="6">MAX(C9:C28)</f>
        <v>6728</v>
      </c>
      <c r="D30" s="31">
        <f t="shared" si="6"/>
        <v>6728</v>
      </c>
      <c r="E30" s="30">
        <f t="shared" si="6"/>
        <v>6728</v>
      </c>
      <c r="F30" s="32">
        <f t="shared" si="6"/>
        <v>6702</v>
      </c>
      <c r="G30" s="31">
        <f t="shared" si="6"/>
        <v>6702</v>
      </c>
      <c r="H30" s="30">
        <f t="shared" si="6"/>
        <v>6702</v>
      </c>
      <c r="I30" s="32">
        <f t="shared" si="6"/>
        <v>6684</v>
      </c>
      <c r="J30" s="31">
        <f t="shared" si="6"/>
        <v>6684</v>
      </c>
      <c r="K30" s="30">
        <f t="shared" si="6"/>
        <v>6684</v>
      </c>
      <c r="L30" s="32">
        <f t="shared" si="6"/>
        <v>6683</v>
      </c>
      <c r="M30" s="31">
        <f t="shared" si="6"/>
        <v>6683</v>
      </c>
      <c r="N30" s="30">
        <f t="shared" si="6"/>
        <v>6683</v>
      </c>
      <c r="O30" s="32">
        <f t="shared" si="6"/>
        <v>6698</v>
      </c>
      <c r="P30" s="31">
        <f t="shared" si="6"/>
        <v>6698</v>
      </c>
      <c r="Q30" s="30">
        <f t="shared" si="6"/>
        <v>6698</v>
      </c>
      <c r="R30" s="29">
        <f t="shared" si="6"/>
        <v>6728</v>
      </c>
      <c r="S30" s="28">
        <f t="shared" si="6"/>
        <v>1.3310999999999999</v>
      </c>
      <c r="T30" s="27">
        <f t="shared" si="6"/>
        <v>1.1935</v>
      </c>
      <c r="U30" s="26">
        <f t="shared" si="6"/>
        <v>106.97</v>
      </c>
      <c r="V30" s="25">
        <f t="shared" si="6"/>
        <v>5054.47</v>
      </c>
      <c r="W30" s="25">
        <f t="shared" si="6"/>
        <v>5032.67</v>
      </c>
      <c r="X30" s="25">
        <f t="shared" si="6"/>
        <v>5648.0859637340491</v>
      </c>
      <c r="Y30" s="24">
        <f t="shared" si="6"/>
        <v>1.3317000000000001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6342.5</v>
      </c>
      <c r="D31" s="21">
        <f t="shared" si="7"/>
        <v>6342.5</v>
      </c>
      <c r="E31" s="20">
        <f t="shared" si="7"/>
        <v>6342.5</v>
      </c>
      <c r="F31" s="22">
        <f t="shared" si="7"/>
        <v>6334</v>
      </c>
      <c r="G31" s="21">
        <f t="shared" si="7"/>
        <v>6334</v>
      </c>
      <c r="H31" s="20">
        <f t="shared" si="7"/>
        <v>6334</v>
      </c>
      <c r="I31" s="22">
        <f t="shared" si="7"/>
        <v>6352.5</v>
      </c>
      <c r="J31" s="21">
        <f t="shared" si="7"/>
        <v>6352.5</v>
      </c>
      <c r="K31" s="20">
        <f t="shared" si="7"/>
        <v>6352.5</v>
      </c>
      <c r="L31" s="22">
        <f t="shared" si="7"/>
        <v>6370.5</v>
      </c>
      <c r="M31" s="21">
        <f t="shared" si="7"/>
        <v>6370.5</v>
      </c>
      <c r="N31" s="20">
        <f t="shared" si="7"/>
        <v>6370.5</v>
      </c>
      <c r="O31" s="22">
        <f t="shared" si="7"/>
        <v>6395.5</v>
      </c>
      <c r="P31" s="21">
        <f t="shared" si="7"/>
        <v>6395.5</v>
      </c>
      <c r="Q31" s="20">
        <f t="shared" si="7"/>
        <v>6395.5</v>
      </c>
      <c r="R31" s="19">
        <f t="shared" si="7"/>
        <v>6342.5</v>
      </c>
      <c r="S31" s="18">
        <f t="shared" si="7"/>
        <v>1.3017000000000001</v>
      </c>
      <c r="T31" s="17">
        <f t="shared" si="7"/>
        <v>1.1726000000000001</v>
      </c>
      <c r="U31" s="16">
        <f t="shared" si="7"/>
        <v>105.27</v>
      </c>
      <c r="V31" s="15">
        <f t="shared" si="7"/>
        <v>4840.13</v>
      </c>
      <c r="W31" s="15">
        <f t="shared" si="7"/>
        <v>4831.43</v>
      </c>
      <c r="X31" s="15">
        <f t="shared" si="7"/>
        <v>5370.9035481412475</v>
      </c>
      <c r="Y31" s="14">
        <f t="shared" si="7"/>
        <v>1.3022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44046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44046</v>
      </c>
      <c r="C9" s="46">
        <v>1300</v>
      </c>
      <c r="D9" s="45">
        <v>1300</v>
      </c>
      <c r="E9" s="44">
        <f t="shared" ref="E9:E28" si="0">AVERAGE(C9:D9)</f>
        <v>1300</v>
      </c>
      <c r="F9" s="46">
        <v>1320</v>
      </c>
      <c r="G9" s="45">
        <v>1320</v>
      </c>
      <c r="H9" s="44">
        <f t="shared" ref="H9:H28" si="1">AVERAGE(F9:G9)</f>
        <v>1320</v>
      </c>
      <c r="I9" s="46">
        <v>1310</v>
      </c>
      <c r="J9" s="45">
        <v>1310</v>
      </c>
      <c r="K9" s="44">
        <f t="shared" ref="K9:K28" si="2">AVERAGE(I9:J9)</f>
        <v>1310</v>
      </c>
      <c r="L9" s="52">
        <v>1300</v>
      </c>
      <c r="M9" s="51">
        <v>1.3031999999999999</v>
      </c>
      <c r="N9" s="53">
        <v>1.1726000000000001</v>
      </c>
      <c r="O9" s="50">
        <v>106.21</v>
      </c>
      <c r="P9" s="43">
        <v>997.54</v>
      </c>
      <c r="Q9" s="43">
        <v>1012.43</v>
      </c>
      <c r="R9" s="49">
        <f t="shared" ref="R9:R28" si="3">L9/N9</f>
        <v>1108.6474501108646</v>
      </c>
      <c r="S9" s="48">
        <v>1.3038000000000001</v>
      </c>
    </row>
    <row r="10" spans="1:19" x14ac:dyDescent="0.2">
      <c r="B10" s="47">
        <v>44047</v>
      </c>
      <c r="C10" s="46">
        <v>1315</v>
      </c>
      <c r="D10" s="45">
        <v>1315</v>
      </c>
      <c r="E10" s="44">
        <f t="shared" si="0"/>
        <v>1315</v>
      </c>
      <c r="F10" s="46">
        <v>1330</v>
      </c>
      <c r="G10" s="45">
        <v>1330</v>
      </c>
      <c r="H10" s="44">
        <f t="shared" si="1"/>
        <v>1330</v>
      </c>
      <c r="I10" s="46">
        <v>1319.5</v>
      </c>
      <c r="J10" s="45">
        <v>1319.5</v>
      </c>
      <c r="K10" s="44">
        <f t="shared" si="2"/>
        <v>1319.5</v>
      </c>
      <c r="L10" s="52">
        <v>1315</v>
      </c>
      <c r="M10" s="51">
        <v>1.3025</v>
      </c>
      <c r="N10" s="51">
        <v>1.1760999999999999</v>
      </c>
      <c r="O10" s="50">
        <v>106.12</v>
      </c>
      <c r="P10" s="43">
        <v>1009.6</v>
      </c>
      <c r="Q10" s="43">
        <v>1020.72</v>
      </c>
      <c r="R10" s="49">
        <f t="shared" si="3"/>
        <v>1118.102202193691</v>
      </c>
      <c r="S10" s="48">
        <v>1.3029999999999999</v>
      </c>
    </row>
    <row r="11" spans="1:19" x14ac:dyDescent="0.2">
      <c r="B11" s="47">
        <v>44048</v>
      </c>
      <c r="C11" s="46">
        <v>1330</v>
      </c>
      <c r="D11" s="45">
        <v>1330</v>
      </c>
      <c r="E11" s="44">
        <f t="shared" si="0"/>
        <v>1330</v>
      </c>
      <c r="F11" s="46">
        <v>1360</v>
      </c>
      <c r="G11" s="45">
        <v>1360</v>
      </c>
      <c r="H11" s="44">
        <f t="shared" si="1"/>
        <v>1360</v>
      </c>
      <c r="I11" s="46">
        <v>1349.5</v>
      </c>
      <c r="J11" s="45">
        <v>1349.5</v>
      </c>
      <c r="K11" s="44">
        <f t="shared" si="2"/>
        <v>1349.5</v>
      </c>
      <c r="L11" s="52">
        <v>1330</v>
      </c>
      <c r="M11" s="51">
        <v>1.3142</v>
      </c>
      <c r="N11" s="51">
        <v>1.1855</v>
      </c>
      <c r="O11" s="50">
        <v>105.73</v>
      </c>
      <c r="P11" s="43">
        <v>1012.02</v>
      </c>
      <c r="Q11" s="43">
        <v>1034.46</v>
      </c>
      <c r="R11" s="49">
        <f t="shared" si="3"/>
        <v>1121.8894981020667</v>
      </c>
      <c r="S11" s="48">
        <v>1.3147</v>
      </c>
    </row>
    <row r="12" spans="1:19" x14ac:dyDescent="0.2">
      <c r="B12" s="47">
        <v>44049</v>
      </c>
      <c r="C12" s="46">
        <v>1330</v>
      </c>
      <c r="D12" s="45">
        <v>1330</v>
      </c>
      <c r="E12" s="44">
        <f t="shared" si="0"/>
        <v>1330</v>
      </c>
      <c r="F12" s="46">
        <v>1355</v>
      </c>
      <c r="G12" s="45">
        <v>1355</v>
      </c>
      <c r="H12" s="44">
        <f t="shared" si="1"/>
        <v>1355</v>
      </c>
      <c r="I12" s="46">
        <v>1344</v>
      </c>
      <c r="J12" s="45">
        <v>1344</v>
      </c>
      <c r="K12" s="44">
        <f t="shared" si="2"/>
        <v>1344</v>
      </c>
      <c r="L12" s="52">
        <v>1330</v>
      </c>
      <c r="M12" s="51">
        <v>1.3164</v>
      </c>
      <c r="N12" s="51">
        <v>1.1847000000000001</v>
      </c>
      <c r="O12" s="50">
        <v>105.41</v>
      </c>
      <c r="P12" s="43">
        <v>1010.33</v>
      </c>
      <c r="Q12" s="43">
        <v>1028.93</v>
      </c>
      <c r="R12" s="49">
        <f t="shared" si="3"/>
        <v>1122.647083649869</v>
      </c>
      <c r="S12" s="48">
        <v>1.3169</v>
      </c>
    </row>
    <row r="13" spans="1:19" x14ac:dyDescent="0.2">
      <c r="B13" s="47">
        <v>44050</v>
      </c>
      <c r="C13" s="46">
        <v>1330</v>
      </c>
      <c r="D13" s="45">
        <v>1330</v>
      </c>
      <c r="E13" s="44">
        <f t="shared" si="0"/>
        <v>1330</v>
      </c>
      <c r="F13" s="46">
        <v>1355</v>
      </c>
      <c r="G13" s="45">
        <v>1355</v>
      </c>
      <c r="H13" s="44">
        <f t="shared" si="1"/>
        <v>1355</v>
      </c>
      <c r="I13" s="46">
        <v>1344</v>
      </c>
      <c r="J13" s="45">
        <v>1344</v>
      </c>
      <c r="K13" s="44">
        <f t="shared" si="2"/>
        <v>1344</v>
      </c>
      <c r="L13" s="52">
        <v>1330</v>
      </c>
      <c r="M13" s="51">
        <v>1.3078000000000001</v>
      </c>
      <c r="N13" s="51">
        <v>1.1818</v>
      </c>
      <c r="O13" s="50">
        <v>105.64</v>
      </c>
      <c r="P13" s="43">
        <v>1016.98</v>
      </c>
      <c r="Q13" s="43">
        <v>1035.7</v>
      </c>
      <c r="R13" s="49">
        <f t="shared" si="3"/>
        <v>1125.4019292604503</v>
      </c>
      <c r="S13" s="48">
        <v>1.3083</v>
      </c>
    </row>
    <row r="14" spans="1:19" x14ac:dyDescent="0.2">
      <c r="B14" s="47">
        <v>44053</v>
      </c>
      <c r="C14" s="46">
        <v>1343</v>
      </c>
      <c r="D14" s="45">
        <v>1343</v>
      </c>
      <c r="E14" s="44">
        <f t="shared" si="0"/>
        <v>1343</v>
      </c>
      <c r="F14" s="46">
        <v>1355</v>
      </c>
      <c r="G14" s="45">
        <v>1355</v>
      </c>
      <c r="H14" s="44">
        <f t="shared" si="1"/>
        <v>1355</v>
      </c>
      <c r="I14" s="46">
        <v>1345</v>
      </c>
      <c r="J14" s="45">
        <v>1345</v>
      </c>
      <c r="K14" s="44">
        <f t="shared" si="2"/>
        <v>1345</v>
      </c>
      <c r="L14" s="52">
        <v>1343</v>
      </c>
      <c r="M14" s="51">
        <v>1.3038000000000001</v>
      </c>
      <c r="N14" s="51">
        <v>1.1754</v>
      </c>
      <c r="O14" s="50">
        <v>106.14</v>
      </c>
      <c r="P14" s="43">
        <v>1030.07</v>
      </c>
      <c r="Q14" s="43">
        <v>1038.8699999999999</v>
      </c>
      <c r="R14" s="49">
        <f t="shared" si="3"/>
        <v>1142.5897566785775</v>
      </c>
      <c r="S14" s="48">
        <v>1.3043</v>
      </c>
    </row>
    <row r="15" spans="1:19" x14ac:dyDescent="0.2">
      <c r="B15" s="47">
        <v>44054</v>
      </c>
      <c r="C15" s="46">
        <v>1339</v>
      </c>
      <c r="D15" s="45">
        <v>1339</v>
      </c>
      <c r="E15" s="44">
        <f t="shared" si="0"/>
        <v>1339</v>
      </c>
      <c r="F15" s="46">
        <v>1350</v>
      </c>
      <c r="G15" s="45">
        <v>1350</v>
      </c>
      <c r="H15" s="44">
        <f t="shared" si="1"/>
        <v>1350</v>
      </c>
      <c r="I15" s="46">
        <v>1340.5</v>
      </c>
      <c r="J15" s="45">
        <v>1340.5</v>
      </c>
      <c r="K15" s="44">
        <f t="shared" si="2"/>
        <v>1340.5</v>
      </c>
      <c r="L15" s="52">
        <v>1339</v>
      </c>
      <c r="M15" s="51">
        <v>1.3116000000000001</v>
      </c>
      <c r="N15" s="51">
        <v>1.1779999999999999</v>
      </c>
      <c r="O15" s="50">
        <v>106.04</v>
      </c>
      <c r="P15" s="43">
        <v>1020.89</v>
      </c>
      <c r="Q15" s="43">
        <v>1028.8800000000001</v>
      </c>
      <c r="R15" s="49">
        <f t="shared" si="3"/>
        <v>1136.6723259762309</v>
      </c>
      <c r="S15" s="48">
        <v>1.3121</v>
      </c>
    </row>
    <row r="16" spans="1:19" x14ac:dyDescent="0.2">
      <c r="B16" s="47">
        <v>44055</v>
      </c>
      <c r="C16" s="46">
        <v>1339</v>
      </c>
      <c r="D16" s="45">
        <v>1339</v>
      </c>
      <c r="E16" s="44">
        <f t="shared" si="0"/>
        <v>1339</v>
      </c>
      <c r="F16" s="46">
        <v>1350</v>
      </c>
      <c r="G16" s="45">
        <v>1350</v>
      </c>
      <c r="H16" s="44">
        <f t="shared" si="1"/>
        <v>1350</v>
      </c>
      <c r="I16" s="46">
        <v>1340.5</v>
      </c>
      <c r="J16" s="45">
        <v>1340.5</v>
      </c>
      <c r="K16" s="44">
        <f t="shared" si="2"/>
        <v>1340.5</v>
      </c>
      <c r="L16" s="52">
        <v>1339</v>
      </c>
      <c r="M16" s="51">
        <v>1.3017000000000001</v>
      </c>
      <c r="N16" s="51">
        <v>1.1767000000000001</v>
      </c>
      <c r="O16" s="50">
        <v>106.95</v>
      </c>
      <c r="P16" s="43">
        <v>1028.6500000000001</v>
      </c>
      <c r="Q16" s="43">
        <v>1036.71</v>
      </c>
      <c r="R16" s="49">
        <f t="shared" si="3"/>
        <v>1137.9281040197161</v>
      </c>
      <c r="S16" s="48">
        <v>1.3022</v>
      </c>
    </row>
    <row r="17" spans="2:19" x14ac:dyDescent="0.2">
      <c r="B17" s="47">
        <v>44056</v>
      </c>
      <c r="C17" s="46">
        <v>1338.5</v>
      </c>
      <c r="D17" s="45">
        <v>1338.5</v>
      </c>
      <c r="E17" s="44">
        <f t="shared" si="0"/>
        <v>1338.5</v>
      </c>
      <c r="F17" s="46">
        <v>1350</v>
      </c>
      <c r="G17" s="45">
        <v>1350</v>
      </c>
      <c r="H17" s="44">
        <f t="shared" si="1"/>
        <v>1350</v>
      </c>
      <c r="I17" s="46">
        <v>1340.5</v>
      </c>
      <c r="J17" s="45">
        <v>1340.5</v>
      </c>
      <c r="K17" s="44">
        <f t="shared" si="2"/>
        <v>1340.5</v>
      </c>
      <c r="L17" s="52">
        <v>1338.5</v>
      </c>
      <c r="M17" s="51">
        <v>1.3095000000000001</v>
      </c>
      <c r="N17" s="51">
        <v>1.1837</v>
      </c>
      <c r="O17" s="50">
        <v>106.97</v>
      </c>
      <c r="P17" s="43">
        <v>1022.15</v>
      </c>
      <c r="Q17" s="43">
        <v>1030.46</v>
      </c>
      <c r="R17" s="49">
        <f t="shared" si="3"/>
        <v>1130.7763791501225</v>
      </c>
      <c r="S17" s="48">
        <v>1.3101</v>
      </c>
    </row>
    <row r="18" spans="2:19" x14ac:dyDescent="0.2">
      <c r="B18" s="47">
        <v>44057</v>
      </c>
      <c r="C18" s="46">
        <v>1322.5</v>
      </c>
      <c r="D18" s="45">
        <v>1322.5</v>
      </c>
      <c r="E18" s="44">
        <f t="shared" si="0"/>
        <v>1322.5</v>
      </c>
      <c r="F18" s="46">
        <v>1340</v>
      </c>
      <c r="G18" s="45">
        <v>1340</v>
      </c>
      <c r="H18" s="44">
        <f t="shared" si="1"/>
        <v>1340</v>
      </c>
      <c r="I18" s="46">
        <v>1330.5</v>
      </c>
      <c r="J18" s="45">
        <v>1330.5</v>
      </c>
      <c r="K18" s="44">
        <f t="shared" si="2"/>
        <v>1330.5</v>
      </c>
      <c r="L18" s="52">
        <v>1322.5</v>
      </c>
      <c r="M18" s="51">
        <v>1.3104</v>
      </c>
      <c r="N18" s="51">
        <v>1.1809000000000001</v>
      </c>
      <c r="O18" s="50">
        <v>106.68</v>
      </c>
      <c r="P18" s="43">
        <v>1009.23</v>
      </c>
      <c r="Q18" s="43">
        <v>1022.12</v>
      </c>
      <c r="R18" s="49">
        <f t="shared" si="3"/>
        <v>1119.9085443305953</v>
      </c>
      <c r="S18" s="48">
        <v>1.3109999999999999</v>
      </c>
    </row>
    <row r="19" spans="2:19" x14ac:dyDescent="0.2">
      <c r="B19" s="47">
        <v>44060</v>
      </c>
      <c r="C19" s="46">
        <v>1300</v>
      </c>
      <c r="D19" s="45">
        <v>1300</v>
      </c>
      <c r="E19" s="44">
        <f t="shared" si="0"/>
        <v>1300</v>
      </c>
      <c r="F19" s="46">
        <v>1320</v>
      </c>
      <c r="G19" s="45">
        <v>1320</v>
      </c>
      <c r="H19" s="44">
        <f t="shared" si="1"/>
        <v>1320</v>
      </c>
      <c r="I19" s="46">
        <v>1311.5</v>
      </c>
      <c r="J19" s="45">
        <v>1311.5</v>
      </c>
      <c r="K19" s="44">
        <f t="shared" si="2"/>
        <v>1311.5</v>
      </c>
      <c r="L19" s="52">
        <v>1300</v>
      </c>
      <c r="M19" s="51">
        <v>1.3085</v>
      </c>
      <c r="N19" s="51">
        <v>1.1856</v>
      </c>
      <c r="O19" s="50">
        <v>106.29</v>
      </c>
      <c r="P19" s="43">
        <v>993.5</v>
      </c>
      <c r="Q19" s="43">
        <v>1008.33</v>
      </c>
      <c r="R19" s="49">
        <f t="shared" si="3"/>
        <v>1096.4912280701753</v>
      </c>
      <c r="S19" s="48">
        <v>1.3090999999999999</v>
      </c>
    </row>
    <row r="20" spans="2:19" x14ac:dyDescent="0.2">
      <c r="B20" s="47">
        <v>44061</v>
      </c>
      <c r="C20" s="46">
        <v>1295</v>
      </c>
      <c r="D20" s="45">
        <v>1295</v>
      </c>
      <c r="E20" s="44">
        <f t="shared" si="0"/>
        <v>1295</v>
      </c>
      <c r="F20" s="46">
        <v>1320</v>
      </c>
      <c r="G20" s="45">
        <v>1320</v>
      </c>
      <c r="H20" s="44">
        <f t="shared" si="1"/>
        <v>1320</v>
      </c>
      <c r="I20" s="46">
        <v>1312</v>
      </c>
      <c r="J20" s="45">
        <v>1312</v>
      </c>
      <c r="K20" s="44">
        <f t="shared" si="2"/>
        <v>1312</v>
      </c>
      <c r="L20" s="52">
        <v>1295</v>
      </c>
      <c r="M20" s="51">
        <v>1.3174999999999999</v>
      </c>
      <c r="N20" s="51">
        <v>1.1906000000000001</v>
      </c>
      <c r="O20" s="50">
        <v>105.46</v>
      </c>
      <c r="P20" s="43">
        <v>982.92</v>
      </c>
      <c r="Q20" s="43">
        <v>1001.44</v>
      </c>
      <c r="R20" s="49">
        <f t="shared" si="3"/>
        <v>1087.6868805644212</v>
      </c>
      <c r="S20" s="48">
        <v>1.3180989999999999</v>
      </c>
    </row>
    <row r="21" spans="2:19" x14ac:dyDescent="0.2">
      <c r="B21" s="47">
        <v>44062</v>
      </c>
      <c r="C21" s="46">
        <v>1295.5</v>
      </c>
      <c r="D21" s="45">
        <v>1295.5</v>
      </c>
      <c r="E21" s="44">
        <f t="shared" si="0"/>
        <v>1295.5</v>
      </c>
      <c r="F21" s="46">
        <v>1320</v>
      </c>
      <c r="G21" s="45">
        <v>1320</v>
      </c>
      <c r="H21" s="44">
        <f t="shared" si="1"/>
        <v>1320</v>
      </c>
      <c r="I21" s="46">
        <v>1317</v>
      </c>
      <c r="J21" s="45">
        <v>1317</v>
      </c>
      <c r="K21" s="44">
        <f t="shared" si="2"/>
        <v>1317</v>
      </c>
      <c r="L21" s="52">
        <v>1295.5</v>
      </c>
      <c r="M21" s="51">
        <v>1.3210999999999999</v>
      </c>
      <c r="N21" s="51">
        <v>1.1935</v>
      </c>
      <c r="O21" s="50">
        <v>105.27</v>
      </c>
      <c r="P21" s="43">
        <v>980.62</v>
      </c>
      <c r="Q21" s="43">
        <v>998.71</v>
      </c>
      <c r="R21" s="49">
        <f t="shared" si="3"/>
        <v>1085.4629241726016</v>
      </c>
      <c r="S21" s="48">
        <v>1.3217000000000001</v>
      </c>
    </row>
    <row r="22" spans="2:19" x14ac:dyDescent="0.2">
      <c r="B22" s="47">
        <v>44063</v>
      </c>
      <c r="C22" s="46">
        <v>1296.5</v>
      </c>
      <c r="D22" s="45">
        <v>1296.5</v>
      </c>
      <c r="E22" s="44">
        <f t="shared" si="0"/>
        <v>1296.5</v>
      </c>
      <c r="F22" s="46">
        <v>1320</v>
      </c>
      <c r="G22" s="45">
        <v>1320</v>
      </c>
      <c r="H22" s="44">
        <f t="shared" si="1"/>
        <v>1320</v>
      </c>
      <c r="I22" s="46">
        <v>1317</v>
      </c>
      <c r="J22" s="45">
        <v>1317</v>
      </c>
      <c r="K22" s="44">
        <f t="shared" si="2"/>
        <v>1317</v>
      </c>
      <c r="L22" s="52">
        <v>1296.5</v>
      </c>
      <c r="M22" s="51">
        <v>1.3145</v>
      </c>
      <c r="N22" s="51">
        <v>1.1850000000000001</v>
      </c>
      <c r="O22" s="50">
        <v>105.88</v>
      </c>
      <c r="P22" s="43">
        <v>986.31</v>
      </c>
      <c r="Q22" s="43">
        <v>1003.73</v>
      </c>
      <c r="R22" s="49">
        <f t="shared" si="3"/>
        <v>1094.0928270042193</v>
      </c>
      <c r="S22" s="48">
        <v>1.3150999999999999</v>
      </c>
    </row>
    <row r="23" spans="2:19" x14ac:dyDescent="0.2">
      <c r="B23" s="47">
        <v>44064</v>
      </c>
      <c r="C23" s="46">
        <v>1321.5</v>
      </c>
      <c r="D23" s="45">
        <v>1321.5</v>
      </c>
      <c r="E23" s="44">
        <f t="shared" si="0"/>
        <v>1321.5</v>
      </c>
      <c r="F23" s="46">
        <v>1340</v>
      </c>
      <c r="G23" s="45">
        <v>1340</v>
      </c>
      <c r="H23" s="44">
        <f t="shared" si="1"/>
        <v>1340</v>
      </c>
      <c r="I23" s="46">
        <v>1337</v>
      </c>
      <c r="J23" s="45">
        <v>1337</v>
      </c>
      <c r="K23" s="44">
        <f t="shared" si="2"/>
        <v>1337</v>
      </c>
      <c r="L23" s="52">
        <v>1321.5</v>
      </c>
      <c r="M23" s="51">
        <v>1.3109</v>
      </c>
      <c r="N23" s="51">
        <v>1.1775</v>
      </c>
      <c r="O23" s="50">
        <v>105.75</v>
      </c>
      <c r="P23" s="43">
        <v>1008.09</v>
      </c>
      <c r="Q23" s="43">
        <v>1021.73</v>
      </c>
      <c r="R23" s="49">
        <f t="shared" si="3"/>
        <v>1122.2929936305732</v>
      </c>
      <c r="S23" s="48">
        <v>1.3115000000000001</v>
      </c>
    </row>
    <row r="24" spans="2:19" x14ac:dyDescent="0.2">
      <c r="B24" s="47">
        <v>44067</v>
      </c>
      <c r="C24" s="46">
        <v>1322</v>
      </c>
      <c r="D24" s="45">
        <v>1322</v>
      </c>
      <c r="E24" s="44">
        <f t="shared" si="0"/>
        <v>1322</v>
      </c>
      <c r="F24" s="46">
        <v>1340</v>
      </c>
      <c r="G24" s="45">
        <v>1340</v>
      </c>
      <c r="H24" s="44">
        <f t="shared" si="1"/>
        <v>1340</v>
      </c>
      <c r="I24" s="46">
        <v>1337</v>
      </c>
      <c r="J24" s="45">
        <v>1337</v>
      </c>
      <c r="K24" s="44">
        <f t="shared" si="2"/>
        <v>1337</v>
      </c>
      <c r="L24" s="52">
        <v>1322</v>
      </c>
      <c r="M24" s="51">
        <v>1.3139000000000001</v>
      </c>
      <c r="N24" s="51">
        <v>1.1843999999999999</v>
      </c>
      <c r="O24" s="50">
        <v>105.75</v>
      </c>
      <c r="P24" s="43">
        <v>1006.16</v>
      </c>
      <c r="Q24" s="43">
        <v>1019.4</v>
      </c>
      <c r="R24" s="49">
        <f t="shared" si="3"/>
        <v>1116.176967240797</v>
      </c>
      <c r="S24" s="48">
        <v>1.3145</v>
      </c>
    </row>
    <row r="25" spans="2:19" x14ac:dyDescent="0.2">
      <c r="B25" s="47">
        <v>44068</v>
      </c>
      <c r="C25" s="46">
        <v>1342</v>
      </c>
      <c r="D25" s="45">
        <v>1342</v>
      </c>
      <c r="E25" s="44">
        <f t="shared" si="0"/>
        <v>1342</v>
      </c>
      <c r="F25" s="46">
        <v>1360</v>
      </c>
      <c r="G25" s="45">
        <v>1360</v>
      </c>
      <c r="H25" s="44">
        <f t="shared" si="1"/>
        <v>1360</v>
      </c>
      <c r="I25" s="46">
        <v>1357</v>
      </c>
      <c r="J25" s="45">
        <v>1357</v>
      </c>
      <c r="K25" s="44">
        <f t="shared" si="2"/>
        <v>1357</v>
      </c>
      <c r="L25" s="52">
        <v>1342</v>
      </c>
      <c r="M25" s="51">
        <v>1.3134999999999999</v>
      </c>
      <c r="N25" s="51">
        <v>1.1813</v>
      </c>
      <c r="O25" s="50">
        <v>106.43</v>
      </c>
      <c r="P25" s="43">
        <v>1021.7</v>
      </c>
      <c r="Q25" s="43">
        <v>1034.93</v>
      </c>
      <c r="R25" s="49">
        <f t="shared" si="3"/>
        <v>1136.0365698806399</v>
      </c>
      <c r="S25" s="48">
        <v>1.3141</v>
      </c>
    </row>
    <row r="26" spans="2:19" x14ac:dyDescent="0.2">
      <c r="B26" s="47">
        <v>44069</v>
      </c>
      <c r="C26" s="46">
        <v>1320</v>
      </c>
      <c r="D26" s="45">
        <v>1320</v>
      </c>
      <c r="E26" s="44">
        <f t="shared" si="0"/>
        <v>1320</v>
      </c>
      <c r="F26" s="46">
        <v>1337.5</v>
      </c>
      <c r="G26" s="45">
        <v>1337.5</v>
      </c>
      <c r="H26" s="44">
        <f t="shared" si="1"/>
        <v>1337.5</v>
      </c>
      <c r="I26" s="46">
        <v>1334.5</v>
      </c>
      <c r="J26" s="45">
        <v>1334.5</v>
      </c>
      <c r="K26" s="44">
        <f t="shared" si="2"/>
        <v>1334.5</v>
      </c>
      <c r="L26" s="52">
        <v>1320</v>
      </c>
      <c r="M26" s="51">
        <v>1.3144</v>
      </c>
      <c r="N26" s="51">
        <v>1.1796</v>
      </c>
      <c r="O26" s="50">
        <v>106.32</v>
      </c>
      <c r="P26" s="43">
        <v>1004.26</v>
      </c>
      <c r="Q26" s="43">
        <v>1017.11</v>
      </c>
      <c r="R26" s="49">
        <f t="shared" si="3"/>
        <v>1119.0233977619532</v>
      </c>
      <c r="S26" s="48">
        <v>1.3149999999999999</v>
      </c>
    </row>
    <row r="27" spans="2:19" x14ac:dyDescent="0.2">
      <c r="B27" s="47">
        <v>44070</v>
      </c>
      <c r="C27" s="46">
        <v>1300</v>
      </c>
      <c r="D27" s="45">
        <v>1300</v>
      </c>
      <c r="E27" s="44">
        <f t="shared" si="0"/>
        <v>1300</v>
      </c>
      <c r="F27" s="46">
        <v>1316.5</v>
      </c>
      <c r="G27" s="45">
        <v>1316.5</v>
      </c>
      <c r="H27" s="44">
        <f t="shared" si="1"/>
        <v>1316.5</v>
      </c>
      <c r="I27" s="46">
        <v>1313.5</v>
      </c>
      <c r="J27" s="45">
        <v>1313.5</v>
      </c>
      <c r="K27" s="44">
        <f t="shared" si="2"/>
        <v>1313.5</v>
      </c>
      <c r="L27" s="52">
        <v>1300</v>
      </c>
      <c r="M27" s="51">
        <v>1.3199000000000001</v>
      </c>
      <c r="N27" s="51">
        <v>1.1814</v>
      </c>
      <c r="O27" s="50">
        <v>106.08</v>
      </c>
      <c r="P27" s="43">
        <v>984.92</v>
      </c>
      <c r="Q27" s="43">
        <v>996.97</v>
      </c>
      <c r="R27" s="49">
        <f t="shared" si="3"/>
        <v>1100.3893685457931</v>
      </c>
      <c r="S27" s="48">
        <v>1.3205</v>
      </c>
    </row>
    <row r="28" spans="2:19" x14ac:dyDescent="0.2">
      <c r="B28" s="47">
        <v>44071</v>
      </c>
      <c r="C28" s="46">
        <v>1300.5</v>
      </c>
      <c r="D28" s="45">
        <v>1300.5</v>
      </c>
      <c r="E28" s="44">
        <f t="shared" si="0"/>
        <v>1300.5</v>
      </c>
      <c r="F28" s="46">
        <v>1316.5</v>
      </c>
      <c r="G28" s="45">
        <v>1316.5</v>
      </c>
      <c r="H28" s="44">
        <f t="shared" si="1"/>
        <v>1316.5</v>
      </c>
      <c r="I28" s="46">
        <v>1313.5</v>
      </c>
      <c r="J28" s="45">
        <v>1313.5</v>
      </c>
      <c r="K28" s="44">
        <f t="shared" si="2"/>
        <v>1313.5</v>
      </c>
      <c r="L28" s="52">
        <v>1300.5</v>
      </c>
      <c r="M28" s="51">
        <v>1.3310999999999999</v>
      </c>
      <c r="N28" s="51">
        <v>1.1912</v>
      </c>
      <c r="O28" s="50">
        <v>105.36</v>
      </c>
      <c r="P28" s="43">
        <v>977.01</v>
      </c>
      <c r="Q28" s="43">
        <v>988.59</v>
      </c>
      <c r="R28" s="49">
        <f t="shared" si="3"/>
        <v>1091.7562122229683</v>
      </c>
      <c r="S28" s="48">
        <v>1.3317000000000001</v>
      </c>
    </row>
    <row r="29" spans="2:19" s="10" customFormat="1" x14ac:dyDescent="0.2">
      <c r="B29" s="42" t="s">
        <v>11</v>
      </c>
      <c r="C29" s="41">
        <f>ROUND(AVERAGE(C9:C28),2)</f>
        <v>1319</v>
      </c>
      <c r="D29" s="40">
        <f>ROUND(AVERAGE(D9:D28),2)</f>
        <v>1319</v>
      </c>
      <c r="E29" s="39">
        <f>ROUND(AVERAGE(C29:D29),2)</f>
        <v>1319</v>
      </c>
      <c r="F29" s="41">
        <f>ROUND(AVERAGE(F9:F28),2)</f>
        <v>1337.78</v>
      </c>
      <c r="G29" s="40">
        <f>ROUND(AVERAGE(G9:G28),2)</f>
        <v>1337.78</v>
      </c>
      <c r="H29" s="39">
        <f>ROUND(AVERAGE(F29:G29),2)</f>
        <v>1337.78</v>
      </c>
      <c r="I29" s="41">
        <f>ROUND(AVERAGE(I9:I28),2)</f>
        <v>1330.7</v>
      </c>
      <c r="J29" s="40">
        <f>ROUND(AVERAGE(J9:J28),2)</f>
        <v>1330.7</v>
      </c>
      <c r="K29" s="39">
        <f>ROUND(AVERAGE(I29:J29),2)</f>
        <v>1330.7</v>
      </c>
      <c r="L29" s="38">
        <f>ROUND(AVERAGE(L9:L28),2)</f>
        <v>1319</v>
      </c>
      <c r="M29" s="37">
        <f>ROUND(AVERAGE(M9:M28),4)</f>
        <v>1.3123</v>
      </c>
      <c r="N29" s="36">
        <f>ROUND(AVERAGE(N9:N28),4)</f>
        <v>1.1822999999999999</v>
      </c>
      <c r="O29" s="175">
        <f>ROUND(AVERAGE(O9:O28),2)</f>
        <v>106.02</v>
      </c>
      <c r="P29" s="35">
        <f>AVERAGE(P9:P28)</f>
        <v>1005.1474999999997</v>
      </c>
      <c r="Q29" s="35">
        <f>AVERAGE(Q9:Q28)</f>
        <v>1019.0110000000001</v>
      </c>
      <c r="R29" s="35">
        <f>AVERAGE(R9:R28)</f>
        <v>1115.6986321283161</v>
      </c>
      <c r="S29" s="34">
        <f>AVERAGE(S9:S28)</f>
        <v>1.3128849499999999</v>
      </c>
    </row>
    <row r="30" spans="2:19" s="5" customFormat="1" x14ac:dyDescent="0.2">
      <c r="B30" s="33" t="s">
        <v>12</v>
      </c>
      <c r="C30" s="32">
        <f t="shared" ref="C30:S30" si="4">MAX(C9:C28)</f>
        <v>1343</v>
      </c>
      <c r="D30" s="31">
        <f t="shared" si="4"/>
        <v>1343</v>
      </c>
      <c r="E30" s="30">
        <f t="shared" si="4"/>
        <v>1343</v>
      </c>
      <c r="F30" s="32">
        <f t="shared" si="4"/>
        <v>1360</v>
      </c>
      <c r="G30" s="31">
        <f t="shared" si="4"/>
        <v>1360</v>
      </c>
      <c r="H30" s="30">
        <f t="shared" si="4"/>
        <v>1360</v>
      </c>
      <c r="I30" s="32">
        <f t="shared" si="4"/>
        <v>1357</v>
      </c>
      <c r="J30" s="31">
        <f t="shared" si="4"/>
        <v>1357</v>
      </c>
      <c r="K30" s="30">
        <f t="shared" si="4"/>
        <v>1357</v>
      </c>
      <c r="L30" s="29">
        <f t="shared" si="4"/>
        <v>1343</v>
      </c>
      <c r="M30" s="28">
        <f t="shared" si="4"/>
        <v>1.3310999999999999</v>
      </c>
      <c r="N30" s="27">
        <f t="shared" si="4"/>
        <v>1.1935</v>
      </c>
      <c r="O30" s="26">
        <f t="shared" si="4"/>
        <v>106.97</v>
      </c>
      <c r="P30" s="25">
        <f t="shared" si="4"/>
        <v>1030.07</v>
      </c>
      <c r="Q30" s="25">
        <f t="shared" si="4"/>
        <v>1038.8699999999999</v>
      </c>
      <c r="R30" s="25">
        <f t="shared" si="4"/>
        <v>1142.5897566785775</v>
      </c>
      <c r="S30" s="24">
        <f t="shared" si="4"/>
        <v>1.3317000000000001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1295</v>
      </c>
      <c r="D31" s="21">
        <f t="shared" si="5"/>
        <v>1295</v>
      </c>
      <c r="E31" s="20">
        <f t="shared" si="5"/>
        <v>1295</v>
      </c>
      <c r="F31" s="22">
        <f t="shared" si="5"/>
        <v>1316.5</v>
      </c>
      <c r="G31" s="21">
        <f t="shared" si="5"/>
        <v>1316.5</v>
      </c>
      <c r="H31" s="20">
        <f t="shared" si="5"/>
        <v>1316.5</v>
      </c>
      <c r="I31" s="22">
        <f t="shared" si="5"/>
        <v>1310</v>
      </c>
      <c r="J31" s="21">
        <f t="shared" si="5"/>
        <v>1310</v>
      </c>
      <c r="K31" s="20">
        <f t="shared" si="5"/>
        <v>1310</v>
      </c>
      <c r="L31" s="19">
        <f t="shared" si="5"/>
        <v>1295</v>
      </c>
      <c r="M31" s="18">
        <f t="shared" si="5"/>
        <v>1.3017000000000001</v>
      </c>
      <c r="N31" s="17">
        <f t="shared" si="5"/>
        <v>1.1726000000000001</v>
      </c>
      <c r="O31" s="16">
        <f t="shared" si="5"/>
        <v>105.27</v>
      </c>
      <c r="P31" s="15">
        <f t="shared" si="5"/>
        <v>977.01</v>
      </c>
      <c r="Q31" s="15">
        <f t="shared" si="5"/>
        <v>988.59</v>
      </c>
      <c r="R31" s="15">
        <f t="shared" si="5"/>
        <v>1085.4629241726016</v>
      </c>
      <c r="S31" s="14">
        <f t="shared" si="5"/>
        <v>1.3022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44046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44046</v>
      </c>
      <c r="C9" s="46">
        <v>1310</v>
      </c>
      <c r="D9" s="45">
        <v>1310</v>
      </c>
      <c r="E9" s="44">
        <f t="shared" ref="E9:E28" si="0">AVERAGE(C9:D9)</f>
        <v>1310</v>
      </c>
      <c r="F9" s="46">
        <v>1315</v>
      </c>
      <c r="G9" s="45">
        <v>1315</v>
      </c>
      <c r="H9" s="44">
        <f t="shared" ref="H9:H28" si="1">AVERAGE(F9:G9)</f>
        <v>1315</v>
      </c>
      <c r="I9" s="46">
        <v>1342.5</v>
      </c>
      <c r="J9" s="45">
        <v>1342.5</v>
      </c>
      <c r="K9" s="44">
        <f t="shared" ref="K9:K28" si="2">AVERAGE(I9:J9)</f>
        <v>1342.5</v>
      </c>
      <c r="L9" s="52">
        <v>1310</v>
      </c>
      <c r="M9" s="51">
        <v>1.3031999999999999</v>
      </c>
      <c r="N9" s="53">
        <v>1.1726000000000001</v>
      </c>
      <c r="O9" s="50">
        <v>106.21</v>
      </c>
      <c r="P9" s="43">
        <v>1005.22</v>
      </c>
      <c r="Q9" s="43">
        <v>1008.59</v>
      </c>
      <c r="R9" s="49">
        <f t="shared" ref="R9:R28" si="3">L9/N9</f>
        <v>1117.1755074194098</v>
      </c>
      <c r="S9" s="48">
        <v>1.3038000000000001</v>
      </c>
    </row>
    <row r="10" spans="1:19" x14ac:dyDescent="0.2">
      <c r="B10" s="47">
        <v>44047</v>
      </c>
      <c r="C10" s="46">
        <v>1335</v>
      </c>
      <c r="D10" s="45">
        <v>1335</v>
      </c>
      <c r="E10" s="44">
        <f t="shared" si="0"/>
        <v>1335</v>
      </c>
      <c r="F10" s="46">
        <v>1340</v>
      </c>
      <c r="G10" s="45">
        <v>1340</v>
      </c>
      <c r="H10" s="44">
        <f t="shared" si="1"/>
        <v>1340</v>
      </c>
      <c r="I10" s="46">
        <v>1367.5</v>
      </c>
      <c r="J10" s="45">
        <v>1367.5</v>
      </c>
      <c r="K10" s="44">
        <f t="shared" si="2"/>
        <v>1367.5</v>
      </c>
      <c r="L10" s="52">
        <v>1335</v>
      </c>
      <c r="M10" s="51">
        <v>1.3025</v>
      </c>
      <c r="N10" s="51">
        <v>1.1760999999999999</v>
      </c>
      <c r="O10" s="50">
        <v>106.12</v>
      </c>
      <c r="P10" s="43">
        <v>1024.95</v>
      </c>
      <c r="Q10" s="43">
        <v>1028.4000000000001</v>
      </c>
      <c r="R10" s="49">
        <f t="shared" si="3"/>
        <v>1135.1075588810477</v>
      </c>
      <c r="S10" s="48">
        <v>1.3029999999999999</v>
      </c>
    </row>
    <row r="11" spans="1:19" x14ac:dyDescent="0.2">
      <c r="B11" s="47">
        <v>44048</v>
      </c>
      <c r="C11" s="46">
        <v>1370</v>
      </c>
      <c r="D11" s="45">
        <v>1370</v>
      </c>
      <c r="E11" s="44">
        <f t="shared" si="0"/>
        <v>1370</v>
      </c>
      <c r="F11" s="46">
        <v>1375</v>
      </c>
      <c r="G11" s="45">
        <v>1375</v>
      </c>
      <c r="H11" s="44">
        <f t="shared" si="1"/>
        <v>1375</v>
      </c>
      <c r="I11" s="46">
        <v>1402</v>
      </c>
      <c r="J11" s="45">
        <v>1402</v>
      </c>
      <c r="K11" s="44">
        <f t="shared" si="2"/>
        <v>1402</v>
      </c>
      <c r="L11" s="52">
        <v>1370</v>
      </c>
      <c r="M11" s="51">
        <v>1.3142</v>
      </c>
      <c r="N11" s="51">
        <v>1.1855</v>
      </c>
      <c r="O11" s="50">
        <v>105.73</v>
      </c>
      <c r="P11" s="43">
        <v>1042.46</v>
      </c>
      <c r="Q11" s="43">
        <v>1045.8699999999999</v>
      </c>
      <c r="R11" s="49">
        <f t="shared" si="3"/>
        <v>1155.630535638971</v>
      </c>
      <c r="S11" s="48">
        <v>1.3147</v>
      </c>
    </row>
    <row r="12" spans="1:19" x14ac:dyDescent="0.2">
      <c r="B12" s="47">
        <v>44049</v>
      </c>
      <c r="C12" s="46">
        <v>1370</v>
      </c>
      <c r="D12" s="45">
        <v>1370</v>
      </c>
      <c r="E12" s="44">
        <f t="shared" si="0"/>
        <v>1370</v>
      </c>
      <c r="F12" s="46">
        <v>1379</v>
      </c>
      <c r="G12" s="45">
        <v>1379</v>
      </c>
      <c r="H12" s="44">
        <f t="shared" si="1"/>
        <v>1379</v>
      </c>
      <c r="I12" s="46">
        <v>1406</v>
      </c>
      <c r="J12" s="45">
        <v>1406</v>
      </c>
      <c r="K12" s="44">
        <f t="shared" si="2"/>
        <v>1406</v>
      </c>
      <c r="L12" s="52">
        <v>1370</v>
      </c>
      <c r="M12" s="51">
        <v>1.3164</v>
      </c>
      <c r="N12" s="51">
        <v>1.1847000000000001</v>
      </c>
      <c r="O12" s="50">
        <v>105.41</v>
      </c>
      <c r="P12" s="43">
        <v>1040.72</v>
      </c>
      <c r="Q12" s="43">
        <v>1047.1600000000001</v>
      </c>
      <c r="R12" s="49">
        <f t="shared" si="3"/>
        <v>1156.4109057145267</v>
      </c>
      <c r="S12" s="48">
        <v>1.3169</v>
      </c>
    </row>
    <row r="13" spans="1:19" x14ac:dyDescent="0.2">
      <c r="B13" s="47">
        <v>44050</v>
      </c>
      <c r="C13" s="46">
        <v>1370</v>
      </c>
      <c r="D13" s="45">
        <v>1370</v>
      </c>
      <c r="E13" s="44">
        <f t="shared" si="0"/>
        <v>1370</v>
      </c>
      <c r="F13" s="46">
        <v>1379</v>
      </c>
      <c r="G13" s="45">
        <v>1379</v>
      </c>
      <c r="H13" s="44">
        <f t="shared" si="1"/>
        <v>1379</v>
      </c>
      <c r="I13" s="46">
        <v>1406</v>
      </c>
      <c r="J13" s="45">
        <v>1406</v>
      </c>
      <c r="K13" s="44">
        <f t="shared" si="2"/>
        <v>1406</v>
      </c>
      <c r="L13" s="52">
        <v>1370</v>
      </c>
      <c r="M13" s="51">
        <v>1.3078000000000001</v>
      </c>
      <c r="N13" s="51">
        <v>1.1818</v>
      </c>
      <c r="O13" s="50">
        <v>105.64</v>
      </c>
      <c r="P13" s="43">
        <v>1047.56</v>
      </c>
      <c r="Q13" s="43">
        <v>1054.04</v>
      </c>
      <c r="R13" s="49">
        <f t="shared" si="3"/>
        <v>1159.2486038246743</v>
      </c>
      <c r="S13" s="48">
        <v>1.3083</v>
      </c>
    </row>
    <row r="14" spans="1:19" x14ac:dyDescent="0.2">
      <c r="B14" s="47">
        <v>44053</v>
      </c>
      <c r="C14" s="46">
        <v>1369.5</v>
      </c>
      <c r="D14" s="45">
        <v>1369.5</v>
      </c>
      <c r="E14" s="44">
        <f t="shared" si="0"/>
        <v>1369.5</v>
      </c>
      <c r="F14" s="46">
        <v>1379</v>
      </c>
      <c r="G14" s="45">
        <v>1379</v>
      </c>
      <c r="H14" s="44">
        <f t="shared" si="1"/>
        <v>1379</v>
      </c>
      <c r="I14" s="46">
        <v>1388.5</v>
      </c>
      <c r="J14" s="45">
        <v>1388.5</v>
      </c>
      <c r="K14" s="44">
        <f t="shared" si="2"/>
        <v>1388.5</v>
      </c>
      <c r="L14" s="52">
        <v>1369.5</v>
      </c>
      <c r="M14" s="51">
        <v>1.3038000000000001</v>
      </c>
      <c r="N14" s="51">
        <v>1.1754</v>
      </c>
      <c r="O14" s="50">
        <v>106.14</v>
      </c>
      <c r="P14" s="43">
        <v>1050.3900000000001</v>
      </c>
      <c r="Q14" s="43">
        <v>1057.27</v>
      </c>
      <c r="R14" s="49">
        <f t="shared" si="3"/>
        <v>1165.1352730985197</v>
      </c>
      <c r="S14" s="48">
        <v>1.3043</v>
      </c>
    </row>
    <row r="15" spans="1:19" x14ac:dyDescent="0.2">
      <c r="B15" s="47">
        <v>44054</v>
      </c>
      <c r="C15" s="46">
        <v>1369</v>
      </c>
      <c r="D15" s="45">
        <v>1369</v>
      </c>
      <c r="E15" s="44">
        <f t="shared" si="0"/>
        <v>1369</v>
      </c>
      <c r="F15" s="46">
        <v>1379</v>
      </c>
      <c r="G15" s="45">
        <v>1379</v>
      </c>
      <c r="H15" s="44">
        <f t="shared" si="1"/>
        <v>1379</v>
      </c>
      <c r="I15" s="46">
        <v>1405</v>
      </c>
      <c r="J15" s="45">
        <v>1405</v>
      </c>
      <c r="K15" s="44">
        <f t="shared" si="2"/>
        <v>1405</v>
      </c>
      <c r="L15" s="52">
        <v>1369</v>
      </c>
      <c r="M15" s="51">
        <v>1.3116000000000001</v>
      </c>
      <c r="N15" s="51">
        <v>1.1779999999999999</v>
      </c>
      <c r="O15" s="50">
        <v>106.04</v>
      </c>
      <c r="P15" s="43">
        <v>1043.76</v>
      </c>
      <c r="Q15" s="43">
        <v>1050.99</v>
      </c>
      <c r="R15" s="49">
        <f t="shared" si="3"/>
        <v>1162.1392190152801</v>
      </c>
      <c r="S15" s="48">
        <v>1.3121</v>
      </c>
    </row>
    <row r="16" spans="1:19" x14ac:dyDescent="0.2">
      <c r="B16" s="47">
        <v>44055</v>
      </c>
      <c r="C16" s="46">
        <v>1369</v>
      </c>
      <c r="D16" s="45">
        <v>1369</v>
      </c>
      <c r="E16" s="44">
        <f t="shared" si="0"/>
        <v>1369</v>
      </c>
      <c r="F16" s="46">
        <v>1379</v>
      </c>
      <c r="G16" s="45">
        <v>1379</v>
      </c>
      <c r="H16" s="44">
        <f t="shared" si="1"/>
        <v>1379</v>
      </c>
      <c r="I16" s="46">
        <v>1405</v>
      </c>
      <c r="J16" s="45">
        <v>1405</v>
      </c>
      <c r="K16" s="44">
        <f t="shared" si="2"/>
        <v>1405</v>
      </c>
      <c r="L16" s="52">
        <v>1369</v>
      </c>
      <c r="M16" s="51">
        <v>1.3017000000000001</v>
      </c>
      <c r="N16" s="51">
        <v>1.1767000000000001</v>
      </c>
      <c r="O16" s="50">
        <v>106.95</v>
      </c>
      <c r="P16" s="43">
        <v>1051.7</v>
      </c>
      <c r="Q16" s="43">
        <v>1058.98</v>
      </c>
      <c r="R16" s="49">
        <f t="shared" si="3"/>
        <v>1163.4231324891646</v>
      </c>
      <c r="S16" s="48">
        <v>1.3022</v>
      </c>
    </row>
    <row r="17" spans="2:19" x14ac:dyDescent="0.2">
      <c r="B17" s="47">
        <v>44056</v>
      </c>
      <c r="C17" s="46">
        <v>1340</v>
      </c>
      <c r="D17" s="45">
        <v>1340</v>
      </c>
      <c r="E17" s="44">
        <f t="shared" si="0"/>
        <v>1340</v>
      </c>
      <c r="F17" s="46">
        <v>1360</v>
      </c>
      <c r="G17" s="45">
        <v>1360</v>
      </c>
      <c r="H17" s="44">
        <f t="shared" si="1"/>
        <v>1360</v>
      </c>
      <c r="I17" s="46">
        <v>1386</v>
      </c>
      <c r="J17" s="45">
        <v>1386</v>
      </c>
      <c r="K17" s="44">
        <f t="shared" si="2"/>
        <v>1386</v>
      </c>
      <c r="L17" s="52">
        <v>1340</v>
      </c>
      <c r="M17" s="51">
        <v>1.3095000000000001</v>
      </c>
      <c r="N17" s="51">
        <v>1.1837</v>
      </c>
      <c r="O17" s="50">
        <v>106.97</v>
      </c>
      <c r="P17" s="43">
        <v>1023.29</v>
      </c>
      <c r="Q17" s="43">
        <v>1038.0899999999999</v>
      </c>
      <c r="R17" s="49">
        <f t="shared" si="3"/>
        <v>1132.0435921263834</v>
      </c>
      <c r="S17" s="48">
        <v>1.3101</v>
      </c>
    </row>
    <row r="18" spans="2:19" x14ac:dyDescent="0.2">
      <c r="B18" s="47">
        <v>44057</v>
      </c>
      <c r="C18" s="46">
        <v>1340.5</v>
      </c>
      <c r="D18" s="45">
        <v>1340.5</v>
      </c>
      <c r="E18" s="44">
        <f t="shared" si="0"/>
        <v>1340.5</v>
      </c>
      <c r="F18" s="46">
        <v>1360</v>
      </c>
      <c r="G18" s="45">
        <v>1360</v>
      </c>
      <c r="H18" s="44">
        <f t="shared" si="1"/>
        <v>1360</v>
      </c>
      <c r="I18" s="46">
        <v>1386</v>
      </c>
      <c r="J18" s="45">
        <v>1386</v>
      </c>
      <c r="K18" s="44">
        <f t="shared" si="2"/>
        <v>1386</v>
      </c>
      <c r="L18" s="52">
        <v>1340.5</v>
      </c>
      <c r="M18" s="51">
        <v>1.3104</v>
      </c>
      <c r="N18" s="51">
        <v>1.1809000000000001</v>
      </c>
      <c r="O18" s="50">
        <v>106.68</v>
      </c>
      <c r="P18" s="43">
        <v>1022.97</v>
      </c>
      <c r="Q18" s="43">
        <v>1037.3800000000001</v>
      </c>
      <c r="R18" s="49">
        <f t="shared" si="3"/>
        <v>1135.1511558980437</v>
      </c>
      <c r="S18" s="48">
        <v>1.3109999999999999</v>
      </c>
    </row>
    <row r="19" spans="2:19" x14ac:dyDescent="0.2">
      <c r="B19" s="47">
        <v>44060</v>
      </c>
      <c r="C19" s="46">
        <v>1339.5</v>
      </c>
      <c r="D19" s="45">
        <v>1339.5</v>
      </c>
      <c r="E19" s="44">
        <f t="shared" si="0"/>
        <v>1339.5</v>
      </c>
      <c r="F19" s="46">
        <v>1360</v>
      </c>
      <c r="G19" s="45">
        <v>1360</v>
      </c>
      <c r="H19" s="44">
        <f t="shared" si="1"/>
        <v>1360</v>
      </c>
      <c r="I19" s="46">
        <v>1385</v>
      </c>
      <c r="J19" s="45">
        <v>1385</v>
      </c>
      <c r="K19" s="44">
        <f t="shared" si="2"/>
        <v>1385</v>
      </c>
      <c r="L19" s="52">
        <v>1339.5</v>
      </c>
      <c r="M19" s="51">
        <v>1.3085</v>
      </c>
      <c r="N19" s="51">
        <v>1.1856</v>
      </c>
      <c r="O19" s="50">
        <v>106.29</v>
      </c>
      <c r="P19" s="43">
        <v>1023.69</v>
      </c>
      <c r="Q19" s="43">
        <v>1038.8800000000001</v>
      </c>
      <c r="R19" s="49">
        <f t="shared" si="3"/>
        <v>1129.8076923076924</v>
      </c>
      <c r="S19" s="48">
        <v>1.3090999999999999</v>
      </c>
    </row>
    <row r="20" spans="2:19" x14ac:dyDescent="0.2">
      <c r="B20" s="47">
        <v>44061</v>
      </c>
      <c r="C20" s="46">
        <v>1340</v>
      </c>
      <c r="D20" s="45">
        <v>1340</v>
      </c>
      <c r="E20" s="44">
        <f t="shared" si="0"/>
        <v>1340</v>
      </c>
      <c r="F20" s="46">
        <v>1360</v>
      </c>
      <c r="G20" s="45">
        <v>1360</v>
      </c>
      <c r="H20" s="44">
        <f t="shared" si="1"/>
        <v>1360</v>
      </c>
      <c r="I20" s="46">
        <v>1385</v>
      </c>
      <c r="J20" s="45">
        <v>1385</v>
      </c>
      <c r="K20" s="44">
        <f t="shared" si="2"/>
        <v>1385</v>
      </c>
      <c r="L20" s="52">
        <v>1340</v>
      </c>
      <c r="M20" s="51">
        <v>1.3174999999999999</v>
      </c>
      <c r="N20" s="51">
        <v>1.1906000000000001</v>
      </c>
      <c r="O20" s="50">
        <v>105.46</v>
      </c>
      <c r="P20" s="43">
        <v>1017.08</v>
      </c>
      <c r="Q20" s="43">
        <v>1031.79</v>
      </c>
      <c r="R20" s="49">
        <f t="shared" si="3"/>
        <v>1125.4829497732235</v>
      </c>
      <c r="S20" s="48">
        <v>1.3180989999999999</v>
      </c>
    </row>
    <row r="21" spans="2:19" x14ac:dyDescent="0.2">
      <c r="B21" s="47">
        <v>44062</v>
      </c>
      <c r="C21" s="46">
        <v>1350</v>
      </c>
      <c r="D21" s="45">
        <v>1350</v>
      </c>
      <c r="E21" s="44">
        <f t="shared" si="0"/>
        <v>1350</v>
      </c>
      <c r="F21" s="46">
        <v>1370</v>
      </c>
      <c r="G21" s="45">
        <v>1370</v>
      </c>
      <c r="H21" s="44">
        <f t="shared" si="1"/>
        <v>1370</v>
      </c>
      <c r="I21" s="46">
        <v>1395</v>
      </c>
      <c r="J21" s="45">
        <v>1395</v>
      </c>
      <c r="K21" s="44">
        <f t="shared" si="2"/>
        <v>1395</v>
      </c>
      <c r="L21" s="52">
        <v>1350</v>
      </c>
      <c r="M21" s="51">
        <v>1.3210999999999999</v>
      </c>
      <c r="N21" s="51">
        <v>1.1935</v>
      </c>
      <c r="O21" s="50">
        <v>105.27</v>
      </c>
      <c r="P21" s="43">
        <v>1021.88</v>
      </c>
      <c r="Q21" s="43">
        <v>1036.54</v>
      </c>
      <c r="R21" s="49">
        <f t="shared" si="3"/>
        <v>1131.1269375785505</v>
      </c>
      <c r="S21" s="48">
        <v>1.3217000000000001</v>
      </c>
    </row>
    <row r="22" spans="2:19" x14ac:dyDescent="0.2">
      <c r="B22" s="47">
        <v>44063</v>
      </c>
      <c r="C22" s="46">
        <v>1380.5</v>
      </c>
      <c r="D22" s="45">
        <v>1380.5</v>
      </c>
      <c r="E22" s="44">
        <f t="shared" si="0"/>
        <v>1380.5</v>
      </c>
      <c r="F22" s="46">
        <v>1400</v>
      </c>
      <c r="G22" s="45">
        <v>1400</v>
      </c>
      <c r="H22" s="44">
        <f t="shared" si="1"/>
        <v>1400</v>
      </c>
      <c r="I22" s="46">
        <v>1424.5</v>
      </c>
      <c r="J22" s="45">
        <v>1424.5</v>
      </c>
      <c r="K22" s="44">
        <f t="shared" si="2"/>
        <v>1424.5</v>
      </c>
      <c r="L22" s="52">
        <v>1380.5</v>
      </c>
      <c r="M22" s="51">
        <v>1.3145</v>
      </c>
      <c r="N22" s="51">
        <v>1.1850000000000001</v>
      </c>
      <c r="O22" s="50">
        <v>105.88</v>
      </c>
      <c r="P22" s="43">
        <v>1050.21</v>
      </c>
      <c r="Q22" s="43">
        <v>1064.56</v>
      </c>
      <c r="R22" s="49">
        <f t="shared" si="3"/>
        <v>1164.9789029535864</v>
      </c>
      <c r="S22" s="48">
        <v>1.3150999999999999</v>
      </c>
    </row>
    <row r="23" spans="2:19" x14ac:dyDescent="0.2">
      <c r="B23" s="47">
        <v>44064</v>
      </c>
      <c r="C23" s="46">
        <v>1384</v>
      </c>
      <c r="D23" s="45">
        <v>1384</v>
      </c>
      <c r="E23" s="44">
        <f t="shared" si="0"/>
        <v>1384</v>
      </c>
      <c r="F23" s="46">
        <v>1405</v>
      </c>
      <c r="G23" s="45">
        <v>1405</v>
      </c>
      <c r="H23" s="44">
        <f t="shared" si="1"/>
        <v>1405</v>
      </c>
      <c r="I23" s="46">
        <v>1429.5</v>
      </c>
      <c r="J23" s="45">
        <v>1429.5</v>
      </c>
      <c r="K23" s="44">
        <f t="shared" si="2"/>
        <v>1429.5</v>
      </c>
      <c r="L23" s="52">
        <v>1384</v>
      </c>
      <c r="M23" s="51">
        <v>1.3109</v>
      </c>
      <c r="N23" s="51">
        <v>1.1775</v>
      </c>
      <c r="O23" s="50">
        <v>105.75</v>
      </c>
      <c r="P23" s="43">
        <v>1055.76</v>
      </c>
      <c r="Q23" s="43">
        <v>1071.29</v>
      </c>
      <c r="R23" s="49">
        <f t="shared" si="3"/>
        <v>1175.3715498938429</v>
      </c>
      <c r="S23" s="48">
        <v>1.3115000000000001</v>
      </c>
    </row>
    <row r="24" spans="2:19" x14ac:dyDescent="0.2">
      <c r="B24" s="47">
        <v>44067</v>
      </c>
      <c r="C24" s="46">
        <v>1383.5</v>
      </c>
      <c r="D24" s="45">
        <v>1383.5</v>
      </c>
      <c r="E24" s="44">
        <f t="shared" si="0"/>
        <v>1383.5</v>
      </c>
      <c r="F24" s="46">
        <v>1405</v>
      </c>
      <c r="G24" s="45">
        <v>1405</v>
      </c>
      <c r="H24" s="44">
        <f t="shared" si="1"/>
        <v>1405</v>
      </c>
      <c r="I24" s="46">
        <v>1429</v>
      </c>
      <c r="J24" s="45">
        <v>1429</v>
      </c>
      <c r="K24" s="44">
        <f t="shared" si="2"/>
        <v>1429</v>
      </c>
      <c r="L24" s="52">
        <v>1383.5</v>
      </c>
      <c r="M24" s="51">
        <v>1.3139000000000001</v>
      </c>
      <c r="N24" s="51">
        <v>1.1843999999999999</v>
      </c>
      <c r="O24" s="50">
        <v>105.75</v>
      </c>
      <c r="P24" s="43">
        <v>1052.97</v>
      </c>
      <c r="Q24" s="43">
        <v>1068.8499999999999</v>
      </c>
      <c r="R24" s="49">
        <f t="shared" si="3"/>
        <v>1168.1019925700778</v>
      </c>
      <c r="S24" s="48">
        <v>1.3145</v>
      </c>
    </row>
    <row r="25" spans="2:19" x14ac:dyDescent="0.2">
      <c r="B25" s="47">
        <v>44068</v>
      </c>
      <c r="C25" s="46">
        <v>1383.5</v>
      </c>
      <c r="D25" s="45">
        <v>1383.5</v>
      </c>
      <c r="E25" s="44">
        <f t="shared" si="0"/>
        <v>1383.5</v>
      </c>
      <c r="F25" s="46">
        <v>1405</v>
      </c>
      <c r="G25" s="45">
        <v>1405</v>
      </c>
      <c r="H25" s="44">
        <f t="shared" si="1"/>
        <v>1405</v>
      </c>
      <c r="I25" s="46">
        <v>1428.5</v>
      </c>
      <c r="J25" s="45">
        <v>1428.5</v>
      </c>
      <c r="K25" s="44">
        <f t="shared" si="2"/>
        <v>1428.5</v>
      </c>
      <c r="L25" s="52">
        <v>1383.5</v>
      </c>
      <c r="M25" s="51">
        <v>1.3134999999999999</v>
      </c>
      <c r="N25" s="51">
        <v>1.1813</v>
      </c>
      <c r="O25" s="50">
        <v>106.43</v>
      </c>
      <c r="P25" s="43">
        <v>1053.29</v>
      </c>
      <c r="Q25" s="43">
        <v>1069.17</v>
      </c>
      <c r="R25" s="49">
        <f t="shared" si="3"/>
        <v>1171.1673579954288</v>
      </c>
      <c r="S25" s="48">
        <v>1.3141</v>
      </c>
    </row>
    <row r="26" spans="2:19" x14ac:dyDescent="0.2">
      <c r="B26" s="47">
        <v>44069</v>
      </c>
      <c r="C26" s="46">
        <v>1391</v>
      </c>
      <c r="D26" s="45">
        <v>1391</v>
      </c>
      <c r="E26" s="44">
        <f t="shared" si="0"/>
        <v>1391</v>
      </c>
      <c r="F26" s="46">
        <v>1412.5</v>
      </c>
      <c r="G26" s="45">
        <v>1412.5</v>
      </c>
      <c r="H26" s="44">
        <f t="shared" si="1"/>
        <v>1412.5</v>
      </c>
      <c r="I26" s="46">
        <v>1436</v>
      </c>
      <c r="J26" s="45">
        <v>1436</v>
      </c>
      <c r="K26" s="44">
        <f t="shared" si="2"/>
        <v>1436</v>
      </c>
      <c r="L26" s="52">
        <v>1391</v>
      </c>
      <c r="M26" s="51">
        <v>1.3144</v>
      </c>
      <c r="N26" s="51">
        <v>1.1796</v>
      </c>
      <c r="O26" s="50">
        <v>106.32</v>
      </c>
      <c r="P26" s="43">
        <v>1058.28</v>
      </c>
      <c r="Q26" s="43">
        <v>1074.1400000000001</v>
      </c>
      <c r="R26" s="49">
        <f t="shared" si="3"/>
        <v>1179.2132926415734</v>
      </c>
      <c r="S26" s="48">
        <v>1.3149999999999999</v>
      </c>
    </row>
    <row r="27" spans="2:19" x14ac:dyDescent="0.2">
      <c r="B27" s="47">
        <v>44070</v>
      </c>
      <c r="C27" s="46">
        <v>1385</v>
      </c>
      <c r="D27" s="45">
        <v>1385</v>
      </c>
      <c r="E27" s="44">
        <f t="shared" si="0"/>
        <v>1385</v>
      </c>
      <c r="F27" s="46">
        <v>1413</v>
      </c>
      <c r="G27" s="45">
        <v>1413</v>
      </c>
      <c r="H27" s="44">
        <f t="shared" si="1"/>
        <v>1413</v>
      </c>
      <c r="I27" s="46">
        <v>1439.5</v>
      </c>
      <c r="J27" s="45">
        <v>1439.5</v>
      </c>
      <c r="K27" s="44">
        <f t="shared" si="2"/>
        <v>1439.5</v>
      </c>
      <c r="L27" s="52">
        <v>1385</v>
      </c>
      <c r="M27" s="51">
        <v>1.3199000000000001</v>
      </c>
      <c r="N27" s="51">
        <v>1.1814</v>
      </c>
      <c r="O27" s="50">
        <v>106.08</v>
      </c>
      <c r="P27" s="43">
        <v>1049.32</v>
      </c>
      <c r="Q27" s="43">
        <v>1070.05</v>
      </c>
      <c r="R27" s="49">
        <f t="shared" si="3"/>
        <v>1172.3379041814796</v>
      </c>
      <c r="S27" s="48">
        <v>1.3205</v>
      </c>
    </row>
    <row r="28" spans="2:19" x14ac:dyDescent="0.2">
      <c r="B28" s="47">
        <v>44071</v>
      </c>
      <c r="C28" s="46">
        <v>1397.5</v>
      </c>
      <c r="D28" s="45">
        <v>1397.5</v>
      </c>
      <c r="E28" s="44">
        <f t="shared" si="0"/>
        <v>1397.5</v>
      </c>
      <c r="F28" s="46">
        <v>1425</v>
      </c>
      <c r="G28" s="45">
        <v>1425</v>
      </c>
      <c r="H28" s="44">
        <f t="shared" si="1"/>
        <v>1425</v>
      </c>
      <c r="I28" s="46">
        <v>1451.5</v>
      </c>
      <c r="J28" s="45">
        <v>1451.5</v>
      </c>
      <c r="K28" s="44">
        <f t="shared" si="2"/>
        <v>1451.5</v>
      </c>
      <c r="L28" s="52">
        <v>1397.5</v>
      </c>
      <c r="M28" s="51">
        <v>1.3310999999999999</v>
      </c>
      <c r="N28" s="51">
        <v>1.1912</v>
      </c>
      <c r="O28" s="50">
        <v>105.36</v>
      </c>
      <c r="P28" s="43">
        <v>1049.8800000000001</v>
      </c>
      <c r="Q28" s="43">
        <v>1070.06</v>
      </c>
      <c r="R28" s="49">
        <f t="shared" si="3"/>
        <v>1173.1867024848891</v>
      </c>
      <c r="S28" s="48">
        <v>1.3317000000000001</v>
      </c>
    </row>
    <row r="29" spans="2:19" s="10" customFormat="1" x14ac:dyDescent="0.2">
      <c r="B29" s="42" t="s">
        <v>11</v>
      </c>
      <c r="C29" s="41">
        <f>ROUND(AVERAGE(C9:C28),2)</f>
        <v>1363.88</v>
      </c>
      <c r="D29" s="40">
        <f>ROUND(AVERAGE(D9:D28),2)</f>
        <v>1363.88</v>
      </c>
      <c r="E29" s="39">
        <f>ROUND(AVERAGE(C29:D29),2)</f>
        <v>1363.88</v>
      </c>
      <c r="F29" s="41">
        <f>ROUND(AVERAGE(F9:F28),2)</f>
        <v>1380.03</v>
      </c>
      <c r="G29" s="40">
        <f>ROUND(AVERAGE(G9:G28),2)</f>
        <v>1380.03</v>
      </c>
      <c r="H29" s="39">
        <f>ROUND(AVERAGE(F29:G29),2)</f>
        <v>1380.03</v>
      </c>
      <c r="I29" s="41">
        <f>ROUND(AVERAGE(I9:I28),2)</f>
        <v>1404.9</v>
      </c>
      <c r="J29" s="40">
        <f>ROUND(AVERAGE(J9:J28),2)</f>
        <v>1404.9</v>
      </c>
      <c r="K29" s="39">
        <f>ROUND(AVERAGE(I29:J29),2)</f>
        <v>1404.9</v>
      </c>
      <c r="L29" s="38">
        <f>ROUND(AVERAGE(L9:L28),2)</f>
        <v>1363.88</v>
      </c>
      <c r="M29" s="37">
        <f>ROUND(AVERAGE(M9:M28),4)</f>
        <v>1.3123</v>
      </c>
      <c r="N29" s="36">
        <f>ROUND(AVERAGE(N9:N28),4)</f>
        <v>1.1822999999999999</v>
      </c>
      <c r="O29" s="175">
        <f>ROUND(AVERAGE(O9:O28),2)</f>
        <v>106.02</v>
      </c>
      <c r="P29" s="35">
        <f>AVERAGE(P9:P28)</f>
        <v>1039.2689999999998</v>
      </c>
      <c r="Q29" s="35">
        <f>AVERAGE(Q9:Q28)</f>
        <v>1051.105</v>
      </c>
      <c r="R29" s="35">
        <f>AVERAGE(R9:R28)</f>
        <v>1153.6120383243183</v>
      </c>
      <c r="S29" s="34">
        <f>AVERAGE(S9:S28)</f>
        <v>1.3128849499999999</v>
      </c>
    </row>
    <row r="30" spans="2:19" s="5" customFormat="1" x14ac:dyDescent="0.2">
      <c r="B30" s="33" t="s">
        <v>12</v>
      </c>
      <c r="C30" s="32">
        <f t="shared" ref="C30:S30" si="4">MAX(C9:C28)</f>
        <v>1397.5</v>
      </c>
      <c r="D30" s="31">
        <f t="shared" si="4"/>
        <v>1397.5</v>
      </c>
      <c r="E30" s="30">
        <f t="shared" si="4"/>
        <v>1397.5</v>
      </c>
      <c r="F30" s="32">
        <f t="shared" si="4"/>
        <v>1425</v>
      </c>
      <c r="G30" s="31">
        <f t="shared" si="4"/>
        <v>1425</v>
      </c>
      <c r="H30" s="30">
        <f t="shared" si="4"/>
        <v>1425</v>
      </c>
      <c r="I30" s="32">
        <f t="shared" si="4"/>
        <v>1451.5</v>
      </c>
      <c r="J30" s="31">
        <f t="shared" si="4"/>
        <v>1451.5</v>
      </c>
      <c r="K30" s="30">
        <f t="shared" si="4"/>
        <v>1451.5</v>
      </c>
      <c r="L30" s="29">
        <f t="shared" si="4"/>
        <v>1397.5</v>
      </c>
      <c r="M30" s="28">
        <f t="shared" si="4"/>
        <v>1.3310999999999999</v>
      </c>
      <c r="N30" s="27">
        <f t="shared" si="4"/>
        <v>1.1935</v>
      </c>
      <c r="O30" s="26">
        <f t="shared" si="4"/>
        <v>106.97</v>
      </c>
      <c r="P30" s="25">
        <f t="shared" si="4"/>
        <v>1058.28</v>
      </c>
      <c r="Q30" s="25">
        <f t="shared" si="4"/>
        <v>1074.1400000000001</v>
      </c>
      <c r="R30" s="25">
        <f t="shared" si="4"/>
        <v>1179.2132926415734</v>
      </c>
      <c r="S30" s="24">
        <f t="shared" si="4"/>
        <v>1.3317000000000001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1310</v>
      </c>
      <c r="D31" s="21">
        <f t="shared" si="5"/>
        <v>1310</v>
      </c>
      <c r="E31" s="20">
        <f t="shared" si="5"/>
        <v>1310</v>
      </c>
      <c r="F31" s="22">
        <f t="shared" si="5"/>
        <v>1315</v>
      </c>
      <c r="G31" s="21">
        <f t="shared" si="5"/>
        <v>1315</v>
      </c>
      <c r="H31" s="20">
        <f t="shared" si="5"/>
        <v>1315</v>
      </c>
      <c r="I31" s="22">
        <f t="shared" si="5"/>
        <v>1342.5</v>
      </c>
      <c r="J31" s="21">
        <f t="shared" si="5"/>
        <v>1342.5</v>
      </c>
      <c r="K31" s="20">
        <f t="shared" si="5"/>
        <v>1342.5</v>
      </c>
      <c r="L31" s="19">
        <f t="shared" si="5"/>
        <v>1310</v>
      </c>
      <c r="M31" s="18">
        <f t="shared" si="5"/>
        <v>1.3017000000000001</v>
      </c>
      <c r="N31" s="17">
        <f t="shared" si="5"/>
        <v>1.1726000000000001</v>
      </c>
      <c r="O31" s="16">
        <f t="shared" si="5"/>
        <v>105.27</v>
      </c>
      <c r="P31" s="15">
        <f t="shared" si="5"/>
        <v>1005.22</v>
      </c>
      <c r="Q31" s="15">
        <f t="shared" si="5"/>
        <v>1008.59</v>
      </c>
      <c r="R31" s="15">
        <f t="shared" si="5"/>
        <v>1117.1755074194098</v>
      </c>
      <c r="S31" s="14">
        <f t="shared" si="5"/>
        <v>1.3022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topLeftCell="C1" workbookViewId="0">
      <pane ySplit="8" topLeftCell="A9" activePane="bottomLeft" state="frozen"/>
      <selection activeCell="C46" sqref="C46"/>
      <selection pane="bottomLeft" activeCell="Z19" sqref="Z1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44046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44046</v>
      </c>
      <c r="C9" s="46">
        <v>1679.5</v>
      </c>
      <c r="D9" s="45">
        <v>1679.5</v>
      </c>
      <c r="E9" s="44">
        <f t="shared" ref="E9:E28" si="0">AVERAGE(C9:D9)</f>
        <v>1679.5</v>
      </c>
      <c r="F9" s="46">
        <v>1718.5</v>
      </c>
      <c r="G9" s="45">
        <v>1718.5</v>
      </c>
      <c r="H9" s="44">
        <f t="shared" ref="H9:H28" si="1">AVERAGE(F9:G9)</f>
        <v>1718.5</v>
      </c>
      <c r="I9" s="46">
        <v>1796</v>
      </c>
      <c r="J9" s="45">
        <v>1796</v>
      </c>
      <c r="K9" s="44">
        <f t="shared" ref="K9:K28" si="2">AVERAGE(I9:J9)</f>
        <v>1796</v>
      </c>
      <c r="L9" s="46">
        <v>1867</v>
      </c>
      <c r="M9" s="45">
        <v>1867</v>
      </c>
      <c r="N9" s="44">
        <f t="shared" ref="N9:N28" si="3">AVERAGE(L9:M9)</f>
        <v>1867</v>
      </c>
      <c r="O9" s="46">
        <v>1941</v>
      </c>
      <c r="P9" s="45">
        <v>1941</v>
      </c>
      <c r="Q9" s="44">
        <f t="shared" ref="Q9:Q28" si="4">AVERAGE(O9:P9)</f>
        <v>1941</v>
      </c>
      <c r="R9" s="52">
        <v>1679.5</v>
      </c>
      <c r="S9" s="51">
        <v>1.3031999999999999</v>
      </c>
      <c r="T9" s="53">
        <v>1.1726000000000001</v>
      </c>
      <c r="U9" s="50">
        <v>106.21</v>
      </c>
      <c r="V9" s="43">
        <v>1288.75</v>
      </c>
      <c r="W9" s="43">
        <v>1318.07</v>
      </c>
      <c r="X9" s="49">
        <f t="shared" ref="X9:X28" si="5">R9/T9</f>
        <v>1432.2872249701518</v>
      </c>
      <c r="Y9" s="48">
        <v>1.3038000000000001</v>
      </c>
    </row>
    <row r="10" spans="1:25" x14ac:dyDescent="0.2">
      <c r="B10" s="47">
        <v>44047</v>
      </c>
      <c r="C10" s="46">
        <v>1709.5</v>
      </c>
      <c r="D10" s="45">
        <v>1709.5</v>
      </c>
      <c r="E10" s="44">
        <f t="shared" si="0"/>
        <v>1709.5</v>
      </c>
      <c r="F10" s="46">
        <v>1748.5</v>
      </c>
      <c r="G10" s="45">
        <v>1748.5</v>
      </c>
      <c r="H10" s="44">
        <f t="shared" si="1"/>
        <v>1748.5</v>
      </c>
      <c r="I10" s="46">
        <v>1825.5</v>
      </c>
      <c r="J10" s="45">
        <v>1825.5</v>
      </c>
      <c r="K10" s="44">
        <f t="shared" si="2"/>
        <v>1825.5</v>
      </c>
      <c r="L10" s="46">
        <v>1897.5</v>
      </c>
      <c r="M10" s="45">
        <v>1897.5</v>
      </c>
      <c r="N10" s="44">
        <f t="shared" si="3"/>
        <v>1897.5</v>
      </c>
      <c r="O10" s="46">
        <v>1971.5</v>
      </c>
      <c r="P10" s="45">
        <v>1971.5</v>
      </c>
      <c r="Q10" s="44">
        <f t="shared" si="4"/>
        <v>1971.5</v>
      </c>
      <c r="R10" s="52">
        <v>1709.5</v>
      </c>
      <c r="S10" s="51">
        <v>1.3025</v>
      </c>
      <c r="T10" s="51">
        <v>1.1760999999999999</v>
      </c>
      <c r="U10" s="50">
        <v>106.12</v>
      </c>
      <c r="V10" s="43">
        <v>1312.48</v>
      </c>
      <c r="W10" s="43">
        <v>1341.9</v>
      </c>
      <c r="X10" s="49">
        <f t="shared" si="5"/>
        <v>1453.5328628517984</v>
      </c>
      <c r="Y10" s="48">
        <v>1.3029999999999999</v>
      </c>
    </row>
    <row r="11" spans="1:25" x14ac:dyDescent="0.2">
      <c r="B11" s="47">
        <v>44048</v>
      </c>
      <c r="C11" s="46">
        <v>1739</v>
      </c>
      <c r="D11" s="45">
        <v>1739</v>
      </c>
      <c r="E11" s="44">
        <f t="shared" si="0"/>
        <v>1739</v>
      </c>
      <c r="F11" s="46">
        <v>1778.5</v>
      </c>
      <c r="G11" s="45">
        <v>1778.5</v>
      </c>
      <c r="H11" s="44">
        <f t="shared" si="1"/>
        <v>1778.5</v>
      </c>
      <c r="I11" s="46">
        <v>1854</v>
      </c>
      <c r="J11" s="45">
        <v>1854</v>
      </c>
      <c r="K11" s="44">
        <f t="shared" si="2"/>
        <v>1854</v>
      </c>
      <c r="L11" s="46">
        <v>1926</v>
      </c>
      <c r="M11" s="45">
        <v>1926</v>
      </c>
      <c r="N11" s="44">
        <f t="shared" si="3"/>
        <v>1926</v>
      </c>
      <c r="O11" s="46">
        <v>2000</v>
      </c>
      <c r="P11" s="45">
        <v>2000</v>
      </c>
      <c r="Q11" s="44">
        <f t="shared" si="4"/>
        <v>2000</v>
      </c>
      <c r="R11" s="52">
        <v>1739</v>
      </c>
      <c r="S11" s="51">
        <v>1.3142</v>
      </c>
      <c r="T11" s="51">
        <v>1.1855</v>
      </c>
      <c r="U11" s="50">
        <v>105.73</v>
      </c>
      <c r="V11" s="43">
        <v>1323.24</v>
      </c>
      <c r="W11" s="43">
        <v>1352.78</v>
      </c>
      <c r="X11" s="49">
        <f t="shared" si="5"/>
        <v>1466.8916069169127</v>
      </c>
      <c r="Y11" s="48">
        <v>1.3147</v>
      </c>
    </row>
    <row r="12" spans="1:25" x14ac:dyDescent="0.2">
      <c r="B12" s="47">
        <v>44049</v>
      </c>
      <c r="C12" s="46">
        <v>1722</v>
      </c>
      <c r="D12" s="45">
        <v>1722</v>
      </c>
      <c r="E12" s="44">
        <f t="shared" si="0"/>
        <v>1722</v>
      </c>
      <c r="F12" s="46">
        <v>1758.5</v>
      </c>
      <c r="G12" s="45">
        <v>1758.5</v>
      </c>
      <c r="H12" s="44">
        <f t="shared" si="1"/>
        <v>1758.5</v>
      </c>
      <c r="I12" s="46">
        <v>1834.5</v>
      </c>
      <c r="J12" s="45">
        <v>1834.5</v>
      </c>
      <c r="K12" s="44">
        <f t="shared" si="2"/>
        <v>1834.5</v>
      </c>
      <c r="L12" s="46">
        <v>1907</v>
      </c>
      <c r="M12" s="45">
        <v>1907</v>
      </c>
      <c r="N12" s="44">
        <f t="shared" si="3"/>
        <v>1907</v>
      </c>
      <c r="O12" s="46">
        <v>1981</v>
      </c>
      <c r="P12" s="45">
        <v>1981</v>
      </c>
      <c r="Q12" s="44">
        <f t="shared" si="4"/>
        <v>1981</v>
      </c>
      <c r="R12" s="52">
        <v>1722</v>
      </c>
      <c r="S12" s="51">
        <v>1.3164</v>
      </c>
      <c r="T12" s="51">
        <v>1.1847000000000001</v>
      </c>
      <c r="U12" s="50">
        <v>105.41</v>
      </c>
      <c r="V12" s="43">
        <v>1308.1099999999999</v>
      </c>
      <c r="W12" s="43">
        <v>1335.33</v>
      </c>
      <c r="X12" s="49">
        <f t="shared" si="5"/>
        <v>1453.5325398835148</v>
      </c>
      <c r="Y12" s="48">
        <v>1.3169</v>
      </c>
    </row>
    <row r="13" spans="1:25" x14ac:dyDescent="0.2">
      <c r="B13" s="47">
        <v>44050</v>
      </c>
      <c r="C13" s="46">
        <v>1744</v>
      </c>
      <c r="D13" s="45">
        <v>1744</v>
      </c>
      <c r="E13" s="44">
        <f t="shared" si="0"/>
        <v>1744</v>
      </c>
      <c r="F13" s="46">
        <v>1780</v>
      </c>
      <c r="G13" s="45">
        <v>1780</v>
      </c>
      <c r="H13" s="44">
        <f t="shared" si="1"/>
        <v>1780</v>
      </c>
      <c r="I13" s="46">
        <v>1858.5</v>
      </c>
      <c r="J13" s="45">
        <v>1858.5</v>
      </c>
      <c r="K13" s="44">
        <f t="shared" si="2"/>
        <v>1858.5</v>
      </c>
      <c r="L13" s="46">
        <v>1930.5</v>
      </c>
      <c r="M13" s="45">
        <v>1930.5</v>
      </c>
      <c r="N13" s="44">
        <f t="shared" si="3"/>
        <v>1930.5</v>
      </c>
      <c r="O13" s="46">
        <v>2004.5</v>
      </c>
      <c r="P13" s="45">
        <v>2004.5</v>
      </c>
      <c r="Q13" s="44">
        <f t="shared" si="4"/>
        <v>2004.5</v>
      </c>
      <c r="R13" s="52">
        <v>1744</v>
      </c>
      <c r="S13" s="51">
        <v>1.3078000000000001</v>
      </c>
      <c r="T13" s="51">
        <v>1.1818</v>
      </c>
      <c r="U13" s="50">
        <v>105.64</v>
      </c>
      <c r="V13" s="43">
        <v>1333.54</v>
      </c>
      <c r="W13" s="43">
        <v>1360.54</v>
      </c>
      <c r="X13" s="49">
        <f t="shared" si="5"/>
        <v>1475.7150110001692</v>
      </c>
      <c r="Y13" s="48">
        <v>1.3083</v>
      </c>
    </row>
    <row r="14" spans="1:25" x14ac:dyDescent="0.2">
      <c r="B14" s="47">
        <v>44053</v>
      </c>
      <c r="C14" s="46">
        <v>1730</v>
      </c>
      <c r="D14" s="45">
        <v>1730</v>
      </c>
      <c r="E14" s="44">
        <f t="shared" si="0"/>
        <v>1730</v>
      </c>
      <c r="F14" s="46">
        <v>1766</v>
      </c>
      <c r="G14" s="45">
        <v>1766</v>
      </c>
      <c r="H14" s="44">
        <f t="shared" si="1"/>
        <v>1766</v>
      </c>
      <c r="I14" s="46">
        <v>1840.5</v>
      </c>
      <c r="J14" s="45">
        <v>1840.5</v>
      </c>
      <c r="K14" s="44">
        <f t="shared" si="2"/>
        <v>1840.5</v>
      </c>
      <c r="L14" s="46">
        <v>1911.5</v>
      </c>
      <c r="M14" s="45">
        <v>1911.5</v>
      </c>
      <c r="N14" s="44">
        <f t="shared" si="3"/>
        <v>1911.5</v>
      </c>
      <c r="O14" s="46">
        <v>1985.5</v>
      </c>
      <c r="P14" s="45">
        <v>1985.5</v>
      </c>
      <c r="Q14" s="44">
        <f t="shared" si="4"/>
        <v>1985.5</v>
      </c>
      <c r="R14" s="52">
        <v>1730</v>
      </c>
      <c r="S14" s="51">
        <v>1.3038000000000001</v>
      </c>
      <c r="T14" s="51">
        <v>1.1754</v>
      </c>
      <c r="U14" s="50">
        <v>106.14</v>
      </c>
      <c r="V14" s="43">
        <v>1326.89</v>
      </c>
      <c r="W14" s="43">
        <v>1353.98</v>
      </c>
      <c r="X14" s="49">
        <f t="shared" si="5"/>
        <v>1471.8393738301854</v>
      </c>
      <c r="Y14" s="48">
        <v>1.3043</v>
      </c>
    </row>
    <row r="15" spans="1:25" x14ac:dyDescent="0.2">
      <c r="B15" s="47">
        <v>44054</v>
      </c>
      <c r="C15" s="46">
        <v>1749.5</v>
      </c>
      <c r="D15" s="45">
        <v>1749.5</v>
      </c>
      <c r="E15" s="44">
        <f t="shared" si="0"/>
        <v>1749.5</v>
      </c>
      <c r="F15" s="46">
        <v>1786</v>
      </c>
      <c r="G15" s="45">
        <v>1786</v>
      </c>
      <c r="H15" s="44">
        <f t="shared" si="1"/>
        <v>1786</v>
      </c>
      <c r="I15" s="46">
        <v>1860</v>
      </c>
      <c r="J15" s="45">
        <v>1860</v>
      </c>
      <c r="K15" s="44">
        <f t="shared" si="2"/>
        <v>1860</v>
      </c>
      <c r="L15" s="46">
        <v>1930</v>
      </c>
      <c r="M15" s="45">
        <v>1930</v>
      </c>
      <c r="N15" s="44">
        <f t="shared" si="3"/>
        <v>1930</v>
      </c>
      <c r="O15" s="46">
        <v>2004</v>
      </c>
      <c r="P15" s="45">
        <v>2004</v>
      </c>
      <c r="Q15" s="44">
        <f t="shared" si="4"/>
        <v>2004</v>
      </c>
      <c r="R15" s="52">
        <v>1749.5</v>
      </c>
      <c r="S15" s="51">
        <v>1.3116000000000001</v>
      </c>
      <c r="T15" s="51">
        <v>1.1779999999999999</v>
      </c>
      <c r="U15" s="50">
        <v>106.04</v>
      </c>
      <c r="V15" s="43">
        <v>1333.87</v>
      </c>
      <c r="W15" s="43">
        <v>1361.18</v>
      </c>
      <c r="X15" s="49">
        <f t="shared" si="5"/>
        <v>1485.144312393888</v>
      </c>
      <c r="Y15" s="48">
        <v>1.3121</v>
      </c>
    </row>
    <row r="16" spans="1:25" x14ac:dyDescent="0.2">
      <c r="B16" s="47">
        <v>44055</v>
      </c>
      <c r="C16" s="46">
        <v>1754</v>
      </c>
      <c r="D16" s="45">
        <v>1754</v>
      </c>
      <c r="E16" s="44">
        <f t="shared" si="0"/>
        <v>1754</v>
      </c>
      <c r="F16" s="46">
        <v>1789.5</v>
      </c>
      <c r="G16" s="45">
        <v>1789.5</v>
      </c>
      <c r="H16" s="44">
        <f t="shared" si="1"/>
        <v>1789.5</v>
      </c>
      <c r="I16" s="46">
        <v>1865</v>
      </c>
      <c r="J16" s="45">
        <v>1865</v>
      </c>
      <c r="K16" s="44">
        <f t="shared" si="2"/>
        <v>1865</v>
      </c>
      <c r="L16" s="46">
        <v>1936</v>
      </c>
      <c r="M16" s="45">
        <v>1936</v>
      </c>
      <c r="N16" s="44">
        <f t="shared" si="3"/>
        <v>1936</v>
      </c>
      <c r="O16" s="46">
        <v>2010</v>
      </c>
      <c r="P16" s="45">
        <v>2010</v>
      </c>
      <c r="Q16" s="44">
        <f t="shared" si="4"/>
        <v>2010</v>
      </c>
      <c r="R16" s="52">
        <v>1754</v>
      </c>
      <c r="S16" s="51">
        <v>1.3017000000000001</v>
      </c>
      <c r="T16" s="51">
        <v>1.1767000000000001</v>
      </c>
      <c r="U16" s="50">
        <v>106.95</v>
      </c>
      <c r="V16" s="43">
        <v>1347.47</v>
      </c>
      <c r="W16" s="43">
        <v>1374.21</v>
      </c>
      <c r="X16" s="49">
        <f t="shared" si="5"/>
        <v>1490.6093311804198</v>
      </c>
      <c r="Y16" s="48">
        <v>1.3022</v>
      </c>
    </row>
    <row r="17" spans="2:25" x14ac:dyDescent="0.2">
      <c r="B17" s="47">
        <v>44056</v>
      </c>
      <c r="C17" s="46">
        <v>1738</v>
      </c>
      <c r="D17" s="45">
        <v>1738</v>
      </c>
      <c r="E17" s="44">
        <f t="shared" si="0"/>
        <v>1738</v>
      </c>
      <c r="F17" s="46">
        <v>1774</v>
      </c>
      <c r="G17" s="45">
        <v>1774</v>
      </c>
      <c r="H17" s="44">
        <f t="shared" si="1"/>
        <v>1774</v>
      </c>
      <c r="I17" s="46">
        <v>1849</v>
      </c>
      <c r="J17" s="45">
        <v>1849</v>
      </c>
      <c r="K17" s="44">
        <f t="shared" si="2"/>
        <v>1849</v>
      </c>
      <c r="L17" s="46">
        <v>1920</v>
      </c>
      <c r="M17" s="45">
        <v>1920</v>
      </c>
      <c r="N17" s="44">
        <f t="shared" si="3"/>
        <v>1920</v>
      </c>
      <c r="O17" s="46">
        <v>1994</v>
      </c>
      <c r="P17" s="45">
        <v>1994</v>
      </c>
      <c r="Q17" s="44">
        <f t="shared" si="4"/>
        <v>1994</v>
      </c>
      <c r="R17" s="52">
        <v>1738</v>
      </c>
      <c r="S17" s="51">
        <v>1.3095000000000001</v>
      </c>
      <c r="T17" s="51">
        <v>1.1837</v>
      </c>
      <c r="U17" s="50">
        <v>106.97</v>
      </c>
      <c r="V17" s="43">
        <v>1327.22</v>
      </c>
      <c r="W17" s="43">
        <v>1354.1</v>
      </c>
      <c r="X17" s="49">
        <f t="shared" si="5"/>
        <v>1468.2774351609362</v>
      </c>
      <c r="Y17" s="48">
        <v>1.3101</v>
      </c>
    </row>
    <row r="18" spans="2:25" x14ac:dyDescent="0.2">
      <c r="B18" s="47">
        <v>44057</v>
      </c>
      <c r="C18" s="46">
        <v>1730</v>
      </c>
      <c r="D18" s="45">
        <v>1730</v>
      </c>
      <c r="E18" s="44">
        <f t="shared" si="0"/>
        <v>1730</v>
      </c>
      <c r="F18" s="46">
        <v>1766</v>
      </c>
      <c r="G18" s="45">
        <v>1766</v>
      </c>
      <c r="H18" s="44">
        <f t="shared" si="1"/>
        <v>1766</v>
      </c>
      <c r="I18" s="46">
        <v>1843</v>
      </c>
      <c r="J18" s="45">
        <v>1843</v>
      </c>
      <c r="K18" s="44">
        <f t="shared" si="2"/>
        <v>1843</v>
      </c>
      <c r="L18" s="46">
        <v>1917</v>
      </c>
      <c r="M18" s="45">
        <v>1917</v>
      </c>
      <c r="N18" s="44">
        <f t="shared" si="3"/>
        <v>1917</v>
      </c>
      <c r="O18" s="46">
        <v>1991</v>
      </c>
      <c r="P18" s="45">
        <v>1991</v>
      </c>
      <c r="Q18" s="44">
        <f t="shared" si="4"/>
        <v>1991</v>
      </c>
      <c r="R18" s="52">
        <v>1730</v>
      </c>
      <c r="S18" s="51">
        <v>1.3104</v>
      </c>
      <c r="T18" s="51">
        <v>1.1809000000000001</v>
      </c>
      <c r="U18" s="50">
        <v>106.68</v>
      </c>
      <c r="V18" s="43">
        <v>1320.21</v>
      </c>
      <c r="W18" s="43">
        <v>1347.06</v>
      </c>
      <c r="X18" s="49">
        <f t="shared" si="5"/>
        <v>1464.9843339825557</v>
      </c>
      <c r="Y18" s="48">
        <v>1.3109999999999999</v>
      </c>
    </row>
    <row r="19" spans="2:25" x14ac:dyDescent="0.2">
      <c r="B19" s="47">
        <v>44060</v>
      </c>
      <c r="C19" s="46">
        <v>1719.5</v>
      </c>
      <c r="D19" s="45">
        <v>1719.5</v>
      </c>
      <c r="E19" s="44">
        <f t="shared" si="0"/>
        <v>1719.5</v>
      </c>
      <c r="F19" s="46">
        <v>1757</v>
      </c>
      <c r="G19" s="45">
        <v>1757</v>
      </c>
      <c r="H19" s="44">
        <f t="shared" si="1"/>
        <v>1757</v>
      </c>
      <c r="I19" s="46">
        <v>1834.5</v>
      </c>
      <c r="J19" s="45">
        <v>1834.5</v>
      </c>
      <c r="K19" s="44">
        <f t="shared" si="2"/>
        <v>1834.5</v>
      </c>
      <c r="L19" s="46">
        <v>1908.5</v>
      </c>
      <c r="M19" s="45">
        <v>1908.5</v>
      </c>
      <c r="N19" s="44">
        <f t="shared" si="3"/>
        <v>1908.5</v>
      </c>
      <c r="O19" s="46">
        <v>1982.5</v>
      </c>
      <c r="P19" s="45">
        <v>1982.5</v>
      </c>
      <c r="Q19" s="44">
        <f t="shared" si="4"/>
        <v>1982.5</v>
      </c>
      <c r="R19" s="52">
        <v>1719.5</v>
      </c>
      <c r="S19" s="51">
        <v>1.3085</v>
      </c>
      <c r="T19" s="51">
        <v>1.1856</v>
      </c>
      <c r="U19" s="50">
        <v>106.29</v>
      </c>
      <c r="V19" s="43">
        <v>1314.1</v>
      </c>
      <c r="W19" s="43">
        <v>1342.14</v>
      </c>
      <c r="X19" s="49">
        <f t="shared" si="5"/>
        <v>1450.3205128205129</v>
      </c>
      <c r="Y19" s="48">
        <v>1.3090999999999999</v>
      </c>
    </row>
    <row r="20" spans="2:25" x14ac:dyDescent="0.2">
      <c r="B20" s="47">
        <v>44061</v>
      </c>
      <c r="C20" s="46">
        <v>1733</v>
      </c>
      <c r="D20" s="45">
        <v>1733</v>
      </c>
      <c r="E20" s="44">
        <f t="shared" si="0"/>
        <v>1733</v>
      </c>
      <c r="F20" s="46">
        <v>1770</v>
      </c>
      <c r="G20" s="45">
        <v>1770</v>
      </c>
      <c r="H20" s="44">
        <f t="shared" si="1"/>
        <v>1770</v>
      </c>
      <c r="I20" s="46">
        <v>1848</v>
      </c>
      <c r="J20" s="45">
        <v>1848</v>
      </c>
      <c r="K20" s="44">
        <f t="shared" si="2"/>
        <v>1848</v>
      </c>
      <c r="L20" s="46">
        <v>1923</v>
      </c>
      <c r="M20" s="45">
        <v>1923</v>
      </c>
      <c r="N20" s="44">
        <f t="shared" si="3"/>
        <v>1923</v>
      </c>
      <c r="O20" s="46">
        <v>1997</v>
      </c>
      <c r="P20" s="45">
        <v>1997</v>
      </c>
      <c r="Q20" s="44">
        <f t="shared" si="4"/>
        <v>1997</v>
      </c>
      <c r="R20" s="52">
        <v>1733</v>
      </c>
      <c r="S20" s="51">
        <v>1.3174999999999999</v>
      </c>
      <c r="T20" s="51">
        <v>1.1906000000000001</v>
      </c>
      <c r="U20" s="50">
        <v>105.46</v>
      </c>
      <c r="V20" s="43">
        <v>1315.37</v>
      </c>
      <c r="W20" s="43">
        <v>1342.84</v>
      </c>
      <c r="X20" s="49">
        <f t="shared" si="5"/>
        <v>1455.5686208634302</v>
      </c>
      <c r="Y20" s="48">
        <v>1.3180989999999999</v>
      </c>
    </row>
    <row r="21" spans="2:25" x14ac:dyDescent="0.2">
      <c r="B21" s="47">
        <v>44062</v>
      </c>
      <c r="C21" s="46">
        <v>1746.5</v>
      </c>
      <c r="D21" s="45">
        <v>1746.5</v>
      </c>
      <c r="E21" s="44">
        <f t="shared" si="0"/>
        <v>1746.5</v>
      </c>
      <c r="F21" s="46">
        <v>1783</v>
      </c>
      <c r="G21" s="45">
        <v>1783</v>
      </c>
      <c r="H21" s="44">
        <f t="shared" si="1"/>
        <v>1783</v>
      </c>
      <c r="I21" s="46">
        <v>1862</v>
      </c>
      <c r="J21" s="45">
        <v>1862</v>
      </c>
      <c r="K21" s="44">
        <f t="shared" si="2"/>
        <v>1862</v>
      </c>
      <c r="L21" s="46">
        <v>1936</v>
      </c>
      <c r="M21" s="45">
        <v>1936</v>
      </c>
      <c r="N21" s="44">
        <f t="shared" si="3"/>
        <v>1936</v>
      </c>
      <c r="O21" s="46">
        <v>2010</v>
      </c>
      <c r="P21" s="45">
        <v>2010</v>
      </c>
      <c r="Q21" s="44">
        <f t="shared" si="4"/>
        <v>2010</v>
      </c>
      <c r="R21" s="52">
        <v>1746.5</v>
      </c>
      <c r="S21" s="51">
        <v>1.3210999999999999</v>
      </c>
      <c r="T21" s="51">
        <v>1.1935</v>
      </c>
      <c r="U21" s="50">
        <v>105.27</v>
      </c>
      <c r="V21" s="43">
        <v>1322</v>
      </c>
      <c r="W21" s="43">
        <v>1349.02</v>
      </c>
      <c r="X21" s="49">
        <f t="shared" si="5"/>
        <v>1463.3431085043987</v>
      </c>
      <c r="Y21" s="48">
        <v>1.3217000000000001</v>
      </c>
    </row>
    <row r="22" spans="2:25" x14ac:dyDescent="0.2">
      <c r="B22" s="47">
        <v>44063</v>
      </c>
      <c r="C22" s="46">
        <v>1755.5</v>
      </c>
      <c r="D22" s="45">
        <v>1755.5</v>
      </c>
      <c r="E22" s="44">
        <f t="shared" si="0"/>
        <v>1755.5</v>
      </c>
      <c r="F22" s="46">
        <v>1791.5</v>
      </c>
      <c r="G22" s="45">
        <v>1791.5</v>
      </c>
      <c r="H22" s="44">
        <f t="shared" si="1"/>
        <v>1791.5</v>
      </c>
      <c r="I22" s="46">
        <v>1868.5</v>
      </c>
      <c r="J22" s="45">
        <v>1868.5</v>
      </c>
      <c r="K22" s="44">
        <f t="shared" si="2"/>
        <v>1868.5</v>
      </c>
      <c r="L22" s="46">
        <v>1941</v>
      </c>
      <c r="M22" s="45">
        <v>1941</v>
      </c>
      <c r="N22" s="44">
        <f t="shared" si="3"/>
        <v>1941</v>
      </c>
      <c r="O22" s="46">
        <v>2015</v>
      </c>
      <c r="P22" s="45">
        <v>2015</v>
      </c>
      <c r="Q22" s="44">
        <f t="shared" si="4"/>
        <v>2015</v>
      </c>
      <c r="R22" s="52">
        <v>1755.5</v>
      </c>
      <c r="S22" s="51">
        <v>1.3145</v>
      </c>
      <c r="T22" s="51">
        <v>1.1850000000000001</v>
      </c>
      <c r="U22" s="50">
        <v>105.88</v>
      </c>
      <c r="V22" s="43">
        <v>1335.49</v>
      </c>
      <c r="W22" s="43">
        <v>1362.25</v>
      </c>
      <c r="X22" s="49">
        <f t="shared" si="5"/>
        <v>1481.4345991561181</v>
      </c>
      <c r="Y22" s="48">
        <v>1.3150999999999999</v>
      </c>
    </row>
    <row r="23" spans="2:25" x14ac:dyDescent="0.2">
      <c r="B23" s="47">
        <v>44064</v>
      </c>
      <c r="C23" s="46">
        <v>1722.5</v>
      </c>
      <c r="D23" s="45">
        <v>1722.5</v>
      </c>
      <c r="E23" s="44">
        <f t="shared" si="0"/>
        <v>1722.5</v>
      </c>
      <c r="F23" s="46">
        <v>1761.5</v>
      </c>
      <c r="G23" s="45">
        <v>1761.5</v>
      </c>
      <c r="H23" s="44">
        <f t="shared" si="1"/>
        <v>1761.5</v>
      </c>
      <c r="I23" s="46">
        <v>1839.5</v>
      </c>
      <c r="J23" s="45">
        <v>1839.5</v>
      </c>
      <c r="K23" s="44">
        <f t="shared" si="2"/>
        <v>1839.5</v>
      </c>
      <c r="L23" s="46">
        <v>1910.5</v>
      </c>
      <c r="M23" s="45">
        <v>1910.5</v>
      </c>
      <c r="N23" s="44">
        <f t="shared" si="3"/>
        <v>1910.5</v>
      </c>
      <c r="O23" s="46">
        <v>1984.5</v>
      </c>
      <c r="P23" s="45">
        <v>1984.5</v>
      </c>
      <c r="Q23" s="44">
        <f t="shared" si="4"/>
        <v>1984.5</v>
      </c>
      <c r="R23" s="52">
        <v>1722.5</v>
      </c>
      <c r="S23" s="51">
        <v>1.3109</v>
      </c>
      <c r="T23" s="51">
        <v>1.1775</v>
      </c>
      <c r="U23" s="50">
        <v>105.75</v>
      </c>
      <c r="V23" s="43">
        <v>1313.98</v>
      </c>
      <c r="W23" s="43">
        <v>1343.12</v>
      </c>
      <c r="X23" s="49">
        <f t="shared" si="5"/>
        <v>1462.8450106157113</v>
      </c>
      <c r="Y23" s="48">
        <v>1.3115000000000001</v>
      </c>
    </row>
    <row r="24" spans="2:25" x14ac:dyDescent="0.2">
      <c r="B24" s="47">
        <v>44067</v>
      </c>
      <c r="C24" s="46">
        <v>1735.5</v>
      </c>
      <c r="D24" s="45">
        <v>1735.5</v>
      </c>
      <c r="E24" s="44">
        <f t="shared" si="0"/>
        <v>1735.5</v>
      </c>
      <c r="F24" s="46">
        <v>1776</v>
      </c>
      <c r="G24" s="45">
        <v>1776</v>
      </c>
      <c r="H24" s="44">
        <f t="shared" si="1"/>
        <v>1776</v>
      </c>
      <c r="I24" s="46">
        <v>1853.5</v>
      </c>
      <c r="J24" s="45">
        <v>1853.5</v>
      </c>
      <c r="K24" s="44">
        <f t="shared" si="2"/>
        <v>1853.5</v>
      </c>
      <c r="L24" s="46">
        <v>1925</v>
      </c>
      <c r="M24" s="45">
        <v>1925</v>
      </c>
      <c r="N24" s="44">
        <f t="shared" si="3"/>
        <v>1925</v>
      </c>
      <c r="O24" s="46">
        <v>1999</v>
      </c>
      <c r="P24" s="45">
        <v>1999</v>
      </c>
      <c r="Q24" s="44">
        <f t="shared" si="4"/>
        <v>1999</v>
      </c>
      <c r="R24" s="52">
        <v>1735.5</v>
      </c>
      <c r="S24" s="51">
        <v>1.3139000000000001</v>
      </c>
      <c r="T24" s="51">
        <v>1.1843999999999999</v>
      </c>
      <c r="U24" s="50">
        <v>105.75</v>
      </c>
      <c r="V24" s="43">
        <v>1320.88</v>
      </c>
      <c r="W24" s="43">
        <v>1351.08</v>
      </c>
      <c r="X24" s="49">
        <f t="shared" si="5"/>
        <v>1465.2988855116516</v>
      </c>
      <c r="Y24" s="48">
        <v>1.3145</v>
      </c>
    </row>
    <row r="25" spans="2:25" x14ac:dyDescent="0.2">
      <c r="B25" s="47">
        <v>44068</v>
      </c>
      <c r="C25" s="46">
        <v>1733</v>
      </c>
      <c r="D25" s="45">
        <v>1733</v>
      </c>
      <c r="E25" s="44">
        <f t="shared" si="0"/>
        <v>1733</v>
      </c>
      <c r="F25" s="46">
        <v>1773.5</v>
      </c>
      <c r="G25" s="45">
        <v>1773.5</v>
      </c>
      <c r="H25" s="44">
        <f t="shared" si="1"/>
        <v>1773.5</v>
      </c>
      <c r="I25" s="46">
        <v>1850.5</v>
      </c>
      <c r="J25" s="45">
        <v>1850.5</v>
      </c>
      <c r="K25" s="44">
        <f t="shared" si="2"/>
        <v>1850.5</v>
      </c>
      <c r="L25" s="46">
        <v>1921.5</v>
      </c>
      <c r="M25" s="45">
        <v>1921.5</v>
      </c>
      <c r="N25" s="44">
        <f t="shared" si="3"/>
        <v>1921.5</v>
      </c>
      <c r="O25" s="46">
        <v>1995.5</v>
      </c>
      <c r="P25" s="45">
        <v>1995.5</v>
      </c>
      <c r="Q25" s="44">
        <f t="shared" si="4"/>
        <v>1995.5</v>
      </c>
      <c r="R25" s="52">
        <v>1733</v>
      </c>
      <c r="S25" s="51">
        <v>1.3134999999999999</v>
      </c>
      <c r="T25" s="51">
        <v>1.1813</v>
      </c>
      <c r="U25" s="50">
        <v>106.43</v>
      </c>
      <c r="V25" s="43">
        <v>1319.38</v>
      </c>
      <c r="W25" s="43">
        <v>1349.59</v>
      </c>
      <c r="X25" s="49">
        <f t="shared" si="5"/>
        <v>1467.0278506729874</v>
      </c>
      <c r="Y25" s="48">
        <v>1.3141</v>
      </c>
    </row>
    <row r="26" spans="2:25" x14ac:dyDescent="0.2">
      <c r="B26" s="47">
        <v>44069</v>
      </c>
      <c r="C26" s="46">
        <v>1737</v>
      </c>
      <c r="D26" s="45">
        <v>1737</v>
      </c>
      <c r="E26" s="44">
        <f t="shared" si="0"/>
        <v>1737</v>
      </c>
      <c r="F26" s="46">
        <v>1779</v>
      </c>
      <c r="G26" s="45">
        <v>1779</v>
      </c>
      <c r="H26" s="44">
        <f t="shared" si="1"/>
        <v>1779</v>
      </c>
      <c r="I26" s="46">
        <v>1855</v>
      </c>
      <c r="J26" s="45">
        <v>1855</v>
      </c>
      <c r="K26" s="44">
        <f t="shared" si="2"/>
        <v>1855</v>
      </c>
      <c r="L26" s="46">
        <v>1926.5</v>
      </c>
      <c r="M26" s="45">
        <v>1926.5</v>
      </c>
      <c r="N26" s="44">
        <f t="shared" si="3"/>
        <v>1926.5</v>
      </c>
      <c r="O26" s="46">
        <v>2000.5</v>
      </c>
      <c r="P26" s="45">
        <v>2000.5</v>
      </c>
      <c r="Q26" s="44">
        <f t="shared" si="4"/>
        <v>2000.5</v>
      </c>
      <c r="R26" s="52">
        <v>1737</v>
      </c>
      <c r="S26" s="51">
        <v>1.3144</v>
      </c>
      <c r="T26" s="51">
        <v>1.1796</v>
      </c>
      <c r="U26" s="50">
        <v>106.32</v>
      </c>
      <c r="V26" s="43">
        <v>1321.52</v>
      </c>
      <c r="W26" s="43">
        <v>1352.85</v>
      </c>
      <c r="X26" s="49">
        <f t="shared" si="5"/>
        <v>1472.5330620549339</v>
      </c>
      <c r="Y26" s="48">
        <v>1.3149999999999999</v>
      </c>
    </row>
    <row r="27" spans="2:25" x14ac:dyDescent="0.2">
      <c r="B27" s="47">
        <v>44070</v>
      </c>
      <c r="C27" s="46">
        <v>1738</v>
      </c>
      <c r="D27" s="45">
        <v>1738</v>
      </c>
      <c r="E27" s="44">
        <f t="shared" si="0"/>
        <v>1738</v>
      </c>
      <c r="F27" s="46">
        <v>1776.5</v>
      </c>
      <c r="G27" s="45">
        <v>1776.5</v>
      </c>
      <c r="H27" s="44">
        <f t="shared" si="1"/>
        <v>1776.5</v>
      </c>
      <c r="I27" s="46">
        <v>1852.5</v>
      </c>
      <c r="J27" s="45">
        <v>1852.5</v>
      </c>
      <c r="K27" s="44">
        <f t="shared" si="2"/>
        <v>1852.5</v>
      </c>
      <c r="L27" s="46">
        <v>1924.5</v>
      </c>
      <c r="M27" s="45">
        <v>1924.5</v>
      </c>
      <c r="N27" s="44">
        <f t="shared" si="3"/>
        <v>1924.5</v>
      </c>
      <c r="O27" s="46">
        <v>1998.5</v>
      </c>
      <c r="P27" s="45">
        <v>1998.5</v>
      </c>
      <c r="Q27" s="44">
        <f t="shared" si="4"/>
        <v>1998.5</v>
      </c>
      <c r="R27" s="52">
        <v>1738</v>
      </c>
      <c r="S27" s="51">
        <v>1.3199000000000001</v>
      </c>
      <c r="T27" s="51">
        <v>1.1814</v>
      </c>
      <c r="U27" s="50">
        <v>106.08</v>
      </c>
      <c r="V27" s="43">
        <v>1316.77</v>
      </c>
      <c r="W27" s="43">
        <v>1345.32</v>
      </c>
      <c r="X27" s="49">
        <f t="shared" si="5"/>
        <v>1471.1359404096834</v>
      </c>
      <c r="Y27" s="48">
        <v>1.3205</v>
      </c>
    </row>
    <row r="28" spans="2:25" x14ac:dyDescent="0.2">
      <c r="B28" s="47">
        <v>44071</v>
      </c>
      <c r="C28" s="46">
        <v>1762</v>
      </c>
      <c r="D28" s="45">
        <v>1762</v>
      </c>
      <c r="E28" s="44">
        <f t="shared" si="0"/>
        <v>1762</v>
      </c>
      <c r="F28" s="46">
        <v>1797.5</v>
      </c>
      <c r="G28" s="45">
        <v>1797.5</v>
      </c>
      <c r="H28" s="44">
        <f t="shared" si="1"/>
        <v>1797.5</v>
      </c>
      <c r="I28" s="46">
        <v>1875.5</v>
      </c>
      <c r="J28" s="45">
        <v>1875.5</v>
      </c>
      <c r="K28" s="44">
        <f t="shared" si="2"/>
        <v>1875.5</v>
      </c>
      <c r="L28" s="46">
        <v>1948</v>
      </c>
      <c r="M28" s="45">
        <v>1948</v>
      </c>
      <c r="N28" s="44">
        <f t="shared" si="3"/>
        <v>1948</v>
      </c>
      <c r="O28" s="46">
        <v>2022</v>
      </c>
      <c r="P28" s="45">
        <v>2022</v>
      </c>
      <c r="Q28" s="44">
        <f t="shared" si="4"/>
        <v>2022</v>
      </c>
      <c r="R28" s="52">
        <v>1762</v>
      </c>
      <c r="S28" s="51">
        <v>1.3310999999999999</v>
      </c>
      <c r="T28" s="51">
        <v>1.1912</v>
      </c>
      <c r="U28" s="50">
        <v>105.36</v>
      </c>
      <c r="V28" s="43">
        <v>1323.72</v>
      </c>
      <c r="W28" s="43">
        <v>1349.78</v>
      </c>
      <c r="X28" s="49">
        <f t="shared" si="5"/>
        <v>1479.1806581598387</v>
      </c>
      <c r="Y28" s="48">
        <v>1.3317000000000001</v>
      </c>
    </row>
    <row r="29" spans="2:25" s="10" customFormat="1" x14ac:dyDescent="0.2">
      <c r="B29" s="42" t="s">
        <v>11</v>
      </c>
      <c r="C29" s="41">
        <f>ROUND(AVERAGE(C9:C28),2)</f>
        <v>1733.9</v>
      </c>
      <c r="D29" s="40">
        <f>ROUND(AVERAGE(D9:D28),2)</f>
        <v>1733.9</v>
      </c>
      <c r="E29" s="39">
        <f>ROUND(AVERAGE(C29:D29),2)</f>
        <v>1733.9</v>
      </c>
      <c r="F29" s="41">
        <f>ROUND(AVERAGE(F9:F28),2)</f>
        <v>1771.55</v>
      </c>
      <c r="G29" s="40">
        <f>ROUND(AVERAGE(G9:G28),2)</f>
        <v>1771.55</v>
      </c>
      <c r="H29" s="39">
        <f>ROUND(AVERAGE(F29:G29),2)</f>
        <v>1771.55</v>
      </c>
      <c r="I29" s="41">
        <f>ROUND(AVERAGE(I9:I28),2)</f>
        <v>1848.28</v>
      </c>
      <c r="J29" s="40">
        <f>ROUND(AVERAGE(J9:J28),2)</f>
        <v>1848.28</v>
      </c>
      <c r="K29" s="39">
        <f>ROUND(AVERAGE(I29:J29),2)</f>
        <v>1848.28</v>
      </c>
      <c r="L29" s="41">
        <f>ROUND(AVERAGE(L9:L28),2)</f>
        <v>1920.35</v>
      </c>
      <c r="M29" s="40">
        <f>ROUND(AVERAGE(M9:M28),2)</f>
        <v>1920.35</v>
      </c>
      <c r="N29" s="39">
        <f>ROUND(AVERAGE(L29:M29),2)</f>
        <v>1920.35</v>
      </c>
      <c r="O29" s="41">
        <f>ROUND(AVERAGE(O9:O28),2)</f>
        <v>1994.35</v>
      </c>
      <c r="P29" s="40">
        <f>ROUND(AVERAGE(P9:P28),2)</f>
        <v>1994.35</v>
      </c>
      <c r="Q29" s="39">
        <f>ROUND(AVERAGE(O29:P29),2)</f>
        <v>1994.35</v>
      </c>
      <c r="R29" s="38">
        <f>ROUND(AVERAGE(R9:R28),2)</f>
        <v>1733.9</v>
      </c>
      <c r="S29" s="37">
        <f>ROUND(AVERAGE(S9:S28),4)</f>
        <v>1.3123</v>
      </c>
      <c r="T29" s="36">
        <f>ROUND(AVERAGE(T9:T28),4)</f>
        <v>1.1822999999999999</v>
      </c>
      <c r="U29" s="175">
        <f>ROUND(AVERAGE(U9:U28),2)</f>
        <v>106.02</v>
      </c>
      <c r="V29" s="35">
        <f>AVERAGE(V9:V28)</f>
        <v>1321.2495000000004</v>
      </c>
      <c r="W29" s="35">
        <f>AVERAGE(W9:W28)</f>
        <v>1349.3569999999997</v>
      </c>
      <c r="X29" s="35">
        <f>AVERAGE(X9:X28)</f>
        <v>1466.5751140469899</v>
      </c>
      <c r="Y29" s="34">
        <f>AVERAGE(Y9:Y28)</f>
        <v>1.3128849499999999</v>
      </c>
    </row>
    <row r="30" spans="2:25" s="5" customFormat="1" x14ac:dyDescent="0.2">
      <c r="B30" s="33" t="s">
        <v>12</v>
      </c>
      <c r="C30" s="32">
        <f t="shared" ref="C30:Y30" si="6">MAX(C9:C28)</f>
        <v>1762</v>
      </c>
      <c r="D30" s="31">
        <f t="shared" si="6"/>
        <v>1762</v>
      </c>
      <c r="E30" s="30">
        <f t="shared" si="6"/>
        <v>1762</v>
      </c>
      <c r="F30" s="32">
        <f t="shared" si="6"/>
        <v>1797.5</v>
      </c>
      <c r="G30" s="31">
        <f t="shared" si="6"/>
        <v>1797.5</v>
      </c>
      <c r="H30" s="30">
        <f t="shared" si="6"/>
        <v>1797.5</v>
      </c>
      <c r="I30" s="32">
        <f t="shared" si="6"/>
        <v>1875.5</v>
      </c>
      <c r="J30" s="31">
        <f t="shared" si="6"/>
        <v>1875.5</v>
      </c>
      <c r="K30" s="30">
        <f t="shared" si="6"/>
        <v>1875.5</v>
      </c>
      <c r="L30" s="32">
        <f t="shared" si="6"/>
        <v>1948</v>
      </c>
      <c r="M30" s="31">
        <f t="shared" si="6"/>
        <v>1948</v>
      </c>
      <c r="N30" s="30">
        <f t="shared" si="6"/>
        <v>1948</v>
      </c>
      <c r="O30" s="32">
        <f t="shared" si="6"/>
        <v>2022</v>
      </c>
      <c r="P30" s="31">
        <f t="shared" si="6"/>
        <v>2022</v>
      </c>
      <c r="Q30" s="30">
        <f t="shared" si="6"/>
        <v>2022</v>
      </c>
      <c r="R30" s="29">
        <f t="shared" si="6"/>
        <v>1762</v>
      </c>
      <c r="S30" s="28">
        <f t="shared" si="6"/>
        <v>1.3310999999999999</v>
      </c>
      <c r="T30" s="27">
        <f t="shared" si="6"/>
        <v>1.1935</v>
      </c>
      <c r="U30" s="26">
        <f t="shared" si="6"/>
        <v>106.97</v>
      </c>
      <c r="V30" s="25">
        <f t="shared" si="6"/>
        <v>1347.47</v>
      </c>
      <c r="W30" s="25">
        <f t="shared" si="6"/>
        <v>1374.21</v>
      </c>
      <c r="X30" s="25">
        <f t="shared" si="6"/>
        <v>1490.6093311804198</v>
      </c>
      <c r="Y30" s="24">
        <f t="shared" si="6"/>
        <v>1.3317000000000001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1679.5</v>
      </c>
      <c r="D31" s="21">
        <f t="shared" si="7"/>
        <v>1679.5</v>
      </c>
      <c r="E31" s="20">
        <f t="shared" si="7"/>
        <v>1679.5</v>
      </c>
      <c r="F31" s="22">
        <f t="shared" si="7"/>
        <v>1718.5</v>
      </c>
      <c r="G31" s="21">
        <f t="shared" si="7"/>
        <v>1718.5</v>
      </c>
      <c r="H31" s="20">
        <f t="shared" si="7"/>
        <v>1718.5</v>
      </c>
      <c r="I31" s="22">
        <f t="shared" si="7"/>
        <v>1796</v>
      </c>
      <c r="J31" s="21">
        <f t="shared" si="7"/>
        <v>1796</v>
      </c>
      <c r="K31" s="20">
        <f t="shared" si="7"/>
        <v>1796</v>
      </c>
      <c r="L31" s="22">
        <f t="shared" si="7"/>
        <v>1867</v>
      </c>
      <c r="M31" s="21">
        <f t="shared" si="7"/>
        <v>1867</v>
      </c>
      <c r="N31" s="20">
        <f t="shared" si="7"/>
        <v>1867</v>
      </c>
      <c r="O31" s="22">
        <f t="shared" si="7"/>
        <v>1941</v>
      </c>
      <c r="P31" s="21">
        <f t="shared" si="7"/>
        <v>1941</v>
      </c>
      <c r="Q31" s="20">
        <f t="shared" si="7"/>
        <v>1941</v>
      </c>
      <c r="R31" s="19">
        <f t="shared" si="7"/>
        <v>1679.5</v>
      </c>
      <c r="S31" s="18">
        <f t="shared" si="7"/>
        <v>1.3017000000000001</v>
      </c>
      <c r="T31" s="17">
        <f t="shared" si="7"/>
        <v>1.1726000000000001</v>
      </c>
      <c r="U31" s="16">
        <f t="shared" si="7"/>
        <v>105.27</v>
      </c>
      <c r="V31" s="15">
        <f t="shared" si="7"/>
        <v>1288.75</v>
      </c>
      <c r="W31" s="15">
        <f t="shared" si="7"/>
        <v>1318.07</v>
      </c>
      <c r="X31" s="15">
        <f t="shared" si="7"/>
        <v>1432.2872249701518</v>
      </c>
      <c r="Y31" s="14">
        <f t="shared" si="7"/>
        <v>1.3022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44046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44046</v>
      </c>
      <c r="C9" s="46">
        <v>2286</v>
      </c>
      <c r="D9" s="45">
        <v>2286</v>
      </c>
      <c r="E9" s="44">
        <f t="shared" ref="E9:E28" si="0">AVERAGE(C9:D9)</f>
        <v>2286</v>
      </c>
      <c r="F9" s="46">
        <v>2297.5</v>
      </c>
      <c r="G9" s="45">
        <v>2297.5</v>
      </c>
      <c r="H9" s="44">
        <f t="shared" ref="H9:H28" si="1">AVERAGE(F9:G9)</f>
        <v>2297.5</v>
      </c>
      <c r="I9" s="46">
        <v>2331</v>
      </c>
      <c r="J9" s="45">
        <v>2331</v>
      </c>
      <c r="K9" s="44">
        <f t="shared" ref="K9:K28" si="2">AVERAGE(I9:J9)</f>
        <v>2331</v>
      </c>
      <c r="L9" s="46">
        <v>2358</v>
      </c>
      <c r="M9" s="45">
        <v>2358</v>
      </c>
      <c r="N9" s="44">
        <f t="shared" ref="N9:N28" si="3">AVERAGE(L9:M9)</f>
        <v>2358</v>
      </c>
      <c r="O9" s="46">
        <v>2365.5</v>
      </c>
      <c r="P9" s="45">
        <v>2365.5</v>
      </c>
      <c r="Q9" s="44">
        <f t="shared" ref="Q9:Q28" si="4">AVERAGE(O9:P9)</f>
        <v>2365.5</v>
      </c>
      <c r="R9" s="52">
        <v>2286</v>
      </c>
      <c r="S9" s="51">
        <v>1.3031999999999999</v>
      </c>
      <c r="T9" s="53">
        <v>1.1726000000000001</v>
      </c>
      <c r="U9" s="50">
        <v>106.21</v>
      </c>
      <c r="V9" s="43">
        <v>1754.14</v>
      </c>
      <c r="W9" s="43">
        <v>1762.16</v>
      </c>
      <c r="X9" s="49">
        <f t="shared" ref="X9:X28" si="5">R9/T9</f>
        <v>1949.5139007334128</v>
      </c>
      <c r="Y9" s="48">
        <v>1.3038000000000001</v>
      </c>
    </row>
    <row r="10" spans="1:25" x14ac:dyDescent="0.2">
      <c r="B10" s="47">
        <v>44047</v>
      </c>
      <c r="C10" s="46">
        <v>2304</v>
      </c>
      <c r="D10" s="45">
        <v>2304</v>
      </c>
      <c r="E10" s="44">
        <f t="shared" si="0"/>
        <v>2304</v>
      </c>
      <c r="F10" s="46">
        <v>2315.5</v>
      </c>
      <c r="G10" s="45">
        <v>2315.5</v>
      </c>
      <c r="H10" s="44">
        <f t="shared" si="1"/>
        <v>2315.5</v>
      </c>
      <c r="I10" s="46">
        <v>2348</v>
      </c>
      <c r="J10" s="45">
        <v>2348</v>
      </c>
      <c r="K10" s="44">
        <f t="shared" si="2"/>
        <v>2348</v>
      </c>
      <c r="L10" s="46">
        <v>2372</v>
      </c>
      <c r="M10" s="45">
        <v>2372</v>
      </c>
      <c r="N10" s="44">
        <f t="shared" si="3"/>
        <v>2372</v>
      </c>
      <c r="O10" s="46">
        <v>2379.5</v>
      </c>
      <c r="P10" s="45">
        <v>2379.5</v>
      </c>
      <c r="Q10" s="44">
        <f t="shared" si="4"/>
        <v>2379.5</v>
      </c>
      <c r="R10" s="52">
        <v>2304</v>
      </c>
      <c r="S10" s="51">
        <v>1.3025</v>
      </c>
      <c r="T10" s="51">
        <v>1.1760999999999999</v>
      </c>
      <c r="U10" s="50">
        <v>106.12</v>
      </c>
      <c r="V10" s="43">
        <v>1768.91</v>
      </c>
      <c r="W10" s="43">
        <v>1777.05</v>
      </c>
      <c r="X10" s="49">
        <f t="shared" si="5"/>
        <v>1959.017090383471</v>
      </c>
      <c r="Y10" s="48">
        <v>1.3029999999999999</v>
      </c>
    </row>
    <row r="11" spans="1:25" x14ac:dyDescent="0.2">
      <c r="B11" s="47">
        <v>44048</v>
      </c>
      <c r="C11" s="46">
        <v>2370</v>
      </c>
      <c r="D11" s="45">
        <v>2370</v>
      </c>
      <c r="E11" s="44">
        <f t="shared" si="0"/>
        <v>2370</v>
      </c>
      <c r="F11" s="46">
        <v>2381.5</v>
      </c>
      <c r="G11" s="45">
        <v>2381.5</v>
      </c>
      <c r="H11" s="44">
        <f t="shared" si="1"/>
        <v>2381.5</v>
      </c>
      <c r="I11" s="46">
        <v>2415.5</v>
      </c>
      <c r="J11" s="45">
        <v>2415.5</v>
      </c>
      <c r="K11" s="44">
        <f t="shared" si="2"/>
        <v>2415.5</v>
      </c>
      <c r="L11" s="46">
        <v>2439.5</v>
      </c>
      <c r="M11" s="45">
        <v>2439.5</v>
      </c>
      <c r="N11" s="44">
        <f t="shared" si="3"/>
        <v>2439.5</v>
      </c>
      <c r="O11" s="46">
        <v>2447</v>
      </c>
      <c r="P11" s="45">
        <v>2447</v>
      </c>
      <c r="Q11" s="44">
        <f t="shared" si="4"/>
        <v>2447</v>
      </c>
      <c r="R11" s="52">
        <v>2370</v>
      </c>
      <c r="S11" s="51">
        <v>1.3142</v>
      </c>
      <c r="T11" s="51">
        <v>1.1855</v>
      </c>
      <c r="U11" s="50">
        <v>105.73</v>
      </c>
      <c r="V11" s="43">
        <v>1803.38</v>
      </c>
      <c r="W11" s="43">
        <v>1811.44</v>
      </c>
      <c r="X11" s="49">
        <f t="shared" si="5"/>
        <v>1999.1564740615775</v>
      </c>
      <c r="Y11" s="48">
        <v>1.3147</v>
      </c>
    </row>
    <row r="12" spans="1:25" x14ac:dyDescent="0.2">
      <c r="B12" s="47">
        <v>44049</v>
      </c>
      <c r="C12" s="46">
        <v>2377.5</v>
      </c>
      <c r="D12" s="45">
        <v>2377.5</v>
      </c>
      <c r="E12" s="44">
        <f t="shared" si="0"/>
        <v>2377.5</v>
      </c>
      <c r="F12" s="46">
        <v>2390</v>
      </c>
      <c r="G12" s="45">
        <v>2390</v>
      </c>
      <c r="H12" s="44">
        <f t="shared" si="1"/>
        <v>2390</v>
      </c>
      <c r="I12" s="46">
        <v>2425</v>
      </c>
      <c r="J12" s="45">
        <v>2425</v>
      </c>
      <c r="K12" s="44">
        <f t="shared" si="2"/>
        <v>2425</v>
      </c>
      <c r="L12" s="46">
        <v>2451</v>
      </c>
      <c r="M12" s="45">
        <v>2451</v>
      </c>
      <c r="N12" s="44">
        <f t="shared" si="3"/>
        <v>2451</v>
      </c>
      <c r="O12" s="46">
        <v>2458.5</v>
      </c>
      <c r="P12" s="45">
        <v>2458.5</v>
      </c>
      <c r="Q12" s="44">
        <f t="shared" si="4"/>
        <v>2458.5</v>
      </c>
      <c r="R12" s="52">
        <v>2377.5</v>
      </c>
      <c r="S12" s="51">
        <v>1.3164</v>
      </c>
      <c r="T12" s="51">
        <v>1.1847000000000001</v>
      </c>
      <c r="U12" s="50">
        <v>105.41</v>
      </c>
      <c r="V12" s="43">
        <v>1806.06</v>
      </c>
      <c r="W12" s="43">
        <v>1814.87</v>
      </c>
      <c r="X12" s="49">
        <f t="shared" si="5"/>
        <v>2006.8371739680931</v>
      </c>
      <c r="Y12" s="48">
        <v>1.3169</v>
      </c>
    </row>
    <row r="13" spans="1:25" x14ac:dyDescent="0.2">
      <c r="B13" s="47">
        <v>44050</v>
      </c>
      <c r="C13" s="46">
        <v>2393</v>
      </c>
      <c r="D13" s="45">
        <v>2393</v>
      </c>
      <c r="E13" s="44">
        <f t="shared" si="0"/>
        <v>2393</v>
      </c>
      <c r="F13" s="46">
        <v>2410</v>
      </c>
      <c r="G13" s="45">
        <v>2410</v>
      </c>
      <c r="H13" s="44">
        <f t="shared" si="1"/>
        <v>2410</v>
      </c>
      <c r="I13" s="46">
        <v>2449</v>
      </c>
      <c r="J13" s="45">
        <v>2449</v>
      </c>
      <c r="K13" s="44">
        <f t="shared" si="2"/>
        <v>2449</v>
      </c>
      <c r="L13" s="46">
        <v>2475</v>
      </c>
      <c r="M13" s="45">
        <v>2475</v>
      </c>
      <c r="N13" s="44">
        <f t="shared" si="3"/>
        <v>2475</v>
      </c>
      <c r="O13" s="46">
        <v>2482.5</v>
      </c>
      <c r="P13" s="45">
        <v>2482.5</v>
      </c>
      <c r="Q13" s="44">
        <f t="shared" si="4"/>
        <v>2482.5</v>
      </c>
      <c r="R13" s="52">
        <v>2393</v>
      </c>
      <c r="S13" s="51">
        <v>1.3078000000000001</v>
      </c>
      <c r="T13" s="51">
        <v>1.1818</v>
      </c>
      <c r="U13" s="50">
        <v>105.64</v>
      </c>
      <c r="V13" s="43">
        <v>1829.79</v>
      </c>
      <c r="W13" s="43">
        <v>1842.09</v>
      </c>
      <c r="X13" s="49">
        <f t="shared" si="5"/>
        <v>2024.8773058047047</v>
      </c>
      <c r="Y13" s="48">
        <v>1.3083</v>
      </c>
    </row>
    <row r="14" spans="1:25" x14ac:dyDescent="0.2">
      <c r="B14" s="47">
        <v>44053</v>
      </c>
      <c r="C14" s="46">
        <v>2368.5</v>
      </c>
      <c r="D14" s="45">
        <v>2368.5</v>
      </c>
      <c r="E14" s="44">
        <f t="shared" si="0"/>
        <v>2368.5</v>
      </c>
      <c r="F14" s="46">
        <v>2380</v>
      </c>
      <c r="G14" s="45">
        <v>2380</v>
      </c>
      <c r="H14" s="44">
        <f t="shared" si="1"/>
        <v>2380</v>
      </c>
      <c r="I14" s="46">
        <v>2420</v>
      </c>
      <c r="J14" s="45">
        <v>2420</v>
      </c>
      <c r="K14" s="44">
        <f t="shared" si="2"/>
        <v>2420</v>
      </c>
      <c r="L14" s="46">
        <v>2446</v>
      </c>
      <c r="M14" s="45">
        <v>2446</v>
      </c>
      <c r="N14" s="44">
        <f t="shared" si="3"/>
        <v>2446</v>
      </c>
      <c r="O14" s="46">
        <v>2453.5</v>
      </c>
      <c r="P14" s="45">
        <v>2453.5</v>
      </c>
      <c r="Q14" s="44">
        <f t="shared" si="4"/>
        <v>2453.5</v>
      </c>
      <c r="R14" s="52">
        <v>2368.5</v>
      </c>
      <c r="S14" s="51">
        <v>1.3038000000000001</v>
      </c>
      <c r="T14" s="51">
        <v>1.1754</v>
      </c>
      <c r="U14" s="50">
        <v>106.14</v>
      </c>
      <c r="V14" s="43">
        <v>1816.61</v>
      </c>
      <c r="W14" s="43">
        <v>1824.73</v>
      </c>
      <c r="X14" s="49">
        <f t="shared" si="5"/>
        <v>2015.0587034201124</v>
      </c>
      <c r="Y14" s="48">
        <v>1.3043</v>
      </c>
    </row>
    <row r="15" spans="1:25" x14ac:dyDescent="0.2">
      <c r="B15" s="47">
        <v>44054</v>
      </c>
      <c r="C15" s="46">
        <v>2371</v>
      </c>
      <c r="D15" s="45">
        <v>2371</v>
      </c>
      <c r="E15" s="44">
        <f t="shared" si="0"/>
        <v>2371</v>
      </c>
      <c r="F15" s="46">
        <v>2388.5</v>
      </c>
      <c r="G15" s="45">
        <v>2388.5</v>
      </c>
      <c r="H15" s="44">
        <f t="shared" si="1"/>
        <v>2388.5</v>
      </c>
      <c r="I15" s="46">
        <v>2429</v>
      </c>
      <c r="J15" s="45">
        <v>2429</v>
      </c>
      <c r="K15" s="44">
        <f t="shared" si="2"/>
        <v>2429</v>
      </c>
      <c r="L15" s="46">
        <v>2455</v>
      </c>
      <c r="M15" s="45">
        <v>2455</v>
      </c>
      <c r="N15" s="44">
        <f t="shared" si="3"/>
        <v>2455</v>
      </c>
      <c r="O15" s="46">
        <v>2462.5</v>
      </c>
      <c r="P15" s="45">
        <v>2462.5</v>
      </c>
      <c r="Q15" s="44">
        <f t="shared" si="4"/>
        <v>2462.5</v>
      </c>
      <c r="R15" s="52">
        <v>2371</v>
      </c>
      <c r="S15" s="51">
        <v>1.3116000000000001</v>
      </c>
      <c r="T15" s="51">
        <v>1.1779999999999999</v>
      </c>
      <c r="U15" s="50">
        <v>106.04</v>
      </c>
      <c r="V15" s="43">
        <v>1807.72</v>
      </c>
      <c r="W15" s="43">
        <v>1820.36</v>
      </c>
      <c r="X15" s="49">
        <f t="shared" si="5"/>
        <v>2012.7334465195247</v>
      </c>
      <c r="Y15" s="48">
        <v>1.3121</v>
      </c>
    </row>
    <row r="16" spans="1:25" x14ac:dyDescent="0.2">
      <c r="B16" s="47">
        <v>44055</v>
      </c>
      <c r="C16" s="46">
        <v>2377</v>
      </c>
      <c r="D16" s="45">
        <v>2377</v>
      </c>
      <c r="E16" s="44">
        <f t="shared" si="0"/>
        <v>2377</v>
      </c>
      <c r="F16" s="46">
        <v>2394.5</v>
      </c>
      <c r="G16" s="45">
        <v>2394.5</v>
      </c>
      <c r="H16" s="44">
        <f t="shared" si="1"/>
        <v>2394.5</v>
      </c>
      <c r="I16" s="46">
        <v>2433.5</v>
      </c>
      <c r="J16" s="45">
        <v>2433.5</v>
      </c>
      <c r="K16" s="44">
        <f t="shared" si="2"/>
        <v>2433.5</v>
      </c>
      <c r="L16" s="46">
        <v>2459.5</v>
      </c>
      <c r="M16" s="45">
        <v>2459.5</v>
      </c>
      <c r="N16" s="44">
        <f t="shared" si="3"/>
        <v>2459.5</v>
      </c>
      <c r="O16" s="46">
        <v>2467</v>
      </c>
      <c r="P16" s="45">
        <v>2467</v>
      </c>
      <c r="Q16" s="44">
        <f t="shared" si="4"/>
        <v>2467</v>
      </c>
      <c r="R16" s="52">
        <v>2377</v>
      </c>
      <c r="S16" s="51">
        <v>1.3017000000000001</v>
      </c>
      <c r="T16" s="51">
        <v>1.1767000000000001</v>
      </c>
      <c r="U16" s="50">
        <v>106.95</v>
      </c>
      <c r="V16" s="43">
        <v>1826.07</v>
      </c>
      <c r="W16" s="43">
        <v>1838.81</v>
      </c>
      <c r="X16" s="49">
        <f t="shared" si="5"/>
        <v>2020.0560890626327</v>
      </c>
      <c r="Y16" s="48">
        <v>1.3022</v>
      </c>
    </row>
    <row r="17" spans="2:25" x14ac:dyDescent="0.2">
      <c r="B17" s="47">
        <v>44056</v>
      </c>
      <c r="C17" s="46">
        <v>2362.5</v>
      </c>
      <c r="D17" s="45">
        <v>2362.5</v>
      </c>
      <c r="E17" s="44">
        <f t="shared" si="0"/>
        <v>2362.5</v>
      </c>
      <c r="F17" s="46">
        <v>2382.5</v>
      </c>
      <c r="G17" s="45">
        <v>2382.5</v>
      </c>
      <c r="H17" s="44">
        <f t="shared" si="1"/>
        <v>2382.5</v>
      </c>
      <c r="I17" s="46">
        <v>2422.5</v>
      </c>
      <c r="J17" s="45">
        <v>2422.5</v>
      </c>
      <c r="K17" s="44">
        <f t="shared" si="2"/>
        <v>2422.5</v>
      </c>
      <c r="L17" s="46">
        <v>2448.5</v>
      </c>
      <c r="M17" s="45">
        <v>2448.5</v>
      </c>
      <c r="N17" s="44">
        <f t="shared" si="3"/>
        <v>2448.5</v>
      </c>
      <c r="O17" s="46">
        <v>2456</v>
      </c>
      <c r="P17" s="45">
        <v>2456</v>
      </c>
      <c r="Q17" s="44">
        <f t="shared" si="4"/>
        <v>2456</v>
      </c>
      <c r="R17" s="52">
        <v>2362.5</v>
      </c>
      <c r="S17" s="51">
        <v>1.3095000000000001</v>
      </c>
      <c r="T17" s="51">
        <v>1.1837</v>
      </c>
      <c r="U17" s="50">
        <v>106.97</v>
      </c>
      <c r="V17" s="43">
        <v>1804.12</v>
      </c>
      <c r="W17" s="43">
        <v>1818.56</v>
      </c>
      <c r="X17" s="49">
        <f t="shared" si="5"/>
        <v>1995.8604376108813</v>
      </c>
      <c r="Y17" s="48">
        <v>1.3101</v>
      </c>
    </row>
    <row r="18" spans="2:25" x14ac:dyDescent="0.2">
      <c r="B18" s="47">
        <v>44057</v>
      </c>
      <c r="C18" s="46">
        <v>2360</v>
      </c>
      <c r="D18" s="45">
        <v>2360</v>
      </c>
      <c r="E18" s="44">
        <f t="shared" si="0"/>
        <v>2360</v>
      </c>
      <c r="F18" s="46">
        <v>2379.5</v>
      </c>
      <c r="G18" s="45">
        <v>2379.5</v>
      </c>
      <c r="H18" s="44">
        <f t="shared" si="1"/>
        <v>2379.5</v>
      </c>
      <c r="I18" s="46">
        <v>2417.5</v>
      </c>
      <c r="J18" s="45">
        <v>2417.5</v>
      </c>
      <c r="K18" s="44">
        <f t="shared" si="2"/>
        <v>2417.5</v>
      </c>
      <c r="L18" s="46">
        <v>2443.5</v>
      </c>
      <c r="M18" s="45">
        <v>2443.5</v>
      </c>
      <c r="N18" s="44">
        <f t="shared" si="3"/>
        <v>2443.5</v>
      </c>
      <c r="O18" s="46">
        <v>2451</v>
      </c>
      <c r="P18" s="45">
        <v>2451</v>
      </c>
      <c r="Q18" s="44">
        <f t="shared" si="4"/>
        <v>2451</v>
      </c>
      <c r="R18" s="52">
        <v>2360</v>
      </c>
      <c r="S18" s="51">
        <v>1.3104</v>
      </c>
      <c r="T18" s="51">
        <v>1.1809000000000001</v>
      </c>
      <c r="U18" s="50">
        <v>106.68</v>
      </c>
      <c r="V18" s="43">
        <v>1800.98</v>
      </c>
      <c r="W18" s="43">
        <v>1815.03</v>
      </c>
      <c r="X18" s="49">
        <f t="shared" si="5"/>
        <v>1998.4757388432549</v>
      </c>
      <c r="Y18" s="48">
        <v>1.3109999999999999</v>
      </c>
    </row>
    <row r="19" spans="2:25" x14ac:dyDescent="0.2">
      <c r="B19" s="47">
        <v>44060</v>
      </c>
      <c r="C19" s="46">
        <v>2403</v>
      </c>
      <c r="D19" s="45">
        <v>2403</v>
      </c>
      <c r="E19" s="44">
        <f t="shared" si="0"/>
        <v>2403</v>
      </c>
      <c r="F19" s="46">
        <v>2423.5</v>
      </c>
      <c r="G19" s="45">
        <v>2423.5</v>
      </c>
      <c r="H19" s="44">
        <f t="shared" si="1"/>
        <v>2423.5</v>
      </c>
      <c r="I19" s="46">
        <v>2456.5</v>
      </c>
      <c r="J19" s="45">
        <v>2456.5</v>
      </c>
      <c r="K19" s="44">
        <f t="shared" si="2"/>
        <v>2456.5</v>
      </c>
      <c r="L19" s="46">
        <v>2482.5</v>
      </c>
      <c r="M19" s="45">
        <v>2482.5</v>
      </c>
      <c r="N19" s="44">
        <f t="shared" si="3"/>
        <v>2482.5</v>
      </c>
      <c r="O19" s="46">
        <v>2490</v>
      </c>
      <c r="P19" s="45">
        <v>2490</v>
      </c>
      <c r="Q19" s="44">
        <f t="shared" si="4"/>
        <v>2490</v>
      </c>
      <c r="R19" s="52">
        <v>2403</v>
      </c>
      <c r="S19" s="51">
        <v>1.3085</v>
      </c>
      <c r="T19" s="51">
        <v>1.1856</v>
      </c>
      <c r="U19" s="50">
        <v>106.29</v>
      </c>
      <c r="V19" s="43">
        <v>1836.45</v>
      </c>
      <c r="W19" s="43">
        <v>1851.27</v>
      </c>
      <c r="X19" s="49">
        <f t="shared" si="5"/>
        <v>2026.8218623481782</v>
      </c>
      <c r="Y19" s="48">
        <v>1.3090999999999999</v>
      </c>
    </row>
    <row r="20" spans="2:25" x14ac:dyDescent="0.2">
      <c r="B20" s="47">
        <v>44061</v>
      </c>
      <c r="C20" s="46">
        <v>2448.5</v>
      </c>
      <c r="D20" s="45">
        <v>2448.5</v>
      </c>
      <c r="E20" s="44">
        <f t="shared" si="0"/>
        <v>2448.5</v>
      </c>
      <c r="F20" s="46">
        <v>2469.5</v>
      </c>
      <c r="G20" s="45">
        <v>2469.5</v>
      </c>
      <c r="H20" s="44">
        <f t="shared" si="1"/>
        <v>2469.5</v>
      </c>
      <c r="I20" s="46">
        <v>2501.5</v>
      </c>
      <c r="J20" s="45">
        <v>2501.5</v>
      </c>
      <c r="K20" s="44">
        <f t="shared" si="2"/>
        <v>2501.5</v>
      </c>
      <c r="L20" s="46">
        <v>2527.5</v>
      </c>
      <c r="M20" s="45">
        <v>2527.5</v>
      </c>
      <c r="N20" s="44">
        <f t="shared" si="3"/>
        <v>2527.5</v>
      </c>
      <c r="O20" s="46">
        <v>2535</v>
      </c>
      <c r="P20" s="45">
        <v>2535</v>
      </c>
      <c r="Q20" s="44">
        <f t="shared" si="4"/>
        <v>2535</v>
      </c>
      <c r="R20" s="52">
        <v>2448.5</v>
      </c>
      <c r="S20" s="51">
        <v>1.3174999999999999</v>
      </c>
      <c r="T20" s="51">
        <v>1.1906000000000001</v>
      </c>
      <c r="U20" s="50">
        <v>105.46</v>
      </c>
      <c r="V20" s="43">
        <v>1858.44</v>
      </c>
      <c r="W20" s="43">
        <v>1873.53</v>
      </c>
      <c r="X20" s="49">
        <f t="shared" si="5"/>
        <v>2056.5261212833861</v>
      </c>
      <c r="Y20" s="48">
        <v>1.3180989999999999</v>
      </c>
    </row>
    <row r="21" spans="2:25" x14ac:dyDescent="0.2">
      <c r="B21" s="47">
        <v>44062</v>
      </c>
      <c r="C21" s="46">
        <v>2468.5</v>
      </c>
      <c r="D21" s="45">
        <v>2468.5</v>
      </c>
      <c r="E21" s="44">
        <f t="shared" si="0"/>
        <v>2468.5</v>
      </c>
      <c r="F21" s="46">
        <v>2486</v>
      </c>
      <c r="G21" s="45">
        <v>2486</v>
      </c>
      <c r="H21" s="44">
        <f t="shared" si="1"/>
        <v>2486</v>
      </c>
      <c r="I21" s="46">
        <v>2510.5</v>
      </c>
      <c r="J21" s="45">
        <v>2510.5</v>
      </c>
      <c r="K21" s="44">
        <f t="shared" si="2"/>
        <v>2510.5</v>
      </c>
      <c r="L21" s="46">
        <v>2536.5</v>
      </c>
      <c r="M21" s="45">
        <v>2536.5</v>
      </c>
      <c r="N21" s="44">
        <f t="shared" si="3"/>
        <v>2536.5</v>
      </c>
      <c r="O21" s="46">
        <v>2544</v>
      </c>
      <c r="P21" s="45">
        <v>2544</v>
      </c>
      <c r="Q21" s="44">
        <f t="shared" si="4"/>
        <v>2544</v>
      </c>
      <c r="R21" s="52">
        <v>2468.5</v>
      </c>
      <c r="S21" s="51">
        <v>1.3210999999999999</v>
      </c>
      <c r="T21" s="51">
        <v>1.1935</v>
      </c>
      <c r="U21" s="50">
        <v>105.27</v>
      </c>
      <c r="V21" s="43">
        <v>1868.52</v>
      </c>
      <c r="W21" s="43">
        <v>1880.91</v>
      </c>
      <c r="X21" s="49">
        <f t="shared" si="5"/>
        <v>2068.28655215752</v>
      </c>
      <c r="Y21" s="48">
        <v>1.3217000000000001</v>
      </c>
    </row>
    <row r="22" spans="2:25" x14ac:dyDescent="0.2">
      <c r="B22" s="47">
        <v>44063</v>
      </c>
      <c r="C22" s="46">
        <v>2466.5</v>
      </c>
      <c r="D22" s="45">
        <v>2466.5</v>
      </c>
      <c r="E22" s="44">
        <f t="shared" si="0"/>
        <v>2466.5</v>
      </c>
      <c r="F22" s="46">
        <v>2488.5</v>
      </c>
      <c r="G22" s="45">
        <v>2488.5</v>
      </c>
      <c r="H22" s="44">
        <f t="shared" si="1"/>
        <v>2488.5</v>
      </c>
      <c r="I22" s="46">
        <v>2517.5</v>
      </c>
      <c r="J22" s="45">
        <v>2517.5</v>
      </c>
      <c r="K22" s="44">
        <f t="shared" si="2"/>
        <v>2517.5</v>
      </c>
      <c r="L22" s="46">
        <v>2537.5</v>
      </c>
      <c r="M22" s="45">
        <v>2537.5</v>
      </c>
      <c r="N22" s="44">
        <f t="shared" si="3"/>
        <v>2537.5</v>
      </c>
      <c r="O22" s="46">
        <v>2545</v>
      </c>
      <c r="P22" s="45">
        <v>2545</v>
      </c>
      <c r="Q22" s="44">
        <f t="shared" si="4"/>
        <v>2545</v>
      </c>
      <c r="R22" s="52">
        <v>2466.5</v>
      </c>
      <c r="S22" s="51">
        <v>1.3145</v>
      </c>
      <c r="T22" s="51">
        <v>1.1850000000000001</v>
      </c>
      <c r="U22" s="50">
        <v>105.88</v>
      </c>
      <c r="V22" s="43">
        <v>1876.38</v>
      </c>
      <c r="W22" s="43">
        <v>1892.25</v>
      </c>
      <c r="X22" s="49">
        <f t="shared" si="5"/>
        <v>2081.4345991561181</v>
      </c>
      <c r="Y22" s="48">
        <v>1.3150999999999999</v>
      </c>
    </row>
    <row r="23" spans="2:25" x14ac:dyDescent="0.2">
      <c r="B23" s="47">
        <v>44064</v>
      </c>
      <c r="C23" s="46">
        <v>2450</v>
      </c>
      <c r="D23" s="45">
        <v>2450</v>
      </c>
      <c r="E23" s="44">
        <f t="shared" si="0"/>
        <v>2450</v>
      </c>
      <c r="F23" s="46">
        <v>2474.5</v>
      </c>
      <c r="G23" s="45">
        <v>2474.5</v>
      </c>
      <c r="H23" s="44">
        <f t="shared" si="1"/>
        <v>2474.5</v>
      </c>
      <c r="I23" s="46">
        <v>2507</v>
      </c>
      <c r="J23" s="45">
        <v>2507</v>
      </c>
      <c r="K23" s="44">
        <f t="shared" si="2"/>
        <v>2507</v>
      </c>
      <c r="L23" s="46">
        <v>2527</v>
      </c>
      <c r="M23" s="45">
        <v>2527</v>
      </c>
      <c r="N23" s="44">
        <f t="shared" si="3"/>
        <v>2527</v>
      </c>
      <c r="O23" s="46">
        <v>2534.5</v>
      </c>
      <c r="P23" s="45">
        <v>2534.5</v>
      </c>
      <c r="Q23" s="44">
        <f t="shared" si="4"/>
        <v>2534.5</v>
      </c>
      <c r="R23" s="52">
        <v>2450</v>
      </c>
      <c r="S23" s="51">
        <v>1.3109</v>
      </c>
      <c r="T23" s="51">
        <v>1.1775</v>
      </c>
      <c r="U23" s="50">
        <v>105.75</v>
      </c>
      <c r="V23" s="43">
        <v>1868.94</v>
      </c>
      <c r="W23" s="43">
        <v>1886.77</v>
      </c>
      <c r="X23" s="49">
        <f t="shared" si="5"/>
        <v>2080.6794055201699</v>
      </c>
      <c r="Y23" s="48">
        <v>1.3115000000000001</v>
      </c>
    </row>
    <row r="24" spans="2:25" x14ac:dyDescent="0.2">
      <c r="B24" s="47">
        <v>44067</v>
      </c>
      <c r="C24" s="46">
        <v>2430</v>
      </c>
      <c r="D24" s="45">
        <v>2430</v>
      </c>
      <c r="E24" s="44">
        <f t="shared" si="0"/>
        <v>2430</v>
      </c>
      <c r="F24" s="46">
        <v>2456</v>
      </c>
      <c r="G24" s="45">
        <v>2456</v>
      </c>
      <c r="H24" s="44">
        <f t="shared" si="1"/>
        <v>2456</v>
      </c>
      <c r="I24" s="46">
        <v>2492.5</v>
      </c>
      <c r="J24" s="45">
        <v>2492.5</v>
      </c>
      <c r="K24" s="44">
        <f t="shared" si="2"/>
        <v>2492.5</v>
      </c>
      <c r="L24" s="46">
        <v>2512.5</v>
      </c>
      <c r="M24" s="45">
        <v>2512.5</v>
      </c>
      <c r="N24" s="44">
        <f t="shared" si="3"/>
        <v>2512.5</v>
      </c>
      <c r="O24" s="46">
        <v>2520</v>
      </c>
      <c r="P24" s="45">
        <v>2520</v>
      </c>
      <c r="Q24" s="44">
        <f t="shared" si="4"/>
        <v>2520</v>
      </c>
      <c r="R24" s="52">
        <v>2430</v>
      </c>
      <c r="S24" s="51">
        <v>1.3139000000000001</v>
      </c>
      <c r="T24" s="51">
        <v>1.1843999999999999</v>
      </c>
      <c r="U24" s="50">
        <v>105.75</v>
      </c>
      <c r="V24" s="43">
        <v>1849.46</v>
      </c>
      <c r="W24" s="43">
        <v>1868.39</v>
      </c>
      <c r="X24" s="49">
        <f t="shared" si="5"/>
        <v>2051.6717325227964</v>
      </c>
      <c r="Y24" s="48">
        <v>1.3145</v>
      </c>
    </row>
    <row r="25" spans="2:25" x14ac:dyDescent="0.2">
      <c r="B25" s="47">
        <v>44068</v>
      </c>
      <c r="C25" s="46">
        <v>2462</v>
      </c>
      <c r="D25" s="45">
        <v>2462</v>
      </c>
      <c r="E25" s="44">
        <f t="shared" si="0"/>
        <v>2462</v>
      </c>
      <c r="F25" s="46">
        <v>2490</v>
      </c>
      <c r="G25" s="45">
        <v>2490</v>
      </c>
      <c r="H25" s="44">
        <f t="shared" si="1"/>
        <v>2490</v>
      </c>
      <c r="I25" s="46">
        <v>2527.5</v>
      </c>
      <c r="J25" s="45">
        <v>2527.5</v>
      </c>
      <c r="K25" s="44">
        <f t="shared" si="2"/>
        <v>2527.5</v>
      </c>
      <c r="L25" s="46">
        <v>2547.5</v>
      </c>
      <c r="M25" s="45">
        <v>2547.5</v>
      </c>
      <c r="N25" s="44">
        <f t="shared" si="3"/>
        <v>2547.5</v>
      </c>
      <c r="O25" s="46">
        <v>2555</v>
      </c>
      <c r="P25" s="45">
        <v>2555</v>
      </c>
      <c r="Q25" s="44">
        <f t="shared" si="4"/>
        <v>2555</v>
      </c>
      <c r="R25" s="52">
        <v>2462</v>
      </c>
      <c r="S25" s="51">
        <v>1.3134999999999999</v>
      </c>
      <c r="T25" s="51">
        <v>1.1813</v>
      </c>
      <c r="U25" s="50">
        <v>106.43</v>
      </c>
      <c r="V25" s="43">
        <v>1874.38</v>
      </c>
      <c r="W25" s="43">
        <v>1894.83</v>
      </c>
      <c r="X25" s="49">
        <f t="shared" si="5"/>
        <v>2084.1445864725301</v>
      </c>
      <c r="Y25" s="48">
        <v>1.3141</v>
      </c>
    </row>
    <row r="26" spans="2:25" x14ac:dyDescent="0.2">
      <c r="B26" s="47">
        <v>44069</v>
      </c>
      <c r="C26" s="46">
        <v>2454</v>
      </c>
      <c r="D26" s="45">
        <v>2454</v>
      </c>
      <c r="E26" s="44">
        <f t="shared" si="0"/>
        <v>2454</v>
      </c>
      <c r="F26" s="46">
        <v>2480.5</v>
      </c>
      <c r="G26" s="45">
        <v>2480.5</v>
      </c>
      <c r="H26" s="44">
        <f t="shared" si="1"/>
        <v>2480.5</v>
      </c>
      <c r="I26" s="46">
        <v>2518</v>
      </c>
      <c r="J26" s="45">
        <v>2518</v>
      </c>
      <c r="K26" s="44">
        <f t="shared" si="2"/>
        <v>2518</v>
      </c>
      <c r="L26" s="46">
        <v>2538</v>
      </c>
      <c r="M26" s="45">
        <v>2538</v>
      </c>
      <c r="N26" s="44">
        <f t="shared" si="3"/>
        <v>2538</v>
      </c>
      <c r="O26" s="46">
        <v>2545.5</v>
      </c>
      <c r="P26" s="45">
        <v>2545.5</v>
      </c>
      <c r="Q26" s="44">
        <f t="shared" si="4"/>
        <v>2545.5</v>
      </c>
      <c r="R26" s="52">
        <v>2454</v>
      </c>
      <c r="S26" s="51">
        <v>1.3144</v>
      </c>
      <c r="T26" s="51">
        <v>1.1796</v>
      </c>
      <c r="U26" s="50">
        <v>106.32</v>
      </c>
      <c r="V26" s="43">
        <v>1867.01</v>
      </c>
      <c r="W26" s="43">
        <v>1886.31</v>
      </c>
      <c r="X26" s="49">
        <f t="shared" si="5"/>
        <v>2080.3662258392674</v>
      </c>
      <c r="Y26" s="48">
        <v>1.3149999999999999</v>
      </c>
    </row>
    <row r="27" spans="2:25" x14ac:dyDescent="0.2">
      <c r="B27" s="47">
        <v>44070</v>
      </c>
      <c r="C27" s="46">
        <v>2455</v>
      </c>
      <c r="D27" s="45">
        <v>2455</v>
      </c>
      <c r="E27" s="44">
        <f t="shared" si="0"/>
        <v>2455</v>
      </c>
      <c r="F27" s="46">
        <v>2482</v>
      </c>
      <c r="G27" s="45">
        <v>2482</v>
      </c>
      <c r="H27" s="44">
        <f t="shared" si="1"/>
        <v>2482</v>
      </c>
      <c r="I27" s="46">
        <v>2522</v>
      </c>
      <c r="J27" s="45">
        <v>2522</v>
      </c>
      <c r="K27" s="44">
        <f t="shared" si="2"/>
        <v>2522</v>
      </c>
      <c r="L27" s="46">
        <v>2542</v>
      </c>
      <c r="M27" s="45">
        <v>2542</v>
      </c>
      <c r="N27" s="44">
        <f t="shared" si="3"/>
        <v>2542</v>
      </c>
      <c r="O27" s="46">
        <v>2549.5</v>
      </c>
      <c r="P27" s="45">
        <v>2549.5</v>
      </c>
      <c r="Q27" s="44">
        <f t="shared" si="4"/>
        <v>2549.5</v>
      </c>
      <c r="R27" s="52">
        <v>2455</v>
      </c>
      <c r="S27" s="51">
        <v>1.3199000000000001</v>
      </c>
      <c r="T27" s="51">
        <v>1.1814</v>
      </c>
      <c r="U27" s="50">
        <v>106.08</v>
      </c>
      <c r="V27" s="43">
        <v>1859.99</v>
      </c>
      <c r="W27" s="43">
        <v>1879.59</v>
      </c>
      <c r="X27" s="49">
        <f t="shared" si="5"/>
        <v>2078.0429998307095</v>
      </c>
      <c r="Y27" s="48">
        <v>1.3205</v>
      </c>
    </row>
    <row r="28" spans="2:25" x14ac:dyDescent="0.2">
      <c r="B28" s="47">
        <v>44071</v>
      </c>
      <c r="C28" s="46">
        <v>2529.5</v>
      </c>
      <c r="D28" s="45">
        <v>2529.5</v>
      </c>
      <c r="E28" s="44">
        <f t="shared" si="0"/>
        <v>2529.5</v>
      </c>
      <c r="F28" s="46">
        <v>2554.5</v>
      </c>
      <c r="G28" s="45">
        <v>2554.5</v>
      </c>
      <c r="H28" s="44">
        <f t="shared" si="1"/>
        <v>2554.5</v>
      </c>
      <c r="I28" s="46">
        <v>2590</v>
      </c>
      <c r="J28" s="45">
        <v>2590</v>
      </c>
      <c r="K28" s="44">
        <f t="shared" si="2"/>
        <v>2590</v>
      </c>
      <c r="L28" s="46">
        <v>2610</v>
      </c>
      <c r="M28" s="45">
        <v>2610</v>
      </c>
      <c r="N28" s="44">
        <f t="shared" si="3"/>
        <v>2610</v>
      </c>
      <c r="O28" s="46">
        <v>2617.5</v>
      </c>
      <c r="P28" s="45">
        <v>2617.5</v>
      </c>
      <c r="Q28" s="44">
        <f t="shared" si="4"/>
        <v>2617.5</v>
      </c>
      <c r="R28" s="52">
        <v>2529.5</v>
      </c>
      <c r="S28" s="51">
        <v>1.3310999999999999</v>
      </c>
      <c r="T28" s="51">
        <v>1.1912</v>
      </c>
      <c r="U28" s="50">
        <v>105.36</v>
      </c>
      <c r="V28" s="43">
        <v>1900.31</v>
      </c>
      <c r="W28" s="43">
        <v>1918.22</v>
      </c>
      <c r="X28" s="49">
        <f t="shared" si="5"/>
        <v>2123.4889187374074</v>
      </c>
      <c r="Y28" s="48">
        <v>1.3317000000000001</v>
      </c>
    </row>
    <row r="29" spans="2:25" s="10" customFormat="1" x14ac:dyDescent="0.2">
      <c r="B29" s="42" t="s">
        <v>11</v>
      </c>
      <c r="C29" s="41">
        <f>ROUND(AVERAGE(C9:C28),2)</f>
        <v>2406.83</v>
      </c>
      <c r="D29" s="40">
        <f>ROUND(AVERAGE(D9:D28),2)</f>
        <v>2406.83</v>
      </c>
      <c r="E29" s="39">
        <f>ROUND(AVERAGE(C29:D29),2)</f>
        <v>2406.83</v>
      </c>
      <c r="F29" s="41">
        <f>ROUND(AVERAGE(F9:F28),2)</f>
        <v>2426.23</v>
      </c>
      <c r="G29" s="40">
        <f>ROUND(AVERAGE(G9:G28),2)</f>
        <v>2426.23</v>
      </c>
      <c r="H29" s="39">
        <f>ROUND(AVERAGE(F29:G29),2)</f>
        <v>2426.23</v>
      </c>
      <c r="I29" s="41">
        <f>ROUND(AVERAGE(I9:I28),2)</f>
        <v>2461.6999999999998</v>
      </c>
      <c r="J29" s="40">
        <f>ROUND(AVERAGE(J9:J28),2)</f>
        <v>2461.6999999999998</v>
      </c>
      <c r="K29" s="39">
        <f>ROUND(AVERAGE(I29:J29),2)</f>
        <v>2461.6999999999998</v>
      </c>
      <c r="L29" s="41">
        <f>ROUND(AVERAGE(L9:L28),2)</f>
        <v>2485.4499999999998</v>
      </c>
      <c r="M29" s="40">
        <f>ROUND(AVERAGE(M9:M28),2)</f>
        <v>2485.4499999999998</v>
      </c>
      <c r="N29" s="39">
        <f>ROUND(AVERAGE(L29:M29),2)</f>
        <v>2485.4499999999998</v>
      </c>
      <c r="O29" s="41">
        <f>ROUND(AVERAGE(O9:O28),2)</f>
        <v>2492.9499999999998</v>
      </c>
      <c r="P29" s="40">
        <f>ROUND(AVERAGE(P9:P28),2)</f>
        <v>2492.9499999999998</v>
      </c>
      <c r="Q29" s="39">
        <f>ROUND(AVERAGE(O29:P29),2)</f>
        <v>2492.9499999999998</v>
      </c>
      <c r="R29" s="38">
        <f>ROUND(AVERAGE(R9:R28),2)</f>
        <v>2406.83</v>
      </c>
      <c r="S29" s="37">
        <f>ROUND(AVERAGE(S9:S28),4)</f>
        <v>1.3123</v>
      </c>
      <c r="T29" s="36">
        <f>ROUND(AVERAGE(T9:T28),4)</f>
        <v>1.1822999999999999</v>
      </c>
      <c r="U29" s="175">
        <f>ROUND(AVERAGE(U9:U28),2)</f>
        <v>106.02</v>
      </c>
      <c r="V29" s="35">
        <f>AVERAGE(V9:V28)</f>
        <v>1833.8829999999998</v>
      </c>
      <c r="W29" s="35">
        <f>AVERAGE(W9:W28)</f>
        <v>1847.8584999999996</v>
      </c>
      <c r="X29" s="35">
        <f>AVERAGE(X9:X28)</f>
        <v>2035.6524682137872</v>
      </c>
      <c r="Y29" s="34">
        <f>AVERAGE(Y9:Y28)</f>
        <v>1.3128849499999999</v>
      </c>
    </row>
    <row r="30" spans="2:25" s="5" customFormat="1" x14ac:dyDescent="0.2">
      <c r="B30" s="33" t="s">
        <v>12</v>
      </c>
      <c r="C30" s="32">
        <f t="shared" ref="C30:Y30" si="6">MAX(C9:C28)</f>
        <v>2529.5</v>
      </c>
      <c r="D30" s="31">
        <f t="shared" si="6"/>
        <v>2529.5</v>
      </c>
      <c r="E30" s="30">
        <f t="shared" si="6"/>
        <v>2529.5</v>
      </c>
      <c r="F30" s="32">
        <f t="shared" si="6"/>
        <v>2554.5</v>
      </c>
      <c r="G30" s="31">
        <f t="shared" si="6"/>
        <v>2554.5</v>
      </c>
      <c r="H30" s="30">
        <f t="shared" si="6"/>
        <v>2554.5</v>
      </c>
      <c r="I30" s="32">
        <f t="shared" si="6"/>
        <v>2590</v>
      </c>
      <c r="J30" s="31">
        <f t="shared" si="6"/>
        <v>2590</v>
      </c>
      <c r="K30" s="30">
        <f t="shared" si="6"/>
        <v>2590</v>
      </c>
      <c r="L30" s="32">
        <f t="shared" si="6"/>
        <v>2610</v>
      </c>
      <c r="M30" s="31">
        <f t="shared" si="6"/>
        <v>2610</v>
      </c>
      <c r="N30" s="30">
        <f t="shared" si="6"/>
        <v>2610</v>
      </c>
      <c r="O30" s="32">
        <f t="shared" si="6"/>
        <v>2617.5</v>
      </c>
      <c r="P30" s="31">
        <f t="shared" si="6"/>
        <v>2617.5</v>
      </c>
      <c r="Q30" s="30">
        <f t="shared" si="6"/>
        <v>2617.5</v>
      </c>
      <c r="R30" s="29">
        <f t="shared" si="6"/>
        <v>2529.5</v>
      </c>
      <c r="S30" s="28">
        <f t="shared" si="6"/>
        <v>1.3310999999999999</v>
      </c>
      <c r="T30" s="27">
        <f t="shared" si="6"/>
        <v>1.1935</v>
      </c>
      <c r="U30" s="26">
        <f t="shared" si="6"/>
        <v>106.97</v>
      </c>
      <c r="V30" s="25">
        <f t="shared" si="6"/>
        <v>1900.31</v>
      </c>
      <c r="W30" s="25">
        <f t="shared" si="6"/>
        <v>1918.22</v>
      </c>
      <c r="X30" s="25">
        <f t="shared" si="6"/>
        <v>2123.4889187374074</v>
      </c>
      <c r="Y30" s="24">
        <f t="shared" si="6"/>
        <v>1.3317000000000001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2286</v>
      </c>
      <c r="D31" s="21">
        <f t="shared" si="7"/>
        <v>2286</v>
      </c>
      <c r="E31" s="20">
        <f t="shared" si="7"/>
        <v>2286</v>
      </c>
      <c r="F31" s="22">
        <f t="shared" si="7"/>
        <v>2297.5</v>
      </c>
      <c r="G31" s="21">
        <f t="shared" si="7"/>
        <v>2297.5</v>
      </c>
      <c r="H31" s="20">
        <f t="shared" si="7"/>
        <v>2297.5</v>
      </c>
      <c r="I31" s="22">
        <f t="shared" si="7"/>
        <v>2331</v>
      </c>
      <c r="J31" s="21">
        <f t="shared" si="7"/>
        <v>2331</v>
      </c>
      <c r="K31" s="20">
        <f t="shared" si="7"/>
        <v>2331</v>
      </c>
      <c r="L31" s="22">
        <f t="shared" si="7"/>
        <v>2358</v>
      </c>
      <c r="M31" s="21">
        <f t="shared" si="7"/>
        <v>2358</v>
      </c>
      <c r="N31" s="20">
        <f t="shared" si="7"/>
        <v>2358</v>
      </c>
      <c r="O31" s="22">
        <f t="shared" si="7"/>
        <v>2365.5</v>
      </c>
      <c r="P31" s="21">
        <f t="shared" si="7"/>
        <v>2365.5</v>
      </c>
      <c r="Q31" s="20">
        <f t="shared" si="7"/>
        <v>2365.5</v>
      </c>
      <c r="R31" s="19">
        <f t="shared" si="7"/>
        <v>2286</v>
      </c>
      <c r="S31" s="18">
        <f t="shared" si="7"/>
        <v>1.3017000000000001</v>
      </c>
      <c r="T31" s="17">
        <f t="shared" si="7"/>
        <v>1.1726000000000001</v>
      </c>
      <c r="U31" s="16">
        <f t="shared" si="7"/>
        <v>105.27</v>
      </c>
      <c r="V31" s="15">
        <f t="shared" si="7"/>
        <v>1754.14</v>
      </c>
      <c r="W31" s="15">
        <f t="shared" si="7"/>
        <v>1762.16</v>
      </c>
      <c r="X31" s="15">
        <f t="shared" si="7"/>
        <v>1949.5139007334128</v>
      </c>
      <c r="Y31" s="14">
        <f t="shared" si="7"/>
        <v>1.3022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44046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44046</v>
      </c>
      <c r="C9" s="46">
        <v>1866.5</v>
      </c>
      <c r="D9" s="45">
        <v>1866.5</v>
      </c>
      <c r="E9" s="44">
        <f t="shared" ref="E9:E28" si="0">AVERAGE(C9:D9)</f>
        <v>1866.5</v>
      </c>
      <c r="F9" s="46">
        <v>1885.5</v>
      </c>
      <c r="G9" s="45">
        <v>1885.5</v>
      </c>
      <c r="H9" s="44">
        <f t="shared" ref="H9:H28" si="1">AVERAGE(F9:G9)</f>
        <v>1885.5</v>
      </c>
      <c r="I9" s="46">
        <v>1925.5</v>
      </c>
      <c r="J9" s="45">
        <v>1925.5</v>
      </c>
      <c r="K9" s="44">
        <f t="shared" ref="K9:K28" si="2">AVERAGE(I9:J9)</f>
        <v>1925.5</v>
      </c>
      <c r="L9" s="46">
        <v>1958.5</v>
      </c>
      <c r="M9" s="45">
        <v>1958.5</v>
      </c>
      <c r="N9" s="44">
        <f t="shared" ref="N9:N28" si="3">AVERAGE(L9:M9)</f>
        <v>1958.5</v>
      </c>
      <c r="O9" s="46">
        <v>1991.5</v>
      </c>
      <c r="P9" s="45">
        <v>1991.5</v>
      </c>
      <c r="Q9" s="44">
        <f t="shared" ref="Q9:Q28" si="4">AVERAGE(O9:P9)</f>
        <v>1991.5</v>
      </c>
      <c r="R9" s="52">
        <v>1866.5</v>
      </c>
      <c r="S9" s="51">
        <v>1.3031999999999999</v>
      </c>
      <c r="T9" s="53">
        <v>1.1726000000000001</v>
      </c>
      <c r="U9" s="50">
        <v>106.21</v>
      </c>
      <c r="V9" s="43">
        <v>1432.24</v>
      </c>
      <c r="W9" s="43">
        <v>1446.16</v>
      </c>
      <c r="X9" s="49">
        <f t="shared" ref="X9:X28" si="5">R9/T9</f>
        <v>1591.7618966399452</v>
      </c>
      <c r="Y9" s="48">
        <v>1.3038000000000001</v>
      </c>
    </row>
    <row r="10" spans="1:25" x14ac:dyDescent="0.2">
      <c r="B10" s="47">
        <v>44047</v>
      </c>
      <c r="C10" s="46">
        <v>1834</v>
      </c>
      <c r="D10" s="45">
        <v>1834</v>
      </c>
      <c r="E10" s="44">
        <f t="shared" si="0"/>
        <v>1834</v>
      </c>
      <c r="F10" s="46">
        <v>1852.5</v>
      </c>
      <c r="G10" s="45">
        <v>1852.5</v>
      </c>
      <c r="H10" s="44">
        <f t="shared" si="1"/>
        <v>1852.5</v>
      </c>
      <c r="I10" s="46">
        <v>1894.5</v>
      </c>
      <c r="J10" s="45">
        <v>1894.5</v>
      </c>
      <c r="K10" s="44">
        <f t="shared" si="2"/>
        <v>1894.5</v>
      </c>
      <c r="L10" s="46">
        <v>1926.5</v>
      </c>
      <c r="M10" s="45">
        <v>1926.5</v>
      </c>
      <c r="N10" s="44">
        <f t="shared" si="3"/>
        <v>1926.5</v>
      </c>
      <c r="O10" s="46">
        <v>1959.5</v>
      </c>
      <c r="P10" s="45">
        <v>1959.5</v>
      </c>
      <c r="Q10" s="44">
        <f t="shared" si="4"/>
        <v>1959.5</v>
      </c>
      <c r="R10" s="52">
        <v>1834</v>
      </c>
      <c r="S10" s="51">
        <v>1.3025</v>
      </c>
      <c r="T10" s="51">
        <v>1.1760999999999999</v>
      </c>
      <c r="U10" s="50">
        <v>106.12</v>
      </c>
      <c r="V10" s="43">
        <v>1408.06</v>
      </c>
      <c r="W10" s="43">
        <v>1421.72</v>
      </c>
      <c r="X10" s="49">
        <f t="shared" si="5"/>
        <v>1559.3912082305928</v>
      </c>
      <c r="Y10" s="48">
        <v>1.3029999999999999</v>
      </c>
    </row>
    <row r="11" spans="1:25" x14ac:dyDescent="0.2">
      <c r="B11" s="47">
        <v>44048</v>
      </c>
      <c r="C11" s="46">
        <v>1889</v>
      </c>
      <c r="D11" s="45">
        <v>1889</v>
      </c>
      <c r="E11" s="44">
        <f t="shared" si="0"/>
        <v>1889</v>
      </c>
      <c r="F11" s="46">
        <v>1907</v>
      </c>
      <c r="G11" s="45">
        <v>1907</v>
      </c>
      <c r="H11" s="44">
        <f t="shared" si="1"/>
        <v>1907</v>
      </c>
      <c r="I11" s="46">
        <v>1949.5</v>
      </c>
      <c r="J11" s="45">
        <v>1949.5</v>
      </c>
      <c r="K11" s="44">
        <f t="shared" si="2"/>
        <v>1949.5</v>
      </c>
      <c r="L11" s="46">
        <v>1982.5</v>
      </c>
      <c r="M11" s="45">
        <v>1982.5</v>
      </c>
      <c r="N11" s="44">
        <f t="shared" si="3"/>
        <v>1982.5</v>
      </c>
      <c r="O11" s="46">
        <v>2013.5</v>
      </c>
      <c r="P11" s="45">
        <v>2013.5</v>
      </c>
      <c r="Q11" s="44">
        <f t="shared" si="4"/>
        <v>2013.5</v>
      </c>
      <c r="R11" s="52">
        <v>1889</v>
      </c>
      <c r="S11" s="51">
        <v>1.3142</v>
      </c>
      <c r="T11" s="51">
        <v>1.1855</v>
      </c>
      <c r="U11" s="50">
        <v>105.73</v>
      </c>
      <c r="V11" s="43">
        <v>1437.38</v>
      </c>
      <c r="W11" s="43">
        <v>1450.52</v>
      </c>
      <c r="X11" s="49">
        <f t="shared" si="5"/>
        <v>1593.4204976803037</v>
      </c>
      <c r="Y11" s="48">
        <v>1.3147</v>
      </c>
    </row>
    <row r="12" spans="1:25" x14ac:dyDescent="0.2">
      <c r="B12" s="47">
        <v>44049</v>
      </c>
      <c r="C12" s="46">
        <v>1913</v>
      </c>
      <c r="D12" s="45">
        <v>1913</v>
      </c>
      <c r="E12" s="44">
        <f t="shared" si="0"/>
        <v>1913</v>
      </c>
      <c r="F12" s="46">
        <v>1931.5</v>
      </c>
      <c r="G12" s="45">
        <v>1931.5</v>
      </c>
      <c r="H12" s="44">
        <f t="shared" si="1"/>
        <v>1931.5</v>
      </c>
      <c r="I12" s="46">
        <v>1969</v>
      </c>
      <c r="J12" s="45">
        <v>1969</v>
      </c>
      <c r="K12" s="44">
        <f t="shared" si="2"/>
        <v>1969</v>
      </c>
      <c r="L12" s="46">
        <v>2002</v>
      </c>
      <c r="M12" s="45">
        <v>2002</v>
      </c>
      <c r="N12" s="44">
        <f t="shared" si="3"/>
        <v>2002</v>
      </c>
      <c r="O12" s="46">
        <v>2033</v>
      </c>
      <c r="P12" s="45">
        <v>2033</v>
      </c>
      <c r="Q12" s="44">
        <f t="shared" si="4"/>
        <v>2033</v>
      </c>
      <c r="R12" s="52">
        <v>1913</v>
      </c>
      <c r="S12" s="51">
        <v>1.3164</v>
      </c>
      <c r="T12" s="51">
        <v>1.1847000000000001</v>
      </c>
      <c r="U12" s="50">
        <v>105.41</v>
      </c>
      <c r="V12" s="43">
        <v>1453.21</v>
      </c>
      <c r="W12" s="43">
        <v>1466.7</v>
      </c>
      <c r="X12" s="49">
        <f t="shared" si="5"/>
        <v>1614.7547902422552</v>
      </c>
      <c r="Y12" s="48">
        <v>1.3169</v>
      </c>
    </row>
    <row r="13" spans="1:25" x14ac:dyDescent="0.2">
      <c r="B13" s="47">
        <v>44050</v>
      </c>
      <c r="C13" s="46">
        <v>1921</v>
      </c>
      <c r="D13" s="45">
        <v>1921</v>
      </c>
      <c r="E13" s="44">
        <f t="shared" si="0"/>
        <v>1921</v>
      </c>
      <c r="F13" s="46">
        <v>1937</v>
      </c>
      <c r="G13" s="45">
        <v>1937</v>
      </c>
      <c r="H13" s="44">
        <f t="shared" si="1"/>
        <v>1937</v>
      </c>
      <c r="I13" s="46">
        <v>1977</v>
      </c>
      <c r="J13" s="45">
        <v>1977</v>
      </c>
      <c r="K13" s="44">
        <f t="shared" si="2"/>
        <v>1977</v>
      </c>
      <c r="L13" s="46">
        <v>2010</v>
      </c>
      <c r="M13" s="45">
        <v>2010</v>
      </c>
      <c r="N13" s="44">
        <f t="shared" si="3"/>
        <v>2010</v>
      </c>
      <c r="O13" s="46">
        <v>2041</v>
      </c>
      <c r="P13" s="45">
        <v>2041</v>
      </c>
      <c r="Q13" s="44">
        <f t="shared" si="4"/>
        <v>2041</v>
      </c>
      <c r="R13" s="52">
        <v>1921</v>
      </c>
      <c r="S13" s="51">
        <v>1.3078000000000001</v>
      </c>
      <c r="T13" s="51">
        <v>1.1818</v>
      </c>
      <c r="U13" s="50">
        <v>105.64</v>
      </c>
      <c r="V13" s="43">
        <v>1468.88</v>
      </c>
      <c r="W13" s="43">
        <v>1480.55</v>
      </c>
      <c r="X13" s="49">
        <f t="shared" si="5"/>
        <v>1625.4865459468608</v>
      </c>
      <c r="Y13" s="48">
        <v>1.3083</v>
      </c>
    </row>
    <row r="14" spans="1:25" x14ac:dyDescent="0.2">
      <c r="B14" s="47">
        <v>44053</v>
      </c>
      <c r="C14" s="46">
        <v>1880</v>
      </c>
      <c r="D14" s="45">
        <v>1880</v>
      </c>
      <c r="E14" s="44">
        <f t="shared" si="0"/>
        <v>1880</v>
      </c>
      <c r="F14" s="46">
        <v>1900</v>
      </c>
      <c r="G14" s="45">
        <v>1900</v>
      </c>
      <c r="H14" s="44">
        <f t="shared" si="1"/>
        <v>1900</v>
      </c>
      <c r="I14" s="46">
        <v>1939.5</v>
      </c>
      <c r="J14" s="45">
        <v>1939.5</v>
      </c>
      <c r="K14" s="44">
        <f t="shared" si="2"/>
        <v>1939.5</v>
      </c>
      <c r="L14" s="46">
        <v>1972.5</v>
      </c>
      <c r="M14" s="45">
        <v>1972.5</v>
      </c>
      <c r="N14" s="44">
        <f t="shared" si="3"/>
        <v>1972.5</v>
      </c>
      <c r="O14" s="46">
        <v>2003.5</v>
      </c>
      <c r="P14" s="45">
        <v>2003.5</v>
      </c>
      <c r="Q14" s="44">
        <f t="shared" si="4"/>
        <v>2003.5</v>
      </c>
      <c r="R14" s="52">
        <v>1880</v>
      </c>
      <c r="S14" s="51">
        <v>1.3038000000000001</v>
      </c>
      <c r="T14" s="51">
        <v>1.1754</v>
      </c>
      <c r="U14" s="50">
        <v>106.14</v>
      </c>
      <c r="V14" s="43">
        <v>1441.94</v>
      </c>
      <c r="W14" s="43">
        <v>1456.72</v>
      </c>
      <c r="X14" s="49">
        <f t="shared" si="5"/>
        <v>1599.4555045091033</v>
      </c>
      <c r="Y14" s="48">
        <v>1.3043</v>
      </c>
    </row>
    <row r="15" spans="1:25" x14ac:dyDescent="0.2">
      <c r="B15" s="47">
        <v>44054</v>
      </c>
      <c r="C15" s="46">
        <v>1901</v>
      </c>
      <c r="D15" s="45">
        <v>1901</v>
      </c>
      <c r="E15" s="44">
        <f t="shared" si="0"/>
        <v>1901</v>
      </c>
      <c r="F15" s="46">
        <v>1916.5</v>
      </c>
      <c r="G15" s="45">
        <v>1916.5</v>
      </c>
      <c r="H15" s="44">
        <f t="shared" si="1"/>
        <v>1916.5</v>
      </c>
      <c r="I15" s="46">
        <v>1952</v>
      </c>
      <c r="J15" s="45">
        <v>1952</v>
      </c>
      <c r="K15" s="44">
        <f t="shared" si="2"/>
        <v>1952</v>
      </c>
      <c r="L15" s="46">
        <v>1985</v>
      </c>
      <c r="M15" s="45">
        <v>1985</v>
      </c>
      <c r="N15" s="44">
        <f t="shared" si="3"/>
        <v>1985</v>
      </c>
      <c r="O15" s="46">
        <v>2016</v>
      </c>
      <c r="P15" s="45">
        <v>2016</v>
      </c>
      <c r="Q15" s="44">
        <f t="shared" si="4"/>
        <v>2016</v>
      </c>
      <c r="R15" s="52">
        <v>1901</v>
      </c>
      <c r="S15" s="51">
        <v>1.3116000000000001</v>
      </c>
      <c r="T15" s="51">
        <v>1.1779999999999999</v>
      </c>
      <c r="U15" s="50">
        <v>106.04</v>
      </c>
      <c r="V15" s="43">
        <v>1449.37</v>
      </c>
      <c r="W15" s="43">
        <v>1460.64</v>
      </c>
      <c r="X15" s="49">
        <f t="shared" si="5"/>
        <v>1613.7521222410867</v>
      </c>
      <c r="Y15" s="48">
        <v>1.3121</v>
      </c>
    </row>
    <row r="16" spans="1:25" x14ac:dyDescent="0.2">
      <c r="B16" s="47">
        <v>44055</v>
      </c>
      <c r="C16" s="46">
        <v>1934</v>
      </c>
      <c r="D16" s="45">
        <v>1934</v>
      </c>
      <c r="E16" s="44">
        <f t="shared" si="0"/>
        <v>1934</v>
      </c>
      <c r="F16" s="46">
        <v>1954</v>
      </c>
      <c r="G16" s="45">
        <v>1954</v>
      </c>
      <c r="H16" s="44">
        <f t="shared" si="1"/>
        <v>1954</v>
      </c>
      <c r="I16" s="46">
        <v>1983.5</v>
      </c>
      <c r="J16" s="45">
        <v>1983.5</v>
      </c>
      <c r="K16" s="44">
        <f t="shared" si="2"/>
        <v>1983.5</v>
      </c>
      <c r="L16" s="46">
        <v>2016.5</v>
      </c>
      <c r="M16" s="45">
        <v>2016.5</v>
      </c>
      <c r="N16" s="44">
        <f t="shared" si="3"/>
        <v>2016.5</v>
      </c>
      <c r="O16" s="46">
        <v>2047.5</v>
      </c>
      <c r="P16" s="45">
        <v>2047.5</v>
      </c>
      <c r="Q16" s="44">
        <f t="shared" si="4"/>
        <v>2047.5</v>
      </c>
      <c r="R16" s="52">
        <v>1934</v>
      </c>
      <c r="S16" s="51">
        <v>1.3017000000000001</v>
      </c>
      <c r="T16" s="51">
        <v>1.1767000000000001</v>
      </c>
      <c r="U16" s="50">
        <v>106.95</v>
      </c>
      <c r="V16" s="43">
        <v>1485.75</v>
      </c>
      <c r="W16" s="43">
        <v>1500.54</v>
      </c>
      <c r="X16" s="49">
        <f t="shared" si="5"/>
        <v>1643.5795019971104</v>
      </c>
      <c r="Y16" s="48">
        <v>1.3022</v>
      </c>
    </row>
    <row r="17" spans="2:25" x14ac:dyDescent="0.2">
      <c r="B17" s="47">
        <v>44056</v>
      </c>
      <c r="C17" s="46">
        <v>1932</v>
      </c>
      <c r="D17" s="45">
        <v>1932</v>
      </c>
      <c r="E17" s="44">
        <f t="shared" si="0"/>
        <v>1932</v>
      </c>
      <c r="F17" s="46">
        <v>1946</v>
      </c>
      <c r="G17" s="45">
        <v>1946</v>
      </c>
      <c r="H17" s="44">
        <f t="shared" si="1"/>
        <v>1946</v>
      </c>
      <c r="I17" s="46">
        <v>1979</v>
      </c>
      <c r="J17" s="45">
        <v>1979</v>
      </c>
      <c r="K17" s="44">
        <f t="shared" si="2"/>
        <v>1979</v>
      </c>
      <c r="L17" s="46">
        <v>2012</v>
      </c>
      <c r="M17" s="45">
        <v>2012</v>
      </c>
      <c r="N17" s="44">
        <f t="shared" si="3"/>
        <v>2012</v>
      </c>
      <c r="O17" s="46">
        <v>2043</v>
      </c>
      <c r="P17" s="45">
        <v>2043</v>
      </c>
      <c r="Q17" s="44">
        <f t="shared" si="4"/>
        <v>2043</v>
      </c>
      <c r="R17" s="52">
        <v>1932</v>
      </c>
      <c r="S17" s="51">
        <v>1.3095000000000001</v>
      </c>
      <c r="T17" s="51">
        <v>1.1837</v>
      </c>
      <c r="U17" s="50">
        <v>106.97</v>
      </c>
      <c r="V17" s="43">
        <v>1475.37</v>
      </c>
      <c r="W17" s="43">
        <v>1485.38</v>
      </c>
      <c r="X17" s="49">
        <f t="shared" si="5"/>
        <v>1632.1703134240095</v>
      </c>
      <c r="Y17" s="48">
        <v>1.3101</v>
      </c>
    </row>
    <row r="18" spans="2:25" x14ac:dyDescent="0.2">
      <c r="B18" s="47">
        <v>44057</v>
      </c>
      <c r="C18" s="46">
        <v>1946</v>
      </c>
      <c r="D18" s="45">
        <v>1946</v>
      </c>
      <c r="E18" s="44">
        <f t="shared" si="0"/>
        <v>1946</v>
      </c>
      <c r="F18" s="46">
        <v>1955</v>
      </c>
      <c r="G18" s="45">
        <v>1955</v>
      </c>
      <c r="H18" s="44">
        <f t="shared" si="1"/>
        <v>1955</v>
      </c>
      <c r="I18" s="46">
        <v>1988</v>
      </c>
      <c r="J18" s="45">
        <v>1988</v>
      </c>
      <c r="K18" s="44">
        <f t="shared" si="2"/>
        <v>1988</v>
      </c>
      <c r="L18" s="46">
        <v>2021</v>
      </c>
      <c r="M18" s="45">
        <v>2021</v>
      </c>
      <c r="N18" s="44">
        <f t="shared" si="3"/>
        <v>2021</v>
      </c>
      <c r="O18" s="46">
        <v>2052</v>
      </c>
      <c r="P18" s="45">
        <v>2052</v>
      </c>
      <c r="Q18" s="44">
        <f t="shared" si="4"/>
        <v>2052</v>
      </c>
      <c r="R18" s="52">
        <v>1946</v>
      </c>
      <c r="S18" s="51">
        <v>1.3104</v>
      </c>
      <c r="T18" s="51">
        <v>1.1809000000000001</v>
      </c>
      <c r="U18" s="50">
        <v>106.68</v>
      </c>
      <c r="V18" s="43">
        <v>1485.04</v>
      </c>
      <c r="W18" s="43">
        <v>1491.23</v>
      </c>
      <c r="X18" s="49">
        <f t="shared" si="5"/>
        <v>1647.8956727919383</v>
      </c>
      <c r="Y18" s="48">
        <v>1.3109999999999999</v>
      </c>
    </row>
    <row r="19" spans="2:25" x14ac:dyDescent="0.2">
      <c r="B19" s="47">
        <v>44060</v>
      </c>
      <c r="C19" s="46">
        <v>1956.5</v>
      </c>
      <c r="D19" s="45">
        <v>1956.5</v>
      </c>
      <c r="E19" s="44">
        <f t="shared" si="0"/>
        <v>1956.5</v>
      </c>
      <c r="F19" s="46">
        <v>1973.5</v>
      </c>
      <c r="G19" s="45">
        <v>1973.5</v>
      </c>
      <c r="H19" s="44">
        <f t="shared" si="1"/>
        <v>1973.5</v>
      </c>
      <c r="I19" s="46">
        <v>2006.5</v>
      </c>
      <c r="J19" s="45">
        <v>2006.5</v>
      </c>
      <c r="K19" s="44">
        <f t="shared" si="2"/>
        <v>2006.5</v>
      </c>
      <c r="L19" s="46">
        <v>2039.5</v>
      </c>
      <c r="M19" s="45">
        <v>2039.5</v>
      </c>
      <c r="N19" s="44">
        <f t="shared" si="3"/>
        <v>2039.5</v>
      </c>
      <c r="O19" s="46">
        <v>2070.5</v>
      </c>
      <c r="P19" s="45">
        <v>2070.5</v>
      </c>
      <c r="Q19" s="44">
        <f t="shared" si="4"/>
        <v>2070.5</v>
      </c>
      <c r="R19" s="52">
        <v>1956.5</v>
      </c>
      <c r="S19" s="51">
        <v>1.3085</v>
      </c>
      <c r="T19" s="51">
        <v>1.1856</v>
      </c>
      <c r="U19" s="50">
        <v>106.29</v>
      </c>
      <c r="V19" s="43">
        <v>1495.22</v>
      </c>
      <c r="W19" s="43">
        <v>1507.52</v>
      </c>
      <c r="X19" s="49">
        <f t="shared" si="5"/>
        <v>1650.219298245614</v>
      </c>
      <c r="Y19" s="48">
        <v>1.3090999999999999</v>
      </c>
    </row>
    <row r="20" spans="2:25" x14ac:dyDescent="0.2">
      <c r="B20" s="47">
        <v>44061</v>
      </c>
      <c r="C20" s="46">
        <v>1964</v>
      </c>
      <c r="D20" s="45">
        <v>1964</v>
      </c>
      <c r="E20" s="44">
        <f t="shared" si="0"/>
        <v>1964</v>
      </c>
      <c r="F20" s="46">
        <v>1981</v>
      </c>
      <c r="G20" s="45">
        <v>1981</v>
      </c>
      <c r="H20" s="44">
        <f t="shared" si="1"/>
        <v>1981</v>
      </c>
      <c r="I20" s="46">
        <v>2016</v>
      </c>
      <c r="J20" s="45">
        <v>2016</v>
      </c>
      <c r="K20" s="44">
        <f t="shared" si="2"/>
        <v>2016</v>
      </c>
      <c r="L20" s="46">
        <v>2048</v>
      </c>
      <c r="M20" s="45">
        <v>2048</v>
      </c>
      <c r="N20" s="44">
        <f t="shared" si="3"/>
        <v>2048</v>
      </c>
      <c r="O20" s="46">
        <v>2079</v>
      </c>
      <c r="P20" s="45">
        <v>2079</v>
      </c>
      <c r="Q20" s="44">
        <f t="shared" si="4"/>
        <v>2079</v>
      </c>
      <c r="R20" s="52">
        <v>1964</v>
      </c>
      <c r="S20" s="51">
        <v>1.3174999999999999</v>
      </c>
      <c r="T20" s="51">
        <v>1.1906000000000001</v>
      </c>
      <c r="U20" s="50">
        <v>105.46</v>
      </c>
      <c r="V20" s="43">
        <v>1490.7</v>
      </c>
      <c r="W20" s="43">
        <v>1502.92</v>
      </c>
      <c r="X20" s="49">
        <f t="shared" si="5"/>
        <v>1649.5884428019485</v>
      </c>
      <c r="Y20" s="48">
        <v>1.3180989999999999</v>
      </c>
    </row>
    <row r="21" spans="2:25" x14ac:dyDescent="0.2">
      <c r="B21" s="47">
        <v>44062</v>
      </c>
      <c r="C21" s="46">
        <v>1994</v>
      </c>
      <c r="D21" s="45">
        <v>1994</v>
      </c>
      <c r="E21" s="44">
        <f t="shared" si="0"/>
        <v>1994</v>
      </c>
      <c r="F21" s="46">
        <v>2014.5</v>
      </c>
      <c r="G21" s="45">
        <v>2014.5</v>
      </c>
      <c r="H21" s="44">
        <f t="shared" si="1"/>
        <v>2014.5</v>
      </c>
      <c r="I21" s="46">
        <v>2044.5</v>
      </c>
      <c r="J21" s="45">
        <v>2044.5</v>
      </c>
      <c r="K21" s="44">
        <f t="shared" si="2"/>
        <v>2044.5</v>
      </c>
      <c r="L21" s="46">
        <v>2076.5</v>
      </c>
      <c r="M21" s="45">
        <v>2076.5</v>
      </c>
      <c r="N21" s="44">
        <f t="shared" si="3"/>
        <v>2076.5</v>
      </c>
      <c r="O21" s="46">
        <v>2107.5</v>
      </c>
      <c r="P21" s="45">
        <v>2107.5</v>
      </c>
      <c r="Q21" s="44">
        <f t="shared" si="4"/>
        <v>2107.5</v>
      </c>
      <c r="R21" s="52">
        <v>1994</v>
      </c>
      <c r="S21" s="51">
        <v>1.3210999999999999</v>
      </c>
      <c r="T21" s="51">
        <v>1.1935</v>
      </c>
      <c r="U21" s="50">
        <v>105.27</v>
      </c>
      <c r="V21" s="43">
        <v>1509.35</v>
      </c>
      <c r="W21" s="43">
        <v>1524.17</v>
      </c>
      <c r="X21" s="49">
        <f t="shared" si="5"/>
        <v>1670.7163803937997</v>
      </c>
      <c r="Y21" s="48">
        <v>1.3217000000000001</v>
      </c>
    </row>
    <row r="22" spans="2:25" x14ac:dyDescent="0.2">
      <c r="B22" s="47">
        <v>44063</v>
      </c>
      <c r="C22" s="46">
        <v>1964</v>
      </c>
      <c r="D22" s="45">
        <v>1964</v>
      </c>
      <c r="E22" s="44">
        <f t="shared" si="0"/>
        <v>1964</v>
      </c>
      <c r="F22" s="46">
        <v>1985</v>
      </c>
      <c r="G22" s="45">
        <v>1985</v>
      </c>
      <c r="H22" s="44">
        <f t="shared" si="1"/>
        <v>1985</v>
      </c>
      <c r="I22" s="46">
        <v>2017</v>
      </c>
      <c r="J22" s="45">
        <v>2017</v>
      </c>
      <c r="K22" s="44">
        <f t="shared" si="2"/>
        <v>2017</v>
      </c>
      <c r="L22" s="46">
        <v>2049</v>
      </c>
      <c r="M22" s="45">
        <v>2049</v>
      </c>
      <c r="N22" s="44">
        <f t="shared" si="3"/>
        <v>2049</v>
      </c>
      <c r="O22" s="46">
        <v>2080</v>
      </c>
      <c r="P22" s="45">
        <v>2080</v>
      </c>
      <c r="Q22" s="44">
        <f t="shared" si="4"/>
        <v>2080</v>
      </c>
      <c r="R22" s="52">
        <v>1964</v>
      </c>
      <c r="S22" s="51">
        <v>1.3145</v>
      </c>
      <c r="T22" s="51">
        <v>1.1850000000000001</v>
      </c>
      <c r="U22" s="50">
        <v>105.88</v>
      </c>
      <c r="V22" s="43">
        <v>1494.1</v>
      </c>
      <c r="W22" s="43">
        <v>1509.39</v>
      </c>
      <c r="X22" s="49">
        <f t="shared" si="5"/>
        <v>1657.3839662447256</v>
      </c>
      <c r="Y22" s="48">
        <v>1.3150999999999999</v>
      </c>
    </row>
    <row r="23" spans="2:25" x14ac:dyDescent="0.2">
      <c r="B23" s="47">
        <v>44064</v>
      </c>
      <c r="C23" s="46">
        <v>1965</v>
      </c>
      <c r="D23" s="45">
        <v>1965</v>
      </c>
      <c r="E23" s="44">
        <f t="shared" si="0"/>
        <v>1965</v>
      </c>
      <c r="F23" s="46">
        <v>1985.5</v>
      </c>
      <c r="G23" s="45">
        <v>1985.5</v>
      </c>
      <c r="H23" s="44">
        <f t="shared" si="1"/>
        <v>1985.5</v>
      </c>
      <c r="I23" s="46">
        <v>2018.5</v>
      </c>
      <c r="J23" s="45">
        <v>2018.5</v>
      </c>
      <c r="K23" s="44">
        <f t="shared" si="2"/>
        <v>2018.5</v>
      </c>
      <c r="L23" s="46">
        <v>2050.5</v>
      </c>
      <c r="M23" s="45">
        <v>2050.5</v>
      </c>
      <c r="N23" s="44">
        <f t="shared" si="3"/>
        <v>2050.5</v>
      </c>
      <c r="O23" s="46">
        <v>2081.5</v>
      </c>
      <c r="P23" s="45">
        <v>2081.5</v>
      </c>
      <c r="Q23" s="44">
        <f t="shared" si="4"/>
        <v>2081.5</v>
      </c>
      <c r="R23" s="52">
        <v>1965</v>
      </c>
      <c r="S23" s="51">
        <v>1.3109</v>
      </c>
      <c r="T23" s="51">
        <v>1.1775</v>
      </c>
      <c r="U23" s="50">
        <v>105.75</v>
      </c>
      <c r="V23" s="43">
        <v>1498.97</v>
      </c>
      <c r="W23" s="43">
        <v>1513.92</v>
      </c>
      <c r="X23" s="49">
        <f t="shared" si="5"/>
        <v>1668.7898089171974</v>
      </c>
      <c r="Y23" s="48">
        <v>1.3115000000000001</v>
      </c>
    </row>
    <row r="24" spans="2:25" x14ac:dyDescent="0.2">
      <c r="B24" s="47">
        <v>44067</v>
      </c>
      <c r="C24" s="46">
        <v>1960</v>
      </c>
      <c r="D24" s="45">
        <v>1960</v>
      </c>
      <c r="E24" s="44">
        <f t="shared" si="0"/>
        <v>1960</v>
      </c>
      <c r="F24" s="46">
        <v>1982.5</v>
      </c>
      <c r="G24" s="45">
        <v>1982.5</v>
      </c>
      <c r="H24" s="44">
        <f t="shared" si="1"/>
        <v>1982.5</v>
      </c>
      <c r="I24" s="46">
        <v>2019.5</v>
      </c>
      <c r="J24" s="45">
        <v>2019.5</v>
      </c>
      <c r="K24" s="44">
        <f t="shared" si="2"/>
        <v>2019.5</v>
      </c>
      <c r="L24" s="46">
        <v>2051.5</v>
      </c>
      <c r="M24" s="45">
        <v>2051.5</v>
      </c>
      <c r="N24" s="44">
        <f t="shared" si="3"/>
        <v>2051.5</v>
      </c>
      <c r="O24" s="46">
        <v>2082.5</v>
      </c>
      <c r="P24" s="45">
        <v>2082.5</v>
      </c>
      <c r="Q24" s="44">
        <f t="shared" si="4"/>
        <v>2082.5</v>
      </c>
      <c r="R24" s="52">
        <v>1960</v>
      </c>
      <c r="S24" s="51">
        <v>1.3139000000000001</v>
      </c>
      <c r="T24" s="51">
        <v>1.1843999999999999</v>
      </c>
      <c r="U24" s="50">
        <v>105.75</v>
      </c>
      <c r="V24" s="43">
        <v>1491.74</v>
      </c>
      <c r="W24" s="43">
        <v>1508.18</v>
      </c>
      <c r="X24" s="49">
        <f t="shared" si="5"/>
        <v>1654.8463356973996</v>
      </c>
      <c r="Y24" s="48">
        <v>1.3145</v>
      </c>
    </row>
    <row r="25" spans="2:25" x14ac:dyDescent="0.2">
      <c r="B25" s="47">
        <v>44068</v>
      </c>
      <c r="C25" s="46">
        <v>1984.5</v>
      </c>
      <c r="D25" s="45">
        <v>1984.5</v>
      </c>
      <c r="E25" s="44">
        <f t="shared" si="0"/>
        <v>1984.5</v>
      </c>
      <c r="F25" s="46">
        <v>2005</v>
      </c>
      <c r="G25" s="45">
        <v>2005</v>
      </c>
      <c r="H25" s="44">
        <f t="shared" si="1"/>
        <v>2005</v>
      </c>
      <c r="I25" s="46">
        <v>2044</v>
      </c>
      <c r="J25" s="45">
        <v>2044</v>
      </c>
      <c r="K25" s="44">
        <f t="shared" si="2"/>
        <v>2044</v>
      </c>
      <c r="L25" s="46">
        <v>2076</v>
      </c>
      <c r="M25" s="45">
        <v>2076</v>
      </c>
      <c r="N25" s="44">
        <f t="shared" si="3"/>
        <v>2076</v>
      </c>
      <c r="O25" s="46">
        <v>2107</v>
      </c>
      <c r="P25" s="45">
        <v>2107</v>
      </c>
      <c r="Q25" s="44">
        <f t="shared" si="4"/>
        <v>2107</v>
      </c>
      <c r="R25" s="52">
        <v>1984.5</v>
      </c>
      <c r="S25" s="51">
        <v>1.3134999999999999</v>
      </c>
      <c r="T25" s="51">
        <v>1.1813</v>
      </c>
      <c r="U25" s="50">
        <v>106.43</v>
      </c>
      <c r="V25" s="43">
        <v>1510.85</v>
      </c>
      <c r="W25" s="43">
        <v>1525.76</v>
      </c>
      <c r="X25" s="49">
        <f t="shared" si="5"/>
        <v>1679.9288918987556</v>
      </c>
      <c r="Y25" s="48">
        <v>1.3141</v>
      </c>
    </row>
    <row r="26" spans="2:25" x14ac:dyDescent="0.2">
      <c r="B26" s="47">
        <v>44069</v>
      </c>
      <c r="C26" s="46">
        <v>1969</v>
      </c>
      <c r="D26" s="45">
        <v>1969</v>
      </c>
      <c r="E26" s="44">
        <f t="shared" si="0"/>
        <v>1969</v>
      </c>
      <c r="F26" s="46">
        <v>1994.5</v>
      </c>
      <c r="G26" s="45">
        <v>1994.5</v>
      </c>
      <c r="H26" s="44">
        <f t="shared" si="1"/>
        <v>1994.5</v>
      </c>
      <c r="I26" s="46">
        <v>2031.5</v>
      </c>
      <c r="J26" s="45">
        <v>2031.5</v>
      </c>
      <c r="K26" s="44">
        <f t="shared" si="2"/>
        <v>2031.5</v>
      </c>
      <c r="L26" s="46">
        <v>2063.5</v>
      </c>
      <c r="M26" s="45">
        <v>2063.5</v>
      </c>
      <c r="N26" s="44">
        <f t="shared" si="3"/>
        <v>2063.5</v>
      </c>
      <c r="O26" s="46">
        <v>2094.5</v>
      </c>
      <c r="P26" s="45">
        <v>2094.5</v>
      </c>
      <c r="Q26" s="44">
        <f t="shared" si="4"/>
        <v>2094.5</v>
      </c>
      <c r="R26" s="52">
        <v>1969</v>
      </c>
      <c r="S26" s="51">
        <v>1.3144</v>
      </c>
      <c r="T26" s="51">
        <v>1.1796</v>
      </c>
      <c r="U26" s="50">
        <v>106.32</v>
      </c>
      <c r="V26" s="43">
        <v>1498.02</v>
      </c>
      <c r="W26" s="43">
        <v>1516.73</v>
      </c>
      <c r="X26" s="49">
        <f t="shared" si="5"/>
        <v>1669.2099016615803</v>
      </c>
      <c r="Y26" s="48">
        <v>1.3149999999999999</v>
      </c>
    </row>
    <row r="27" spans="2:25" x14ac:dyDescent="0.2">
      <c r="B27" s="47">
        <v>44070</v>
      </c>
      <c r="C27" s="46">
        <v>1954</v>
      </c>
      <c r="D27" s="45">
        <v>1954</v>
      </c>
      <c r="E27" s="44">
        <f t="shared" si="0"/>
        <v>1954</v>
      </c>
      <c r="F27" s="46">
        <v>1977.5</v>
      </c>
      <c r="G27" s="45">
        <v>1977.5</v>
      </c>
      <c r="H27" s="44">
        <f t="shared" si="1"/>
        <v>1977.5</v>
      </c>
      <c r="I27" s="46">
        <v>2017.5</v>
      </c>
      <c r="J27" s="45">
        <v>2017.5</v>
      </c>
      <c r="K27" s="44">
        <f t="shared" si="2"/>
        <v>2017.5</v>
      </c>
      <c r="L27" s="46">
        <v>2049.5</v>
      </c>
      <c r="M27" s="45">
        <v>2049.5</v>
      </c>
      <c r="N27" s="44">
        <f t="shared" si="3"/>
        <v>2049.5</v>
      </c>
      <c r="O27" s="46">
        <v>2080.5</v>
      </c>
      <c r="P27" s="45">
        <v>2080.5</v>
      </c>
      <c r="Q27" s="44">
        <f t="shared" si="4"/>
        <v>2080.5</v>
      </c>
      <c r="R27" s="52">
        <v>1954</v>
      </c>
      <c r="S27" s="51">
        <v>1.3199000000000001</v>
      </c>
      <c r="T27" s="51">
        <v>1.1814</v>
      </c>
      <c r="U27" s="50">
        <v>106.08</v>
      </c>
      <c r="V27" s="43">
        <v>1480.42</v>
      </c>
      <c r="W27" s="43">
        <v>1497.54</v>
      </c>
      <c r="X27" s="49">
        <f t="shared" si="5"/>
        <v>1653.9698662603691</v>
      </c>
      <c r="Y27" s="48">
        <v>1.3205</v>
      </c>
    </row>
    <row r="28" spans="2:25" x14ac:dyDescent="0.2">
      <c r="B28" s="47">
        <v>44071</v>
      </c>
      <c r="C28" s="46">
        <v>1976.5</v>
      </c>
      <c r="D28" s="45">
        <v>1976.5</v>
      </c>
      <c r="E28" s="44">
        <f t="shared" si="0"/>
        <v>1976.5</v>
      </c>
      <c r="F28" s="46">
        <v>2003</v>
      </c>
      <c r="G28" s="45">
        <v>2003</v>
      </c>
      <c r="H28" s="44">
        <f t="shared" si="1"/>
        <v>2003</v>
      </c>
      <c r="I28" s="46">
        <v>2043</v>
      </c>
      <c r="J28" s="45">
        <v>2043</v>
      </c>
      <c r="K28" s="44">
        <f t="shared" si="2"/>
        <v>2043</v>
      </c>
      <c r="L28" s="46">
        <v>2075</v>
      </c>
      <c r="M28" s="45">
        <v>2075</v>
      </c>
      <c r="N28" s="44">
        <f t="shared" si="3"/>
        <v>2075</v>
      </c>
      <c r="O28" s="46">
        <v>2106</v>
      </c>
      <c r="P28" s="45">
        <v>2106</v>
      </c>
      <c r="Q28" s="44">
        <f t="shared" si="4"/>
        <v>2106</v>
      </c>
      <c r="R28" s="52">
        <v>1976.5</v>
      </c>
      <c r="S28" s="51">
        <v>1.3310999999999999</v>
      </c>
      <c r="T28" s="51">
        <v>1.1912</v>
      </c>
      <c r="U28" s="50">
        <v>105.36</v>
      </c>
      <c r="V28" s="43">
        <v>1484.86</v>
      </c>
      <c r="W28" s="43">
        <v>1504.09</v>
      </c>
      <c r="X28" s="49">
        <f t="shared" si="5"/>
        <v>1659.2511752854264</v>
      </c>
      <c r="Y28" s="48">
        <v>1.3317000000000001</v>
      </c>
    </row>
    <row r="29" spans="2:25" s="10" customFormat="1" x14ac:dyDescent="0.2">
      <c r="B29" s="42" t="s">
        <v>11</v>
      </c>
      <c r="C29" s="41">
        <f>ROUND(AVERAGE(C9:C28),2)</f>
        <v>1935.2</v>
      </c>
      <c r="D29" s="40">
        <f>ROUND(AVERAGE(D9:D28),2)</f>
        <v>1935.2</v>
      </c>
      <c r="E29" s="39">
        <f>ROUND(AVERAGE(C29:D29),2)</f>
        <v>1935.2</v>
      </c>
      <c r="F29" s="41">
        <f>ROUND(AVERAGE(F9:F28),2)</f>
        <v>1954.35</v>
      </c>
      <c r="G29" s="40">
        <f>ROUND(AVERAGE(G9:G28),2)</f>
        <v>1954.35</v>
      </c>
      <c r="H29" s="39">
        <f>ROUND(AVERAGE(F29:G29),2)</f>
        <v>1954.35</v>
      </c>
      <c r="I29" s="41">
        <f>ROUND(AVERAGE(I9:I28),2)</f>
        <v>1990.78</v>
      </c>
      <c r="J29" s="40">
        <f>ROUND(AVERAGE(J9:J28),2)</f>
        <v>1990.78</v>
      </c>
      <c r="K29" s="39">
        <f>ROUND(AVERAGE(I29:J29),2)</f>
        <v>1990.78</v>
      </c>
      <c r="L29" s="41">
        <f>ROUND(AVERAGE(L9:L28),2)</f>
        <v>2023.28</v>
      </c>
      <c r="M29" s="40">
        <f>ROUND(AVERAGE(M9:M28),2)</f>
        <v>2023.28</v>
      </c>
      <c r="N29" s="39">
        <f>ROUND(AVERAGE(L29:M29),2)</f>
        <v>2023.28</v>
      </c>
      <c r="O29" s="41">
        <f>ROUND(AVERAGE(O9:O28),2)</f>
        <v>2054.48</v>
      </c>
      <c r="P29" s="40">
        <f>ROUND(AVERAGE(P9:P28),2)</f>
        <v>2054.48</v>
      </c>
      <c r="Q29" s="39">
        <f>ROUND(AVERAGE(O29:P29),2)</f>
        <v>2054.48</v>
      </c>
      <c r="R29" s="38">
        <f>ROUND(AVERAGE(R9:R28),2)</f>
        <v>1935.2</v>
      </c>
      <c r="S29" s="37">
        <f>ROUND(AVERAGE(S9:S28),4)</f>
        <v>1.3123</v>
      </c>
      <c r="T29" s="36">
        <f>ROUND(AVERAGE(T9:T28),4)</f>
        <v>1.1822999999999999</v>
      </c>
      <c r="U29" s="175">
        <f>ROUND(AVERAGE(U9:U28),2)</f>
        <v>106.02</v>
      </c>
      <c r="V29" s="35">
        <f>AVERAGE(V9:V28)</f>
        <v>1474.5735</v>
      </c>
      <c r="W29" s="35">
        <f>AVERAGE(W9:W28)</f>
        <v>1488.5189999999998</v>
      </c>
      <c r="X29" s="35">
        <f>AVERAGE(X9:X28)</f>
        <v>1636.7786060555009</v>
      </c>
      <c r="Y29" s="34">
        <f>AVERAGE(Y9:Y28)</f>
        <v>1.3128849499999999</v>
      </c>
    </row>
    <row r="30" spans="2:25" s="5" customFormat="1" x14ac:dyDescent="0.2">
      <c r="B30" s="33" t="s">
        <v>12</v>
      </c>
      <c r="C30" s="32">
        <f t="shared" ref="C30:Y30" si="6">MAX(C9:C28)</f>
        <v>1994</v>
      </c>
      <c r="D30" s="31">
        <f t="shared" si="6"/>
        <v>1994</v>
      </c>
      <c r="E30" s="30">
        <f t="shared" si="6"/>
        <v>1994</v>
      </c>
      <c r="F30" s="32">
        <f t="shared" si="6"/>
        <v>2014.5</v>
      </c>
      <c r="G30" s="31">
        <f t="shared" si="6"/>
        <v>2014.5</v>
      </c>
      <c r="H30" s="30">
        <f t="shared" si="6"/>
        <v>2014.5</v>
      </c>
      <c r="I30" s="32">
        <f t="shared" si="6"/>
        <v>2044.5</v>
      </c>
      <c r="J30" s="31">
        <f t="shared" si="6"/>
        <v>2044.5</v>
      </c>
      <c r="K30" s="30">
        <f t="shared" si="6"/>
        <v>2044.5</v>
      </c>
      <c r="L30" s="32">
        <f t="shared" si="6"/>
        <v>2076.5</v>
      </c>
      <c r="M30" s="31">
        <f t="shared" si="6"/>
        <v>2076.5</v>
      </c>
      <c r="N30" s="30">
        <f t="shared" si="6"/>
        <v>2076.5</v>
      </c>
      <c r="O30" s="32">
        <f t="shared" si="6"/>
        <v>2107.5</v>
      </c>
      <c r="P30" s="31">
        <f t="shared" si="6"/>
        <v>2107.5</v>
      </c>
      <c r="Q30" s="30">
        <f t="shared" si="6"/>
        <v>2107.5</v>
      </c>
      <c r="R30" s="29">
        <f t="shared" si="6"/>
        <v>1994</v>
      </c>
      <c r="S30" s="28">
        <f t="shared" si="6"/>
        <v>1.3310999999999999</v>
      </c>
      <c r="T30" s="27">
        <f t="shared" si="6"/>
        <v>1.1935</v>
      </c>
      <c r="U30" s="26">
        <f t="shared" si="6"/>
        <v>106.97</v>
      </c>
      <c r="V30" s="25">
        <f t="shared" si="6"/>
        <v>1510.85</v>
      </c>
      <c r="W30" s="25">
        <f t="shared" si="6"/>
        <v>1525.76</v>
      </c>
      <c r="X30" s="25">
        <f t="shared" si="6"/>
        <v>1679.9288918987556</v>
      </c>
      <c r="Y30" s="24">
        <f t="shared" si="6"/>
        <v>1.3317000000000001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1834</v>
      </c>
      <c r="D31" s="21">
        <f t="shared" si="7"/>
        <v>1834</v>
      </c>
      <c r="E31" s="20">
        <f t="shared" si="7"/>
        <v>1834</v>
      </c>
      <c r="F31" s="22">
        <f t="shared" si="7"/>
        <v>1852.5</v>
      </c>
      <c r="G31" s="21">
        <f t="shared" si="7"/>
        <v>1852.5</v>
      </c>
      <c r="H31" s="20">
        <f t="shared" si="7"/>
        <v>1852.5</v>
      </c>
      <c r="I31" s="22">
        <f t="shared" si="7"/>
        <v>1894.5</v>
      </c>
      <c r="J31" s="21">
        <f t="shared" si="7"/>
        <v>1894.5</v>
      </c>
      <c r="K31" s="20">
        <f t="shared" si="7"/>
        <v>1894.5</v>
      </c>
      <c r="L31" s="22">
        <f t="shared" si="7"/>
        <v>1926.5</v>
      </c>
      <c r="M31" s="21">
        <f t="shared" si="7"/>
        <v>1926.5</v>
      </c>
      <c r="N31" s="20">
        <f t="shared" si="7"/>
        <v>1926.5</v>
      </c>
      <c r="O31" s="22">
        <f t="shared" si="7"/>
        <v>1959.5</v>
      </c>
      <c r="P31" s="21">
        <f t="shared" si="7"/>
        <v>1959.5</v>
      </c>
      <c r="Q31" s="20">
        <f t="shared" si="7"/>
        <v>1959.5</v>
      </c>
      <c r="R31" s="19">
        <f t="shared" si="7"/>
        <v>1834</v>
      </c>
      <c r="S31" s="18">
        <f t="shared" si="7"/>
        <v>1.3017000000000001</v>
      </c>
      <c r="T31" s="17">
        <f t="shared" si="7"/>
        <v>1.1726000000000001</v>
      </c>
      <c r="U31" s="16">
        <f t="shared" si="7"/>
        <v>105.27</v>
      </c>
      <c r="V31" s="15">
        <f t="shared" si="7"/>
        <v>1408.06</v>
      </c>
      <c r="W31" s="15">
        <f t="shared" si="7"/>
        <v>1421.72</v>
      </c>
      <c r="X31" s="15">
        <f t="shared" si="7"/>
        <v>1559.3912082305928</v>
      </c>
      <c r="Y31" s="14">
        <f t="shared" si="7"/>
        <v>1.3022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44046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44046</v>
      </c>
      <c r="C9" s="46">
        <v>17958</v>
      </c>
      <c r="D9" s="45">
        <v>17958</v>
      </c>
      <c r="E9" s="44">
        <f t="shared" ref="E9:E28" si="0">AVERAGE(C9:D9)</f>
        <v>17958</v>
      </c>
      <c r="F9" s="46">
        <v>17922</v>
      </c>
      <c r="G9" s="45">
        <v>17922</v>
      </c>
      <c r="H9" s="44">
        <f t="shared" ref="H9:H28" si="1">AVERAGE(F9:G9)</f>
        <v>17922</v>
      </c>
      <c r="I9" s="46">
        <v>17676</v>
      </c>
      <c r="J9" s="45">
        <v>17676</v>
      </c>
      <c r="K9" s="44">
        <f t="shared" ref="K9:K28" si="2">AVERAGE(I9:J9)</f>
        <v>17676</v>
      </c>
      <c r="L9" s="52">
        <v>17958</v>
      </c>
      <c r="M9" s="51">
        <v>1.3031999999999999</v>
      </c>
      <c r="N9" s="53">
        <v>1.1726000000000001</v>
      </c>
      <c r="O9" s="50">
        <v>106.21</v>
      </c>
      <c r="P9" s="43">
        <v>13779.93</v>
      </c>
      <c r="Q9" s="43">
        <v>13745.97</v>
      </c>
      <c r="R9" s="49">
        <f t="shared" ref="R9:R28" si="3">L9/N9</f>
        <v>15314.685314685314</v>
      </c>
      <c r="S9" s="48">
        <v>1.3038000000000001</v>
      </c>
    </row>
    <row r="10" spans="1:19" x14ac:dyDescent="0.2">
      <c r="B10" s="47">
        <v>44047</v>
      </c>
      <c r="C10" s="46">
        <v>17890</v>
      </c>
      <c r="D10" s="45">
        <v>17890</v>
      </c>
      <c r="E10" s="44">
        <f t="shared" si="0"/>
        <v>17890</v>
      </c>
      <c r="F10" s="46">
        <v>17860</v>
      </c>
      <c r="G10" s="45">
        <v>17860</v>
      </c>
      <c r="H10" s="44">
        <f t="shared" si="1"/>
        <v>17860</v>
      </c>
      <c r="I10" s="46">
        <v>17616</v>
      </c>
      <c r="J10" s="45">
        <v>17616</v>
      </c>
      <c r="K10" s="44">
        <f t="shared" si="2"/>
        <v>17616</v>
      </c>
      <c r="L10" s="52">
        <v>17890</v>
      </c>
      <c r="M10" s="51">
        <v>1.3025</v>
      </c>
      <c r="N10" s="51">
        <v>1.1760999999999999</v>
      </c>
      <c r="O10" s="50">
        <v>106.12</v>
      </c>
      <c r="P10" s="43">
        <v>13735.12</v>
      </c>
      <c r="Q10" s="43">
        <v>13706.83</v>
      </c>
      <c r="R10" s="49">
        <f t="shared" si="3"/>
        <v>15211.291556840406</v>
      </c>
      <c r="S10" s="48">
        <v>1.3029999999999999</v>
      </c>
    </row>
    <row r="11" spans="1:19" x14ac:dyDescent="0.2">
      <c r="B11" s="47">
        <v>44048</v>
      </c>
      <c r="C11" s="46">
        <v>17960</v>
      </c>
      <c r="D11" s="45">
        <v>17960</v>
      </c>
      <c r="E11" s="44">
        <f t="shared" si="0"/>
        <v>17960</v>
      </c>
      <c r="F11" s="46">
        <v>17932</v>
      </c>
      <c r="G11" s="45">
        <v>17932</v>
      </c>
      <c r="H11" s="44">
        <f t="shared" si="1"/>
        <v>17932</v>
      </c>
      <c r="I11" s="46">
        <v>17685</v>
      </c>
      <c r="J11" s="45">
        <v>17685</v>
      </c>
      <c r="K11" s="44">
        <f t="shared" si="2"/>
        <v>17685</v>
      </c>
      <c r="L11" s="52">
        <v>17960</v>
      </c>
      <c r="M11" s="51">
        <v>1.3142</v>
      </c>
      <c r="N11" s="51">
        <v>1.1855</v>
      </c>
      <c r="O11" s="50">
        <v>105.73</v>
      </c>
      <c r="P11" s="43">
        <v>13666.11</v>
      </c>
      <c r="Q11" s="43">
        <v>13639.61</v>
      </c>
      <c r="R11" s="49">
        <f t="shared" si="3"/>
        <v>15149.725854070013</v>
      </c>
      <c r="S11" s="48">
        <v>1.3147</v>
      </c>
    </row>
    <row r="12" spans="1:19" x14ac:dyDescent="0.2">
      <c r="B12" s="47">
        <v>44049</v>
      </c>
      <c r="C12" s="46">
        <v>17900</v>
      </c>
      <c r="D12" s="45">
        <v>17900</v>
      </c>
      <c r="E12" s="44">
        <f t="shared" si="0"/>
        <v>17900</v>
      </c>
      <c r="F12" s="46">
        <v>17846</v>
      </c>
      <c r="G12" s="45">
        <v>17846</v>
      </c>
      <c r="H12" s="44">
        <f t="shared" si="1"/>
        <v>17846</v>
      </c>
      <c r="I12" s="46">
        <v>17599</v>
      </c>
      <c r="J12" s="45">
        <v>17599</v>
      </c>
      <c r="K12" s="44">
        <f t="shared" si="2"/>
        <v>17599</v>
      </c>
      <c r="L12" s="52">
        <v>17900</v>
      </c>
      <c r="M12" s="51">
        <v>1.3164</v>
      </c>
      <c r="N12" s="51">
        <v>1.1847000000000001</v>
      </c>
      <c r="O12" s="50">
        <v>105.41</v>
      </c>
      <c r="P12" s="43">
        <v>13597.69</v>
      </c>
      <c r="Q12" s="43">
        <v>13551.52</v>
      </c>
      <c r="R12" s="49">
        <f t="shared" si="3"/>
        <v>15109.310373934328</v>
      </c>
      <c r="S12" s="48">
        <v>1.3169</v>
      </c>
    </row>
    <row r="13" spans="1:19" x14ac:dyDescent="0.2">
      <c r="B13" s="47">
        <v>44050</v>
      </c>
      <c r="C13" s="46">
        <v>17935</v>
      </c>
      <c r="D13" s="45">
        <v>17935</v>
      </c>
      <c r="E13" s="44">
        <f t="shared" si="0"/>
        <v>17935</v>
      </c>
      <c r="F13" s="46">
        <v>17910</v>
      </c>
      <c r="G13" s="45">
        <v>17910</v>
      </c>
      <c r="H13" s="44">
        <f t="shared" si="1"/>
        <v>17910</v>
      </c>
      <c r="I13" s="46">
        <v>17677</v>
      </c>
      <c r="J13" s="45">
        <v>17677</v>
      </c>
      <c r="K13" s="44">
        <f t="shared" si="2"/>
        <v>17677</v>
      </c>
      <c r="L13" s="52">
        <v>17935</v>
      </c>
      <c r="M13" s="51">
        <v>1.3078000000000001</v>
      </c>
      <c r="N13" s="51">
        <v>1.1818</v>
      </c>
      <c r="O13" s="50">
        <v>105.64</v>
      </c>
      <c r="P13" s="43">
        <v>13713.87</v>
      </c>
      <c r="Q13" s="43">
        <v>13689.52</v>
      </c>
      <c r="R13" s="49">
        <f t="shared" si="3"/>
        <v>15176.002707733966</v>
      </c>
      <c r="S13" s="48">
        <v>1.3083</v>
      </c>
    </row>
    <row r="14" spans="1:19" x14ac:dyDescent="0.2">
      <c r="B14" s="47">
        <v>44053</v>
      </c>
      <c r="C14" s="46">
        <v>17700</v>
      </c>
      <c r="D14" s="45">
        <v>17700</v>
      </c>
      <c r="E14" s="44">
        <f t="shared" si="0"/>
        <v>17700</v>
      </c>
      <c r="F14" s="46">
        <v>17725</v>
      </c>
      <c r="G14" s="45">
        <v>17725</v>
      </c>
      <c r="H14" s="44">
        <f t="shared" si="1"/>
        <v>17725</v>
      </c>
      <c r="I14" s="46">
        <v>17483</v>
      </c>
      <c r="J14" s="45">
        <v>17483</v>
      </c>
      <c r="K14" s="44">
        <f t="shared" si="2"/>
        <v>17483</v>
      </c>
      <c r="L14" s="52">
        <v>17700</v>
      </c>
      <c r="M14" s="51">
        <v>1.3038000000000001</v>
      </c>
      <c r="N14" s="51">
        <v>1.1754</v>
      </c>
      <c r="O14" s="50">
        <v>106.14</v>
      </c>
      <c r="P14" s="43">
        <v>13575.7</v>
      </c>
      <c r="Q14" s="43">
        <v>13589.66</v>
      </c>
      <c r="R14" s="49">
        <f t="shared" si="3"/>
        <v>15058.703420112302</v>
      </c>
      <c r="S14" s="48">
        <v>1.3043</v>
      </c>
    </row>
    <row r="15" spans="1:19" x14ac:dyDescent="0.2">
      <c r="B15" s="47">
        <v>44054</v>
      </c>
      <c r="C15" s="46">
        <v>17700</v>
      </c>
      <c r="D15" s="45">
        <v>17700</v>
      </c>
      <c r="E15" s="44">
        <f t="shared" si="0"/>
        <v>17700</v>
      </c>
      <c r="F15" s="46">
        <v>17660</v>
      </c>
      <c r="G15" s="45">
        <v>17660</v>
      </c>
      <c r="H15" s="44">
        <f t="shared" si="1"/>
        <v>17660</v>
      </c>
      <c r="I15" s="46">
        <v>17443</v>
      </c>
      <c r="J15" s="45">
        <v>17443</v>
      </c>
      <c r="K15" s="44">
        <f t="shared" si="2"/>
        <v>17443</v>
      </c>
      <c r="L15" s="52">
        <v>17700</v>
      </c>
      <c r="M15" s="51">
        <v>1.3116000000000001</v>
      </c>
      <c r="N15" s="51">
        <v>1.1779999999999999</v>
      </c>
      <c r="O15" s="50">
        <v>106.04</v>
      </c>
      <c r="P15" s="43">
        <v>13494.97</v>
      </c>
      <c r="Q15" s="43">
        <v>13459.34</v>
      </c>
      <c r="R15" s="49">
        <f t="shared" si="3"/>
        <v>15025.466893039051</v>
      </c>
      <c r="S15" s="48">
        <v>1.3121</v>
      </c>
    </row>
    <row r="16" spans="1:19" x14ac:dyDescent="0.2">
      <c r="B16" s="47">
        <v>44055</v>
      </c>
      <c r="C16" s="46">
        <v>17719</v>
      </c>
      <c r="D16" s="45">
        <v>17719</v>
      </c>
      <c r="E16" s="44">
        <f t="shared" si="0"/>
        <v>17719</v>
      </c>
      <c r="F16" s="46">
        <v>17655</v>
      </c>
      <c r="G16" s="45">
        <v>17655</v>
      </c>
      <c r="H16" s="44">
        <f t="shared" si="1"/>
        <v>17655</v>
      </c>
      <c r="I16" s="46">
        <v>17443</v>
      </c>
      <c r="J16" s="45">
        <v>17443</v>
      </c>
      <c r="K16" s="44">
        <f t="shared" si="2"/>
        <v>17443</v>
      </c>
      <c r="L16" s="52">
        <v>17719</v>
      </c>
      <c r="M16" s="51">
        <v>1.3017000000000001</v>
      </c>
      <c r="N16" s="51">
        <v>1.1767000000000001</v>
      </c>
      <c r="O16" s="50">
        <v>106.95</v>
      </c>
      <c r="P16" s="43">
        <v>13612.2</v>
      </c>
      <c r="Q16" s="43">
        <v>13557.83</v>
      </c>
      <c r="R16" s="49">
        <f t="shared" si="3"/>
        <v>15058.213648338573</v>
      </c>
      <c r="S16" s="48">
        <v>1.3022</v>
      </c>
    </row>
    <row r="17" spans="2:19" x14ac:dyDescent="0.2">
      <c r="B17" s="47">
        <v>44056</v>
      </c>
      <c r="C17" s="46">
        <v>17655</v>
      </c>
      <c r="D17" s="45">
        <v>17655</v>
      </c>
      <c r="E17" s="44">
        <f t="shared" si="0"/>
        <v>17655</v>
      </c>
      <c r="F17" s="46">
        <v>17588</v>
      </c>
      <c r="G17" s="45">
        <v>17588</v>
      </c>
      <c r="H17" s="44">
        <f t="shared" si="1"/>
        <v>17588</v>
      </c>
      <c r="I17" s="46">
        <v>17378</v>
      </c>
      <c r="J17" s="45">
        <v>17378</v>
      </c>
      <c r="K17" s="44">
        <f t="shared" si="2"/>
        <v>17378</v>
      </c>
      <c r="L17" s="52">
        <v>17655</v>
      </c>
      <c r="M17" s="51">
        <v>1.3095000000000001</v>
      </c>
      <c r="N17" s="51">
        <v>1.1837</v>
      </c>
      <c r="O17" s="50">
        <v>106.97</v>
      </c>
      <c r="P17" s="43">
        <v>13482.25</v>
      </c>
      <c r="Q17" s="43">
        <v>13424.93</v>
      </c>
      <c r="R17" s="49">
        <f t="shared" si="3"/>
        <v>14915.096730590521</v>
      </c>
      <c r="S17" s="48">
        <v>1.3101</v>
      </c>
    </row>
    <row r="18" spans="2:19" x14ac:dyDescent="0.2">
      <c r="B18" s="47">
        <v>44057</v>
      </c>
      <c r="C18" s="46">
        <v>17665</v>
      </c>
      <c r="D18" s="45">
        <v>17665</v>
      </c>
      <c r="E18" s="44">
        <f t="shared" si="0"/>
        <v>17665</v>
      </c>
      <c r="F18" s="46">
        <v>17645</v>
      </c>
      <c r="G18" s="45">
        <v>17645</v>
      </c>
      <c r="H18" s="44">
        <f t="shared" si="1"/>
        <v>17645</v>
      </c>
      <c r="I18" s="46">
        <v>17427</v>
      </c>
      <c r="J18" s="45">
        <v>17427</v>
      </c>
      <c r="K18" s="44">
        <f t="shared" si="2"/>
        <v>17427</v>
      </c>
      <c r="L18" s="52">
        <v>17665</v>
      </c>
      <c r="M18" s="51">
        <v>1.3104</v>
      </c>
      <c r="N18" s="51">
        <v>1.1809000000000001</v>
      </c>
      <c r="O18" s="50">
        <v>106.68</v>
      </c>
      <c r="P18" s="43">
        <v>13480.62</v>
      </c>
      <c r="Q18" s="43">
        <v>13459.19</v>
      </c>
      <c r="R18" s="49">
        <f t="shared" si="3"/>
        <v>14958.929629943263</v>
      </c>
      <c r="S18" s="48">
        <v>1.3109999999999999</v>
      </c>
    </row>
    <row r="19" spans="2:19" x14ac:dyDescent="0.2">
      <c r="B19" s="47">
        <v>44060</v>
      </c>
      <c r="C19" s="46">
        <v>17430</v>
      </c>
      <c r="D19" s="45">
        <v>17430</v>
      </c>
      <c r="E19" s="44">
        <f t="shared" si="0"/>
        <v>17430</v>
      </c>
      <c r="F19" s="46">
        <v>17426</v>
      </c>
      <c r="G19" s="45">
        <v>17426</v>
      </c>
      <c r="H19" s="44">
        <f t="shared" si="1"/>
        <v>17426</v>
      </c>
      <c r="I19" s="46">
        <v>17227</v>
      </c>
      <c r="J19" s="45">
        <v>17227</v>
      </c>
      <c r="K19" s="44">
        <f t="shared" si="2"/>
        <v>17227</v>
      </c>
      <c r="L19" s="52">
        <v>17430</v>
      </c>
      <c r="M19" s="51">
        <v>1.3085</v>
      </c>
      <c r="N19" s="51">
        <v>1.1856</v>
      </c>
      <c r="O19" s="50">
        <v>106.29</v>
      </c>
      <c r="P19" s="43">
        <v>13320.6</v>
      </c>
      <c r="Q19" s="43">
        <v>13311.44</v>
      </c>
      <c r="R19" s="49">
        <f t="shared" si="3"/>
        <v>14701.417004048582</v>
      </c>
      <c r="S19" s="48">
        <v>1.3090999999999999</v>
      </c>
    </row>
    <row r="20" spans="2:19" x14ac:dyDescent="0.2">
      <c r="B20" s="47">
        <v>44061</v>
      </c>
      <c r="C20" s="46">
        <v>17480</v>
      </c>
      <c r="D20" s="45">
        <v>17480</v>
      </c>
      <c r="E20" s="44">
        <f t="shared" si="0"/>
        <v>17480</v>
      </c>
      <c r="F20" s="46">
        <v>17485</v>
      </c>
      <c r="G20" s="45">
        <v>17485</v>
      </c>
      <c r="H20" s="44">
        <f t="shared" si="1"/>
        <v>17485</v>
      </c>
      <c r="I20" s="46">
        <v>17294</v>
      </c>
      <c r="J20" s="45">
        <v>17294</v>
      </c>
      <c r="K20" s="44">
        <f t="shared" si="2"/>
        <v>17294</v>
      </c>
      <c r="L20" s="52">
        <v>17480</v>
      </c>
      <c r="M20" s="51">
        <v>1.3174999999999999</v>
      </c>
      <c r="N20" s="51">
        <v>1.1906000000000001</v>
      </c>
      <c r="O20" s="50">
        <v>105.46</v>
      </c>
      <c r="P20" s="43">
        <v>13267.55</v>
      </c>
      <c r="Q20" s="43">
        <v>13265.32</v>
      </c>
      <c r="R20" s="49">
        <f t="shared" si="3"/>
        <v>14681.673105996975</v>
      </c>
      <c r="S20" s="48">
        <v>1.3180989999999999</v>
      </c>
    </row>
    <row r="21" spans="2:19" x14ac:dyDescent="0.2">
      <c r="B21" s="47">
        <v>44062</v>
      </c>
      <c r="C21" s="46">
        <v>17560</v>
      </c>
      <c r="D21" s="45">
        <v>17560</v>
      </c>
      <c r="E21" s="44">
        <f t="shared" si="0"/>
        <v>17560</v>
      </c>
      <c r="F21" s="46">
        <v>17575</v>
      </c>
      <c r="G21" s="45">
        <v>17575</v>
      </c>
      <c r="H21" s="44">
        <f t="shared" si="1"/>
        <v>17575</v>
      </c>
      <c r="I21" s="46">
        <v>17400</v>
      </c>
      <c r="J21" s="45">
        <v>17400</v>
      </c>
      <c r="K21" s="44">
        <f t="shared" si="2"/>
        <v>17400</v>
      </c>
      <c r="L21" s="52">
        <v>17560</v>
      </c>
      <c r="M21" s="51">
        <v>1.3210999999999999</v>
      </c>
      <c r="N21" s="51">
        <v>1.1935</v>
      </c>
      <c r="O21" s="50">
        <v>105.27</v>
      </c>
      <c r="P21" s="43">
        <v>13291.95</v>
      </c>
      <c r="Q21" s="43">
        <v>13297.27</v>
      </c>
      <c r="R21" s="49">
        <f t="shared" si="3"/>
        <v>14713.028906577294</v>
      </c>
      <c r="S21" s="48">
        <v>1.3217000000000001</v>
      </c>
    </row>
    <row r="22" spans="2:19" x14ac:dyDescent="0.2">
      <c r="B22" s="47">
        <v>44063</v>
      </c>
      <c r="C22" s="46">
        <v>17580</v>
      </c>
      <c r="D22" s="45">
        <v>17580</v>
      </c>
      <c r="E22" s="44">
        <f t="shared" si="0"/>
        <v>17580</v>
      </c>
      <c r="F22" s="46">
        <v>17570</v>
      </c>
      <c r="G22" s="45">
        <v>17570</v>
      </c>
      <c r="H22" s="44">
        <f t="shared" si="1"/>
        <v>17570</v>
      </c>
      <c r="I22" s="46">
        <v>17411</v>
      </c>
      <c r="J22" s="45">
        <v>17411</v>
      </c>
      <c r="K22" s="44">
        <f t="shared" si="2"/>
        <v>17411</v>
      </c>
      <c r="L22" s="52">
        <v>17580</v>
      </c>
      <c r="M22" s="51">
        <v>1.3145</v>
      </c>
      <c r="N22" s="51">
        <v>1.1850000000000001</v>
      </c>
      <c r="O22" s="50">
        <v>105.88</v>
      </c>
      <c r="P22" s="43">
        <v>13373.91</v>
      </c>
      <c r="Q22" s="43">
        <v>13360.2</v>
      </c>
      <c r="R22" s="49">
        <f t="shared" si="3"/>
        <v>14835.443037974683</v>
      </c>
      <c r="S22" s="48">
        <v>1.3150999999999999</v>
      </c>
    </row>
    <row r="23" spans="2:19" x14ac:dyDescent="0.2">
      <c r="B23" s="47">
        <v>44064</v>
      </c>
      <c r="C23" s="46">
        <v>17660</v>
      </c>
      <c r="D23" s="45">
        <v>17660</v>
      </c>
      <c r="E23" s="44">
        <f t="shared" si="0"/>
        <v>17660</v>
      </c>
      <c r="F23" s="46">
        <v>17645</v>
      </c>
      <c r="G23" s="45">
        <v>17645</v>
      </c>
      <c r="H23" s="44">
        <f t="shared" si="1"/>
        <v>17645</v>
      </c>
      <c r="I23" s="46">
        <v>17505</v>
      </c>
      <c r="J23" s="45">
        <v>17505</v>
      </c>
      <c r="K23" s="44">
        <f t="shared" si="2"/>
        <v>17505</v>
      </c>
      <c r="L23" s="52">
        <v>17660</v>
      </c>
      <c r="M23" s="51">
        <v>1.3109</v>
      </c>
      <c r="N23" s="51">
        <v>1.1775</v>
      </c>
      <c r="O23" s="50">
        <v>105.75</v>
      </c>
      <c r="P23" s="43">
        <v>13471.66</v>
      </c>
      <c r="Q23" s="43">
        <v>13454.06</v>
      </c>
      <c r="R23" s="49">
        <f t="shared" si="3"/>
        <v>14997.87685774947</v>
      </c>
      <c r="S23" s="48">
        <v>1.3115000000000001</v>
      </c>
    </row>
    <row r="24" spans="2:19" x14ac:dyDescent="0.2">
      <c r="B24" s="47">
        <v>44067</v>
      </c>
      <c r="C24" s="46">
        <v>17170</v>
      </c>
      <c r="D24" s="45">
        <v>17170</v>
      </c>
      <c r="E24" s="44">
        <f t="shared" si="0"/>
        <v>17170</v>
      </c>
      <c r="F24" s="46">
        <v>17205</v>
      </c>
      <c r="G24" s="45">
        <v>17205</v>
      </c>
      <c r="H24" s="44">
        <f t="shared" si="1"/>
        <v>17205</v>
      </c>
      <c r="I24" s="46">
        <v>17066</v>
      </c>
      <c r="J24" s="45">
        <v>17066</v>
      </c>
      <c r="K24" s="44">
        <f t="shared" si="2"/>
        <v>17066</v>
      </c>
      <c r="L24" s="52">
        <v>17170</v>
      </c>
      <c r="M24" s="51">
        <v>1.3139000000000001</v>
      </c>
      <c r="N24" s="51">
        <v>1.1843999999999999</v>
      </c>
      <c r="O24" s="50">
        <v>105.75</v>
      </c>
      <c r="P24" s="43">
        <v>13067.97</v>
      </c>
      <c r="Q24" s="43">
        <v>13088.63</v>
      </c>
      <c r="R24" s="49">
        <f t="shared" si="3"/>
        <v>14496.7916244512</v>
      </c>
      <c r="S24" s="48">
        <v>1.3145</v>
      </c>
    </row>
    <row r="25" spans="2:19" x14ac:dyDescent="0.2">
      <c r="B25" s="47">
        <v>44068</v>
      </c>
      <c r="C25" s="46">
        <v>17435</v>
      </c>
      <c r="D25" s="45">
        <v>17435</v>
      </c>
      <c r="E25" s="44">
        <f t="shared" si="0"/>
        <v>17435</v>
      </c>
      <c r="F25" s="46">
        <v>17365</v>
      </c>
      <c r="G25" s="45">
        <v>17365</v>
      </c>
      <c r="H25" s="44">
        <f t="shared" si="1"/>
        <v>17365</v>
      </c>
      <c r="I25" s="46">
        <v>17221</v>
      </c>
      <c r="J25" s="45">
        <v>17221</v>
      </c>
      <c r="K25" s="44">
        <f t="shared" si="2"/>
        <v>17221</v>
      </c>
      <c r="L25" s="52">
        <v>17435</v>
      </c>
      <c r="M25" s="51">
        <v>1.3134999999999999</v>
      </c>
      <c r="N25" s="51">
        <v>1.1813</v>
      </c>
      <c r="O25" s="50">
        <v>106.43</v>
      </c>
      <c r="P25" s="43">
        <v>13273.7</v>
      </c>
      <c r="Q25" s="43">
        <v>13214.37</v>
      </c>
      <c r="R25" s="49">
        <f t="shared" si="3"/>
        <v>14759.163633285363</v>
      </c>
      <c r="S25" s="48">
        <v>1.3141</v>
      </c>
    </row>
    <row r="26" spans="2:19" x14ac:dyDescent="0.2">
      <c r="B26" s="47">
        <v>44069</v>
      </c>
      <c r="C26" s="46">
        <v>17550</v>
      </c>
      <c r="D26" s="45">
        <v>17550</v>
      </c>
      <c r="E26" s="44">
        <f t="shared" si="0"/>
        <v>17550</v>
      </c>
      <c r="F26" s="46">
        <v>17517</v>
      </c>
      <c r="G26" s="45">
        <v>17517</v>
      </c>
      <c r="H26" s="44">
        <f t="shared" si="1"/>
        <v>17517</v>
      </c>
      <c r="I26" s="46">
        <v>17366</v>
      </c>
      <c r="J26" s="45">
        <v>17366</v>
      </c>
      <c r="K26" s="44">
        <f t="shared" si="2"/>
        <v>17366</v>
      </c>
      <c r="L26" s="52">
        <v>17550</v>
      </c>
      <c r="M26" s="51">
        <v>1.3144</v>
      </c>
      <c r="N26" s="51">
        <v>1.1796</v>
      </c>
      <c r="O26" s="50">
        <v>106.32</v>
      </c>
      <c r="P26" s="43">
        <v>13352.1</v>
      </c>
      <c r="Q26" s="43">
        <v>13320.91</v>
      </c>
      <c r="R26" s="49">
        <f t="shared" si="3"/>
        <v>14877.924720244151</v>
      </c>
      <c r="S26" s="48">
        <v>1.3149999999999999</v>
      </c>
    </row>
    <row r="27" spans="2:19" x14ac:dyDescent="0.2">
      <c r="B27" s="47">
        <v>44070</v>
      </c>
      <c r="C27" s="46">
        <v>17690</v>
      </c>
      <c r="D27" s="45">
        <v>17690</v>
      </c>
      <c r="E27" s="44">
        <f t="shared" si="0"/>
        <v>17690</v>
      </c>
      <c r="F27" s="46">
        <v>17680</v>
      </c>
      <c r="G27" s="45">
        <v>17680</v>
      </c>
      <c r="H27" s="44">
        <f t="shared" si="1"/>
        <v>17680</v>
      </c>
      <c r="I27" s="46">
        <v>17529</v>
      </c>
      <c r="J27" s="45">
        <v>17529</v>
      </c>
      <c r="K27" s="44">
        <f t="shared" si="2"/>
        <v>17529</v>
      </c>
      <c r="L27" s="52">
        <v>17690</v>
      </c>
      <c r="M27" s="51">
        <v>1.3199000000000001</v>
      </c>
      <c r="N27" s="51">
        <v>1.1814</v>
      </c>
      <c r="O27" s="50">
        <v>106.08</v>
      </c>
      <c r="P27" s="43">
        <v>13402.53</v>
      </c>
      <c r="Q27" s="43">
        <v>13388.87</v>
      </c>
      <c r="R27" s="49">
        <f t="shared" si="3"/>
        <v>14973.759945826985</v>
      </c>
      <c r="S27" s="48">
        <v>1.3205</v>
      </c>
    </row>
    <row r="28" spans="2:19" x14ac:dyDescent="0.2">
      <c r="B28" s="47">
        <v>44071</v>
      </c>
      <c r="C28" s="46">
        <v>17801</v>
      </c>
      <c r="D28" s="45">
        <v>17801</v>
      </c>
      <c r="E28" s="44">
        <f t="shared" si="0"/>
        <v>17801</v>
      </c>
      <c r="F28" s="46">
        <v>17774</v>
      </c>
      <c r="G28" s="45">
        <v>17774</v>
      </c>
      <c r="H28" s="44">
        <f t="shared" si="1"/>
        <v>17774</v>
      </c>
      <c r="I28" s="46">
        <v>17627</v>
      </c>
      <c r="J28" s="45">
        <v>17627</v>
      </c>
      <c r="K28" s="44">
        <f t="shared" si="2"/>
        <v>17627</v>
      </c>
      <c r="L28" s="52">
        <v>17801</v>
      </c>
      <c r="M28" s="51">
        <v>1.3310999999999999</v>
      </c>
      <c r="N28" s="51">
        <v>1.1912</v>
      </c>
      <c r="O28" s="50">
        <v>105.36</v>
      </c>
      <c r="P28" s="43">
        <v>13373.15</v>
      </c>
      <c r="Q28" s="43">
        <v>13346.85</v>
      </c>
      <c r="R28" s="49">
        <f t="shared" si="3"/>
        <v>14943.754197447952</v>
      </c>
      <c r="S28" s="48">
        <v>1.3317000000000001</v>
      </c>
    </row>
    <row r="29" spans="2:19" s="10" customFormat="1" x14ac:dyDescent="0.2">
      <c r="B29" s="42" t="s">
        <v>11</v>
      </c>
      <c r="C29" s="41">
        <f>ROUND(AVERAGE(C9:C28),2)</f>
        <v>17671.900000000001</v>
      </c>
      <c r="D29" s="40">
        <f>ROUND(AVERAGE(D9:D28),2)</f>
        <v>17671.900000000001</v>
      </c>
      <c r="E29" s="39">
        <f>ROUND(AVERAGE(C29:D29),2)</f>
        <v>17671.900000000001</v>
      </c>
      <c r="F29" s="41">
        <f>ROUND(AVERAGE(F9:F28),2)</f>
        <v>17649.25</v>
      </c>
      <c r="G29" s="40">
        <f>ROUND(AVERAGE(G9:G28),2)</f>
        <v>17649.25</v>
      </c>
      <c r="H29" s="39">
        <f>ROUND(AVERAGE(F29:G29),2)</f>
        <v>17649.25</v>
      </c>
      <c r="I29" s="41">
        <f>ROUND(AVERAGE(I9:I28),2)</f>
        <v>17453.650000000001</v>
      </c>
      <c r="J29" s="40">
        <f>ROUND(AVERAGE(J9:J28),2)</f>
        <v>17453.650000000001</v>
      </c>
      <c r="K29" s="39">
        <f>ROUND(AVERAGE(I29:J29),2)</f>
        <v>17453.650000000001</v>
      </c>
      <c r="L29" s="38">
        <f>ROUND(AVERAGE(L9:L28),2)</f>
        <v>17671.900000000001</v>
      </c>
      <c r="M29" s="37">
        <f>ROUND(AVERAGE(M9:M28),4)</f>
        <v>1.3123</v>
      </c>
      <c r="N29" s="36">
        <f>ROUND(AVERAGE(N9:N28),4)</f>
        <v>1.1822999999999999</v>
      </c>
      <c r="O29" s="175">
        <f>ROUND(AVERAGE(O9:O28),2)</f>
        <v>106.02</v>
      </c>
      <c r="P29" s="35">
        <f>AVERAGE(P9:P28)</f>
        <v>13466.679</v>
      </c>
      <c r="Q29" s="35">
        <f>AVERAGE(Q9:Q28)</f>
        <v>13443.616</v>
      </c>
      <c r="R29" s="35">
        <f>AVERAGE(R9:R28)</f>
        <v>14947.912958144521</v>
      </c>
      <c r="S29" s="34">
        <f>AVERAGE(S9:S28)</f>
        <v>1.3128849499999999</v>
      </c>
    </row>
    <row r="30" spans="2:19" s="5" customFormat="1" x14ac:dyDescent="0.2">
      <c r="B30" s="33" t="s">
        <v>12</v>
      </c>
      <c r="C30" s="32">
        <f t="shared" ref="C30:S30" si="4">MAX(C9:C28)</f>
        <v>17960</v>
      </c>
      <c r="D30" s="31">
        <f t="shared" si="4"/>
        <v>17960</v>
      </c>
      <c r="E30" s="30">
        <f t="shared" si="4"/>
        <v>17960</v>
      </c>
      <c r="F30" s="32">
        <f t="shared" si="4"/>
        <v>17932</v>
      </c>
      <c r="G30" s="31">
        <f t="shared" si="4"/>
        <v>17932</v>
      </c>
      <c r="H30" s="30">
        <f t="shared" si="4"/>
        <v>17932</v>
      </c>
      <c r="I30" s="32">
        <f t="shared" si="4"/>
        <v>17685</v>
      </c>
      <c r="J30" s="31">
        <f t="shared" si="4"/>
        <v>17685</v>
      </c>
      <c r="K30" s="30">
        <f t="shared" si="4"/>
        <v>17685</v>
      </c>
      <c r="L30" s="29">
        <f t="shared" si="4"/>
        <v>17960</v>
      </c>
      <c r="M30" s="28">
        <f t="shared" si="4"/>
        <v>1.3310999999999999</v>
      </c>
      <c r="N30" s="27">
        <f t="shared" si="4"/>
        <v>1.1935</v>
      </c>
      <c r="O30" s="26">
        <f t="shared" si="4"/>
        <v>106.97</v>
      </c>
      <c r="P30" s="25">
        <f t="shared" si="4"/>
        <v>13779.93</v>
      </c>
      <c r="Q30" s="25">
        <f t="shared" si="4"/>
        <v>13745.97</v>
      </c>
      <c r="R30" s="25">
        <f t="shared" si="4"/>
        <v>15314.685314685314</v>
      </c>
      <c r="S30" s="24">
        <f t="shared" si="4"/>
        <v>1.3317000000000001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17170</v>
      </c>
      <c r="D31" s="21">
        <f t="shared" si="5"/>
        <v>17170</v>
      </c>
      <c r="E31" s="20">
        <f t="shared" si="5"/>
        <v>17170</v>
      </c>
      <c r="F31" s="22">
        <f t="shared" si="5"/>
        <v>17205</v>
      </c>
      <c r="G31" s="21">
        <f t="shared" si="5"/>
        <v>17205</v>
      </c>
      <c r="H31" s="20">
        <f t="shared" si="5"/>
        <v>17205</v>
      </c>
      <c r="I31" s="22">
        <f t="shared" si="5"/>
        <v>17066</v>
      </c>
      <c r="J31" s="21">
        <f t="shared" si="5"/>
        <v>17066</v>
      </c>
      <c r="K31" s="20">
        <f t="shared" si="5"/>
        <v>17066</v>
      </c>
      <c r="L31" s="19">
        <f t="shared" si="5"/>
        <v>17170</v>
      </c>
      <c r="M31" s="18">
        <f t="shared" si="5"/>
        <v>1.3017000000000001</v>
      </c>
      <c r="N31" s="17">
        <f t="shared" si="5"/>
        <v>1.1726000000000001</v>
      </c>
      <c r="O31" s="16">
        <f t="shared" si="5"/>
        <v>105.27</v>
      </c>
      <c r="P31" s="15">
        <f t="shared" si="5"/>
        <v>13067.97</v>
      </c>
      <c r="Q31" s="15">
        <f t="shared" si="5"/>
        <v>13088.63</v>
      </c>
      <c r="R31" s="15">
        <f t="shared" si="5"/>
        <v>14496.7916244512</v>
      </c>
      <c r="S31" s="14">
        <f t="shared" si="5"/>
        <v>1.3022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44046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44046</v>
      </c>
      <c r="C9" s="46">
        <v>13683</v>
      </c>
      <c r="D9" s="45">
        <v>13683</v>
      </c>
      <c r="E9" s="44">
        <f t="shared" ref="E9:E28" si="0">AVERAGE(C9:D9)</f>
        <v>13683</v>
      </c>
      <c r="F9" s="46">
        <v>13734</v>
      </c>
      <c r="G9" s="45">
        <v>13734</v>
      </c>
      <c r="H9" s="44">
        <f t="shared" ref="H9:H28" si="1">AVERAGE(F9:G9)</f>
        <v>13734</v>
      </c>
      <c r="I9" s="46">
        <v>13972</v>
      </c>
      <c r="J9" s="45">
        <v>13972</v>
      </c>
      <c r="K9" s="44">
        <f t="shared" ref="K9:K28" si="2">AVERAGE(I9:J9)</f>
        <v>13972</v>
      </c>
      <c r="L9" s="46">
        <v>14182</v>
      </c>
      <c r="M9" s="45">
        <v>14182</v>
      </c>
      <c r="N9" s="44">
        <f t="shared" ref="N9:N28" si="3">AVERAGE(L9:M9)</f>
        <v>14182</v>
      </c>
      <c r="O9" s="46">
        <v>14397</v>
      </c>
      <c r="P9" s="45">
        <v>14397</v>
      </c>
      <c r="Q9" s="44">
        <f t="shared" ref="Q9:Q28" si="4">AVERAGE(O9:P9)</f>
        <v>14397</v>
      </c>
      <c r="R9" s="52">
        <v>13683</v>
      </c>
      <c r="S9" s="51">
        <v>1.3031999999999999</v>
      </c>
      <c r="T9" s="53">
        <v>1.1726000000000001</v>
      </c>
      <c r="U9" s="50">
        <v>106.21</v>
      </c>
      <c r="V9" s="43">
        <v>10499.54</v>
      </c>
      <c r="W9" s="43">
        <v>10533.82</v>
      </c>
      <c r="X9" s="49">
        <f t="shared" ref="X9:X28" si="5">R9/T9</f>
        <v>11668.940815282278</v>
      </c>
      <c r="Y9" s="48">
        <v>1.3038000000000001</v>
      </c>
    </row>
    <row r="10" spans="1:25" x14ac:dyDescent="0.2">
      <c r="B10" s="47">
        <v>44047</v>
      </c>
      <c r="C10" s="46">
        <v>13888</v>
      </c>
      <c r="D10" s="45">
        <v>13888</v>
      </c>
      <c r="E10" s="44">
        <f t="shared" si="0"/>
        <v>13888</v>
      </c>
      <c r="F10" s="46">
        <v>13933</v>
      </c>
      <c r="G10" s="45">
        <v>13933</v>
      </c>
      <c r="H10" s="44">
        <f t="shared" si="1"/>
        <v>13933</v>
      </c>
      <c r="I10" s="46">
        <v>14170</v>
      </c>
      <c r="J10" s="45">
        <v>14170</v>
      </c>
      <c r="K10" s="44">
        <f t="shared" si="2"/>
        <v>14170</v>
      </c>
      <c r="L10" s="46">
        <v>14380</v>
      </c>
      <c r="M10" s="45">
        <v>14380</v>
      </c>
      <c r="N10" s="44">
        <f t="shared" si="3"/>
        <v>14380</v>
      </c>
      <c r="O10" s="46">
        <v>14595</v>
      </c>
      <c r="P10" s="45">
        <v>14595</v>
      </c>
      <c r="Q10" s="44">
        <f t="shared" si="4"/>
        <v>14595</v>
      </c>
      <c r="R10" s="52">
        <v>13888</v>
      </c>
      <c r="S10" s="51">
        <v>1.3025</v>
      </c>
      <c r="T10" s="51">
        <v>1.1760999999999999</v>
      </c>
      <c r="U10" s="50">
        <v>106.12</v>
      </c>
      <c r="V10" s="43">
        <v>10662.57</v>
      </c>
      <c r="W10" s="43">
        <v>10693.02</v>
      </c>
      <c r="X10" s="49">
        <f t="shared" si="5"/>
        <v>11808.519683700366</v>
      </c>
      <c r="Y10" s="48">
        <v>1.3029999999999999</v>
      </c>
    </row>
    <row r="11" spans="1:25" x14ac:dyDescent="0.2">
      <c r="B11" s="47">
        <v>44048</v>
      </c>
      <c r="C11" s="46">
        <v>14250</v>
      </c>
      <c r="D11" s="45">
        <v>14250</v>
      </c>
      <c r="E11" s="44">
        <f t="shared" si="0"/>
        <v>14250</v>
      </c>
      <c r="F11" s="46">
        <v>14287</v>
      </c>
      <c r="G11" s="45">
        <v>14287</v>
      </c>
      <c r="H11" s="44">
        <f t="shared" si="1"/>
        <v>14287</v>
      </c>
      <c r="I11" s="46">
        <v>14519</v>
      </c>
      <c r="J11" s="45">
        <v>14519</v>
      </c>
      <c r="K11" s="44">
        <f t="shared" si="2"/>
        <v>14519</v>
      </c>
      <c r="L11" s="46">
        <v>14734</v>
      </c>
      <c r="M11" s="45">
        <v>14734</v>
      </c>
      <c r="N11" s="44">
        <f t="shared" si="3"/>
        <v>14734</v>
      </c>
      <c r="O11" s="46">
        <v>14950</v>
      </c>
      <c r="P11" s="45">
        <v>14950</v>
      </c>
      <c r="Q11" s="44">
        <f t="shared" si="4"/>
        <v>14950</v>
      </c>
      <c r="R11" s="52">
        <v>14250</v>
      </c>
      <c r="S11" s="51">
        <v>1.3142</v>
      </c>
      <c r="T11" s="51">
        <v>1.1855</v>
      </c>
      <c r="U11" s="50">
        <v>105.73</v>
      </c>
      <c r="V11" s="43">
        <v>10843.1</v>
      </c>
      <c r="W11" s="43">
        <v>10867.12</v>
      </c>
      <c r="X11" s="49">
        <f t="shared" si="5"/>
        <v>12020.244622522143</v>
      </c>
      <c r="Y11" s="48">
        <v>1.3147</v>
      </c>
    </row>
    <row r="12" spans="1:25" x14ac:dyDescent="0.2">
      <c r="B12" s="47">
        <v>44049</v>
      </c>
      <c r="C12" s="46">
        <v>14381</v>
      </c>
      <c r="D12" s="45">
        <v>14381</v>
      </c>
      <c r="E12" s="44">
        <f t="shared" si="0"/>
        <v>14381</v>
      </c>
      <c r="F12" s="46">
        <v>14433</v>
      </c>
      <c r="G12" s="45">
        <v>14433</v>
      </c>
      <c r="H12" s="44">
        <f t="shared" si="1"/>
        <v>14433</v>
      </c>
      <c r="I12" s="46">
        <v>14667</v>
      </c>
      <c r="J12" s="45">
        <v>14667</v>
      </c>
      <c r="K12" s="44">
        <f t="shared" si="2"/>
        <v>14667</v>
      </c>
      <c r="L12" s="46">
        <v>14879</v>
      </c>
      <c r="M12" s="45">
        <v>14879</v>
      </c>
      <c r="N12" s="44">
        <f t="shared" si="3"/>
        <v>14879</v>
      </c>
      <c r="O12" s="46">
        <v>15090</v>
      </c>
      <c r="P12" s="45">
        <v>15090</v>
      </c>
      <c r="Q12" s="44">
        <f t="shared" si="4"/>
        <v>15090</v>
      </c>
      <c r="R12" s="52">
        <v>14381</v>
      </c>
      <c r="S12" s="51">
        <v>1.3164</v>
      </c>
      <c r="T12" s="51">
        <v>1.1847000000000001</v>
      </c>
      <c r="U12" s="50">
        <v>105.41</v>
      </c>
      <c r="V12" s="43">
        <v>10924.49</v>
      </c>
      <c r="W12" s="43">
        <v>10959.83</v>
      </c>
      <c r="X12" s="49">
        <f t="shared" si="5"/>
        <v>12138.938127796066</v>
      </c>
      <c r="Y12" s="48">
        <v>1.3169</v>
      </c>
    </row>
    <row r="13" spans="1:25" x14ac:dyDescent="0.2">
      <c r="B13" s="47">
        <v>44050</v>
      </c>
      <c r="C13" s="46">
        <v>14335</v>
      </c>
      <c r="D13" s="45">
        <v>14335</v>
      </c>
      <c r="E13" s="44">
        <f t="shared" si="0"/>
        <v>14335</v>
      </c>
      <c r="F13" s="46">
        <v>14379</v>
      </c>
      <c r="G13" s="45">
        <v>14379</v>
      </c>
      <c r="H13" s="44">
        <f t="shared" si="1"/>
        <v>14379</v>
      </c>
      <c r="I13" s="46">
        <v>14613</v>
      </c>
      <c r="J13" s="45">
        <v>14613</v>
      </c>
      <c r="K13" s="44">
        <f t="shared" si="2"/>
        <v>14613</v>
      </c>
      <c r="L13" s="46">
        <v>14823</v>
      </c>
      <c r="M13" s="45">
        <v>14823</v>
      </c>
      <c r="N13" s="44">
        <f t="shared" si="3"/>
        <v>14823</v>
      </c>
      <c r="O13" s="46">
        <v>15034</v>
      </c>
      <c r="P13" s="45">
        <v>15034</v>
      </c>
      <c r="Q13" s="44">
        <f t="shared" si="4"/>
        <v>15034</v>
      </c>
      <c r="R13" s="52">
        <v>14335</v>
      </c>
      <c r="S13" s="51">
        <v>1.3078000000000001</v>
      </c>
      <c r="T13" s="51">
        <v>1.1818</v>
      </c>
      <c r="U13" s="50">
        <v>105.64</v>
      </c>
      <c r="V13" s="43">
        <v>10961.16</v>
      </c>
      <c r="W13" s="43">
        <v>10990.6</v>
      </c>
      <c r="X13" s="49">
        <f t="shared" si="5"/>
        <v>12129.8019969538</v>
      </c>
      <c r="Y13" s="48">
        <v>1.3083</v>
      </c>
    </row>
    <row r="14" spans="1:25" x14ac:dyDescent="0.2">
      <c r="B14" s="47">
        <v>44053</v>
      </c>
      <c r="C14" s="46">
        <v>14146</v>
      </c>
      <c r="D14" s="45">
        <v>14146</v>
      </c>
      <c r="E14" s="44">
        <f t="shared" si="0"/>
        <v>14146</v>
      </c>
      <c r="F14" s="46">
        <v>14195</v>
      </c>
      <c r="G14" s="45">
        <v>14195</v>
      </c>
      <c r="H14" s="44">
        <f t="shared" si="1"/>
        <v>14195</v>
      </c>
      <c r="I14" s="46">
        <v>14424</v>
      </c>
      <c r="J14" s="45">
        <v>14424</v>
      </c>
      <c r="K14" s="44">
        <f t="shared" si="2"/>
        <v>14424</v>
      </c>
      <c r="L14" s="46">
        <v>14634</v>
      </c>
      <c r="M14" s="45">
        <v>14634</v>
      </c>
      <c r="N14" s="44">
        <f t="shared" si="3"/>
        <v>14634</v>
      </c>
      <c r="O14" s="46">
        <v>14845</v>
      </c>
      <c r="P14" s="45">
        <v>14845</v>
      </c>
      <c r="Q14" s="44">
        <f t="shared" si="4"/>
        <v>14845</v>
      </c>
      <c r="R14" s="52">
        <v>14146</v>
      </c>
      <c r="S14" s="51">
        <v>1.3038000000000001</v>
      </c>
      <c r="T14" s="51">
        <v>1.1754</v>
      </c>
      <c r="U14" s="50">
        <v>106.14</v>
      </c>
      <c r="V14" s="43">
        <v>10849.82</v>
      </c>
      <c r="W14" s="43">
        <v>10883.23</v>
      </c>
      <c r="X14" s="49">
        <f t="shared" si="5"/>
        <v>12035.051897226476</v>
      </c>
      <c r="Y14" s="48">
        <v>1.3043</v>
      </c>
    </row>
    <row r="15" spans="1:25" x14ac:dyDescent="0.2">
      <c r="B15" s="47">
        <v>44054</v>
      </c>
      <c r="C15" s="46">
        <v>14153</v>
      </c>
      <c r="D15" s="45">
        <v>14153</v>
      </c>
      <c r="E15" s="44">
        <f t="shared" si="0"/>
        <v>14153</v>
      </c>
      <c r="F15" s="46">
        <v>14185</v>
      </c>
      <c r="G15" s="45">
        <v>14185</v>
      </c>
      <c r="H15" s="44">
        <f t="shared" si="1"/>
        <v>14185</v>
      </c>
      <c r="I15" s="46">
        <v>14413</v>
      </c>
      <c r="J15" s="45">
        <v>14413</v>
      </c>
      <c r="K15" s="44">
        <f t="shared" si="2"/>
        <v>14413</v>
      </c>
      <c r="L15" s="46">
        <v>14614</v>
      </c>
      <c r="M15" s="45">
        <v>14614</v>
      </c>
      <c r="N15" s="44">
        <f t="shared" si="3"/>
        <v>14614</v>
      </c>
      <c r="O15" s="46">
        <v>14825</v>
      </c>
      <c r="P15" s="45">
        <v>14825</v>
      </c>
      <c r="Q15" s="44">
        <f t="shared" si="4"/>
        <v>14825</v>
      </c>
      <c r="R15" s="52">
        <v>14153</v>
      </c>
      <c r="S15" s="51">
        <v>1.3116000000000001</v>
      </c>
      <c r="T15" s="51">
        <v>1.1779999999999999</v>
      </c>
      <c r="U15" s="50">
        <v>106.04</v>
      </c>
      <c r="V15" s="43">
        <v>10790.64</v>
      </c>
      <c r="W15" s="43">
        <v>10810.91</v>
      </c>
      <c r="X15" s="49">
        <f t="shared" si="5"/>
        <v>12014.431239388796</v>
      </c>
      <c r="Y15" s="48">
        <v>1.3121</v>
      </c>
    </row>
    <row r="16" spans="1:25" x14ac:dyDescent="0.2">
      <c r="B16" s="47">
        <v>44055</v>
      </c>
      <c r="C16" s="46">
        <v>14167</v>
      </c>
      <c r="D16" s="45">
        <v>14167</v>
      </c>
      <c r="E16" s="44">
        <f t="shared" si="0"/>
        <v>14167</v>
      </c>
      <c r="F16" s="46">
        <v>14218</v>
      </c>
      <c r="G16" s="45">
        <v>14218</v>
      </c>
      <c r="H16" s="44">
        <f t="shared" si="1"/>
        <v>14218</v>
      </c>
      <c r="I16" s="46">
        <v>14455</v>
      </c>
      <c r="J16" s="45">
        <v>14455</v>
      </c>
      <c r="K16" s="44">
        <f t="shared" si="2"/>
        <v>14455</v>
      </c>
      <c r="L16" s="46">
        <v>14656</v>
      </c>
      <c r="M16" s="45">
        <v>14656</v>
      </c>
      <c r="N16" s="44">
        <f t="shared" si="3"/>
        <v>14656</v>
      </c>
      <c r="O16" s="46">
        <v>14867</v>
      </c>
      <c r="P16" s="45">
        <v>14867</v>
      </c>
      <c r="Q16" s="44">
        <f t="shared" si="4"/>
        <v>14867</v>
      </c>
      <c r="R16" s="52">
        <v>14167</v>
      </c>
      <c r="S16" s="51">
        <v>1.3017000000000001</v>
      </c>
      <c r="T16" s="51">
        <v>1.1767000000000001</v>
      </c>
      <c r="U16" s="50">
        <v>106.95</v>
      </c>
      <c r="V16" s="43">
        <v>10883.46</v>
      </c>
      <c r="W16" s="43">
        <v>10918.45</v>
      </c>
      <c r="X16" s="49">
        <f t="shared" si="5"/>
        <v>12039.602277555876</v>
      </c>
      <c r="Y16" s="48">
        <v>1.3022</v>
      </c>
    </row>
    <row r="17" spans="2:25" x14ac:dyDescent="0.2">
      <c r="B17" s="47">
        <v>44056</v>
      </c>
      <c r="C17" s="46">
        <v>14106</v>
      </c>
      <c r="D17" s="45">
        <v>14106</v>
      </c>
      <c r="E17" s="44">
        <f t="shared" si="0"/>
        <v>14106</v>
      </c>
      <c r="F17" s="46">
        <v>14186</v>
      </c>
      <c r="G17" s="45">
        <v>14186</v>
      </c>
      <c r="H17" s="44">
        <f t="shared" si="1"/>
        <v>14186</v>
      </c>
      <c r="I17" s="46">
        <v>14423</v>
      </c>
      <c r="J17" s="45">
        <v>14423</v>
      </c>
      <c r="K17" s="44">
        <f t="shared" si="2"/>
        <v>14423</v>
      </c>
      <c r="L17" s="46">
        <v>14632</v>
      </c>
      <c r="M17" s="45">
        <v>14632</v>
      </c>
      <c r="N17" s="44">
        <f t="shared" si="3"/>
        <v>14632</v>
      </c>
      <c r="O17" s="46">
        <v>14837</v>
      </c>
      <c r="P17" s="45">
        <v>14837</v>
      </c>
      <c r="Q17" s="44">
        <f t="shared" si="4"/>
        <v>14837</v>
      </c>
      <c r="R17" s="52">
        <v>14106</v>
      </c>
      <c r="S17" s="51">
        <v>1.3095000000000001</v>
      </c>
      <c r="T17" s="51">
        <v>1.1837</v>
      </c>
      <c r="U17" s="50">
        <v>106.97</v>
      </c>
      <c r="V17" s="43">
        <v>10772.05</v>
      </c>
      <c r="W17" s="43">
        <v>10828.18</v>
      </c>
      <c r="X17" s="49">
        <f t="shared" si="5"/>
        <v>11916.870828757286</v>
      </c>
      <c r="Y17" s="48">
        <v>1.3101</v>
      </c>
    </row>
    <row r="18" spans="2:25" x14ac:dyDescent="0.2">
      <c r="B18" s="47">
        <v>44057</v>
      </c>
      <c r="C18" s="46">
        <v>14235</v>
      </c>
      <c r="D18" s="45">
        <v>14235</v>
      </c>
      <c r="E18" s="44">
        <f t="shared" si="0"/>
        <v>14235</v>
      </c>
      <c r="F18" s="46">
        <v>14299</v>
      </c>
      <c r="G18" s="45">
        <v>14299</v>
      </c>
      <c r="H18" s="44">
        <f t="shared" si="1"/>
        <v>14299</v>
      </c>
      <c r="I18" s="46">
        <v>14540</v>
      </c>
      <c r="J18" s="45">
        <v>14540</v>
      </c>
      <c r="K18" s="44">
        <f t="shared" si="2"/>
        <v>14540</v>
      </c>
      <c r="L18" s="46">
        <v>14754</v>
      </c>
      <c r="M18" s="45">
        <v>14754</v>
      </c>
      <c r="N18" s="44">
        <f t="shared" si="3"/>
        <v>14754</v>
      </c>
      <c r="O18" s="46">
        <v>14967</v>
      </c>
      <c r="P18" s="45">
        <v>14967</v>
      </c>
      <c r="Q18" s="44">
        <f t="shared" si="4"/>
        <v>14967</v>
      </c>
      <c r="R18" s="52">
        <v>14235</v>
      </c>
      <c r="S18" s="51">
        <v>1.3104</v>
      </c>
      <c r="T18" s="51">
        <v>1.1809000000000001</v>
      </c>
      <c r="U18" s="50">
        <v>106.68</v>
      </c>
      <c r="V18" s="43">
        <v>10863.1</v>
      </c>
      <c r="W18" s="43">
        <v>10906.94</v>
      </c>
      <c r="X18" s="49">
        <f t="shared" si="5"/>
        <v>12054.365314590566</v>
      </c>
      <c r="Y18" s="48">
        <v>1.3109999999999999</v>
      </c>
    </row>
    <row r="19" spans="2:25" x14ac:dyDescent="0.2">
      <c r="B19" s="47">
        <v>44060</v>
      </c>
      <c r="C19" s="46">
        <v>14548</v>
      </c>
      <c r="D19" s="45">
        <v>14548</v>
      </c>
      <c r="E19" s="44">
        <f t="shared" si="0"/>
        <v>14548</v>
      </c>
      <c r="F19" s="46">
        <v>14602</v>
      </c>
      <c r="G19" s="45">
        <v>14602</v>
      </c>
      <c r="H19" s="44">
        <f t="shared" si="1"/>
        <v>14602</v>
      </c>
      <c r="I19" s="46">
        <v>14848</v>
      </c>
      <c r="J19" s="45">
        <v>14848</v>
      </c>
      <c r="K19" s="44">
        <f t="shared" si="2"/>
        <v>14848</v>
      </c>
      <c r="L19" s="46">
        <v>15052</v>
      </c>
      <c r="M19" s="45">
        <v>15052</v>
      </c>
      <c r="N19" s="44">
        <f t="shared" si="3"/>
        <v>15052</v>
      </c>
      <c r="O19" s="46">
        <v>15265</v>
      </c>
      <c r="P19" s="45">
        <v>15265</v>
      </c>
      <c r="Q19" s="44">
        <f t="shared" si="4"/>
        <v>15265</v>
      </c>
      <c r="R19" s="52">
        <v>14548</v>
      </c>
      <c r="S19" s="51">
        <v>1.3085</v>
      </c>
      <c r="T19" s="51">
        <v>1.1856</v>
      </c>
      <c r="U19" s="50">
        <v>106.29</v>
      </c>
      <c r="V19" s="43">
        <v>11118.07</v>
      </c>
      <c r="W19" s="43">
        <v>11154.23</v>
      </c>
      <c r="X19" s="49">
        <f t="shared" si="5"/>
        <v>12270.580296896087</v>
      </c>
      <c r="Y19" s="48">
        <v>1.3090999999999999</v>
      </c>
    </row>
    <row r="20" spans="2:25" x14ac:dyDescent="0.2">
      <c r="B20" s="47">
        <v>44061</v>
      </c>
      <c r="C20" s="46">
        <v>14602</v>
      </c>
      <c r="D20" s="45">
        <v>14602</v>
      </c>
      <c r="E20" s="44">
        <f t="shared" si="0"/>
        <v>14602</v>
      </c>
      <c r="F20" s="46">
        <v>14652</v>
      </c>
      <c r="G20" s="45">
        <v>14652</v>
      </c>
      <c r="H20" s="44">
        <f t="shared" si="1"/>
        <v>14652</v>
      </c>
      <c r="I20" s="46">
        <v>14895</v>
      </c>
      <c r="J20" s="45">
        <v>14895</v>
      </c>
      <c r="K20" s="44">
        <f t="shared" si="2"/>
        <v>14895</v>
      </c>
      <c r="L20" s="46">
        <v>15105</v>
      </c>
      <c r="M20" s="45">
        <v>15105</v>
      </c>
      <c r="N20" s="44">
        <f t="shared" si="3"/>
        <v>15105</v>
      </c>
      <c r="O20" s="46">
        <v>15318</v>
      </c>
      <c r="P20" s="45">
        <v>15318</v>
      </c>
      <c r="Q20" s="44">
        <f t="shared" si="4"/>
        <v>15318</v>
      </c>
      <c r="R20" s="52">
        <v>14602</v>
      </c>
      <c r="S20" s="51">
        <v>1.3174999999999999</v>
      </c>
      <c r="T20" s="51">
        <v>1.1906000000000001</v>
      </c>
      <c r="U20" s="50">
        <v>105.46</v>
      </c>
      <c r="V20" s="43">
        <v>11083.11</v>
      </c>
      <c r="W20" s="43">
        <v>11116.01</v>
      </c>
      <c r="X20" s="49">
        <f t="shared" si="5"/>
        <v>12264.404501931798</v>
      </c>
      <c r="Y20" s="48">
        <v>1.3180989999999999</v>
      </c>
    </row>
    <row r="21" spans="2:25" x14ac:dyDescent="0.2">
      <c r="B21" s="47">
        <v>44062</v>
      </c>
      <c r="C21" s="46">
        <v>14705</v>
      </c>
      <c r="D21" s="45">
        <v>14705</v>
      </c>
      <c r="E21" s="44">
        <f t="shared" si="0"/>
        <v>14705</v>
      </c>
      <c r="F21" s="46">
        <v>14758</v>
      </c>
      <c r="G21" s="45">
        <v>14758</v>
      </c>
      <c r="H21" s="44">
        <f t="shared" si="1"/>
        <v>14758</v>
      </c>
      <c r="I21" s="46">
        <v>15002</v>
      </c>
      <c r="J21" s="45">
        <v>15002</v>
      </c>
      <c r="K21" s="44">
        <f t="shared" si="2"/>
        <v>15002</v>
      </c>
      <c r="L21" s="46">
        <v>15213</v>
      </c>
      <c r="M21" s="45">
        <v>15213</v>
      </c>
      <c r="N21" s="44">
        <f t="shared" si="3"/>
        <v>15213</v>
      </c>
      <c r="O21" s="46">
        <v>15426</v>
      </c>
      <c r="P21" s="45">
        <v>15426</v>
      </c>
      <c r="Q21" s="44">
        <f t="shared" si="4"/>
        <v>15426</v>
      </c>
      <c r="R21" s="52">
        <v>14705</v>
      </c>
      <c r="S21" s="51">
        <v>1.3210999999999999</v>
      </c>
      <c r="T21" s="51">
        <v>1.1935</v>
      </c>
      <c r="U21" s="50">
        <v>105.27</v>
      </c>
      <c r="V21" s="43">
        <v>11130.88</v>
      </c>
      <c r="W21" s="43">
        <v>11165.92</v>
      </c>
      <c r="X21" s="49">
        <f t="shared" si="5"/>
        <v>12320.904901550062</v>
      </c>
      <c r="Y21" s="48">
        <v>1.3217000000000001</v>
      </c>
    </row>
    <row r="22" spans="2:25" x14ac:dyDescent="0.2">
      <c r="B22" s="47">
        <v>44063</v>
      </c>
      <c r="C22" s="46">
        <v>14666</v>
      </c>
      <c r="D22" s="45">
        <v>14666</v>
      </c>
      <c r="E22" s="44">
        <f t="shared" si="0"/>
        <v>14666</v>
      </c>
      <c r="F22" s="46">
        <v>14707</v>
      </c>
      <c r="G22" s="45">
        <v>14707</v>
      </c>
      <c r="H22" s="44">
        <f t="shared" si="1"/>
        <v>14707</v>
      </c>
      <c r="I22" s="46">
        <v>14947</v>
      </c>
      <c r="J22" s="45">
        <v>14947</v>
      </c>
      <c r="K22" s="44">
        <f t="shared" si="2"/>
        <v>14947</v>
      </c>
      <c r="L22" s="46">
        <v>15158</v>
      </c>
      <c r="M22" s="45">
        <v>15158</v>
      </c>
      <c r="N22" s="44">
        <f t="shared" si="3"/>
        <v>15158</v>
      </c>
      <c r="O22" s="46">
        <v>21371</v>
      </c>
      <c r="P22" s="45">
        <v>21371</v>
      </c>
      <c r="Q22" s="44">
        <f t="shared" si="4"/>
        <v>21371</v>
      </c>
      <c r="R22" s="52">
        <v>14666</v>
      </c>
      <c r="S22" s="51">
        <v>1.3145</v>
      </c>
      <c r="T22" s="51">
        <v>1.1850000000000001</v>
      </c>
      <c r="U22" s="50">
        <v>105.88</v>
      </c>
      <c r="V22" s="43">
        <v>11157.09</v>
      </c>
      <c r="W22" s="43">
        <v>11183.18</v>
      </c>
      <c r="X22" s="49">
        <f t="shared" si="5"/>
        <v>12376.371308016876</v>
      </c>
      <c r="Y22" s="48">
        <v>1.3150999999999999</v>
      </c>
    </row>
    <row r="23" spans="2:25" x14ac:dyDescent="0.2">
      <c r="B23" s="47">
        <v>44064</v>
      </c>
      <c r="C23" s="46">
        <v>14562</v>
      </c>
      <c r="D23" s="45">
        <v>14562</v>
      </c>
      <c r="E23" s="44">
        <f t="shared" si="0"/>
        <v>14562</v>
      </c>
      <c r="F23" s="46">
        <v>14610</v>
      </c>
      <c r="G23" s="45">
        <v>14610</v>
      </c>
      <c r="H23" s="44">
        <f t="shared" si="1"/>
        <v>14610</v>
      </c>
      <c r="I23" s="46">
        <v>14850</v>
      </c>
      <c r="J23" s="45">
        <v>14850</v>
      </c>
      <c r="K23" s="44">
        <f t="shared" si="2"/>
        <v>14850</v>
      </c>
      <c r="L23" s="46">
        <v>15061</v>
      </c>
      <c r="M23" s="45">
        <v>15061</v>
      </c>
      <c r="N23" s="44">
        <f t="shared" si="3"/>
        <v>15061</v>
      </c>
      <c r="O23" s="46">
        <v>15274</v>
      </c>
      <c r="P23" s="45">
        <v>15274</v>
      </c>
      <c r="Q23" s="44">
        <f t="shared" si="4"/>
        <v>15274</v>
      </c>
      <c r="R23" s="52">
        <v>14562</v>
      </c>
      <c r="S23" s="51">
        <v>1.3109</v>
      </c>
      <c r="T23" s="51">
        <v>1.1775</v>
      </c>
      <c r="U23" s="50">
        <v>105.75</v>
      </c>
      <c r="V23" s="43">
        <v>11108.4</v>
      </c>
      <c r="W23" s="43">
        <v>11139.92</v>
      </c>
      <c r="X23" s="49">
        <f t="shared" si="5"/>
        <v>12366.878980891719</v>
      </c>
      <c r="Y23" s="48">
        <v>1.3115000000000001</v>
      </c>
    </row>
    <row r="24" spans="2:25" x14ac:dyDescent="0.2">
      <c r="B24" s="47">
        <v>44067</v>
      </c>
      <c r="C24" s="46">
        <v>14862</v>
      </c>
      <c r="D24" s="45">
        <v>14862</v>
      </c>
      <c r="E24" s="44">
        <f t="shared" si="0"/>
        <v>14862</v>
      </c>
      <c r="F24" s="46">
        <v>14906</v>
      </c>
      <c r="G24" s="45">
        <v>14906</v>
      </c>
      <c r="H24" s="44">
        <f t="shared" si="1"/>
        <v>14906</v>
      </c>
      <c r="I24" s="46">
        <v>15146</v>
      </c>
      <c r="J24" s="45">
        <v>15146</v>
      </c>
      <c r="K24" s="44">
        <f t="shared" si="2"/>
        <v>15146</v>
      </c>
      <c r="L24" s="46">
        <v>15357</v>
      </c>
      <c r="M24" s="45">
        <v>15357</v>
      </c>
      <c r="N24" s="44">
        <f t="shared" si="3"/>
        <v>15357</v>
      </c>
      <c r="O24" s="46">
        <v>15570</v>
      </c>
      <c r="P24" s="45">
        <v>15570</v>
      </c>
      <c r="Q24" s="44">
        <f t="shared" si="4"/>
        <v>15570</v>
      </c>
      <c r="R24" s="52">
        <v>14862</v>
      </c>
      <c r="S24" s="51">
        <v>1.3139000000000001</v>
      </c>
      <c r="T24" s="51">
        <v>1.1843999999999999</v>
      </c>
      <c r="U24" s="50">
        <v>105.75</v>
      </c>
      <c r="V24" s="43">
        <v>11311.36</v>
      </c>
      <c r="W24" s="43">
        <v>11339.67</v>
      </c>
      <c r="X24" s="49">
        <f t="shared" si="5"/>
        <v>12548.125633232017</v>
      </c>
      <c r="Y24" s="48">
        <v>1.3145</v>
      </c>
    </row>
    <row r="25" spans="2:25" x14ac:dyDescent="0.2">
      <c r="B25" s="47">
        <v>44068</v>
      </c>
      <c r="C25" s="46">
        <v>14880</v>
      </c>
      <c r="D25" s="45">
        <v>14880</v>
      </c>
      <c r="E25" s="44">
        <f t="shared" si="0"/>
        <v>14880</v>
      </c>
      <c r="F25" s="46">
        <v>14923</v>
      </c>
      <c r="G25" s="45">
        <v>14923</v>
      </c>
      <c r="H25" s="44">
        <f t="shared" si="1"/>
        <v>14923</v>
      </c>
      <c r="I25" s="46">
        <v>15166</v>
      </c>
      <c r="J25" s="45">
        <v>15166</v>
      </c>
      <c r="K25" s="44">
        <f t="shared" si="2"/>
        <v>15166</v>
      </c>
      <c r="L25" s="46">
        <v>15377</v>
      </c>
      <c r="M25" s="45">
        <v>15377</v>
      </c>
      <c r="N25" s="44">
        <f t="shared" si="3"/>
        <v>15377</v>
      </c>
      <c r="O25" s="46">
        <v>15590</v>
      </c>
      <c r="P25" s="45">
        <v>15590</v>
      </c>
      <c r="Q25" s="44">
        <f t="shared" si="4"/>
        <v>15590</v>
      </c>
      <c r="R25" s="52">
        <v>14880</v>
      </c>
      <c r="S25" s="51">
        <v>1.3134999999999999</v>
      </c>
      <c r="T25" s="51">
        <v>1.1813</v>
      </c>
      <c r="U25" s="50">
        <v>106.43</v>
      </c>
      <c r="V25" s="43">
        <v>11328.51</v>
      </c>
      <c r="W25" s="43">
        <v>11356.06</v>
      </c>
      <c r="X25" s="49">
        <f t="shared" si="5"/>
        <v>12596.292220435114</v>
      </c>
      <c r="Y25" s="48">
        <v>1.3141</v>
      </c>
    </row>
    <row r="26" spans="2:25" x14ac:dyDescent="0.2">
      <c r="B26" s="47">
        <v>44069</v>
      </c>
      <c r="C26" s="46">
        <v>15034</v>
      </c>
      <c r="D26" s="45">
        <v>15034</v>
      </c>
      <c r="E26" s="44">
        <f t="shared" si="0"/>
        <v>15034</v>
      </c>
      <c r="F26" s="46">
        <v>15077</v>
      </c>
      <c r="G26" s="45">
        <v>15077</v>
      </c>
      <c r="H26" s="44">
        <f t="shared" si="1"/>
        <v>15077</v>
      </c>
      <c r="I26" s="46">
        <v>15317</v>
      </c>
      <c r="J26" s="45">
        <v>15317</v>
      </c>
      <c r="K26" s="44">
        <f t="shared" si="2"/>
        <v>15317</v>
      </c>
      <c r="L26" s="46">
        <v>15527</v>
      </c>
      <c r="M26" s="45">
        <v>15527</v>
      </c>
      <c r="N26" s="44">
        <f t="shared" si="3"/>
        <v>15527</v>
      </c>
      <c r="O26" s="46">
        <v>15740</v>
      </c>
      <c r="P26" s="45">
        <v>15740</v>
      </c>
      <c r="Q26" s="44">
        <f t="shared" si="4"/>
        <v>15740</v>
      </c>
      <c r="R26" s="52">
        <v>15034</v>
      </c>
      <c r="S26" s="51">
        <v>1.3144</v>
      </c>
      <c r="T26" s="51">
        <v>1.1796</v>
      </c>
      <c r="U26" s="50">
        <v>106.32</v>
      </c>
      <c r="V26" s="43">
        <v>11437.92</v>
      </c>
      <c r="W26" s="43">
        <v>11465.4</v>
      </c>
      <c r="X26" s="49">
        <f t="shared" si="5"/>
        <v>12744.998304510003</v>
      </c>
      <c r="Y26" s="48">
        <v>1.3149999999999999</v>
      </c>
    </row>
    <row r="27" spans="2:25" x14ac:dyDescent="0.2">
      <c r="B27" s="47">
        <v>44070</v>
      </c>
      <c r="C27" s="46">
        <v>15120</v>
      </c>
      <c r="D27" s="45">
        <v>15120</v>
      </c>
      <c r="E27" s="44">
        <f t="shared" si="0"/>
        <v>15120</v>
      </c>
      <c r="F27" s="46">
        <v>15175</v>
      </c>
      <c r="G27" s="45">
        <v>15175</v>
      </c>
      <c r="H27" s="44">
        <f t="shared" si="1"/>
        <v>15175</v>
      </c>
      <c r="I27" s="46">
        <v>15404</v>
      </c>
      <c r="J27" s="45">
        <v>15404</v>
      </c>
      <c r="K27" s="44">
        <f t="shared" si="2"/>
        <v>15404</v>
      </c>
      <c r="L27" s="46">
        <v>15619</v>
      </c>
      <c r="M27" s="45">
        <v>15619</v>
      </c>
      <c r="N27" s="44">
        <f t="shared" si="3"/>
        <v>15619</v>
      </c>
      <c r="O27" s="46">
        <v>15832</v>
      </c>
      <c r="P27" s="45">
        <v>15832</v>
      </c>
      <c r="Q27" s="44">
        <f t="shared" si="4"/>
        <v>15832</v>
      </c>
      <c r="R27" s="52">
        <v>15120</v>
      </c>
      <c r="S27" s="51">
        <v>1.3199000000000001</v>
      </c>
      <c r="T27" s="51">
        <v>1.1814</v>
      </c>
      <c r="U27" s="50">
        <v>106.08</v>
      </c>
      <c r="V27" s="43">
        <v>11455.41</v>
      </c>
      <c r="W27" s="43">
        <v>11491.86</v>
      </c>
      <c r="X27" s="49">
        <f t="shared" si="5"/>
        <v>12798.374809547993</v>
      </c>
      <c r="Y27" s="48">
        <v>1.3205</v>
      </c>
    </row>
    <row r="28" spans="2:25" x14ac:dyDescent="0.2">
      <c r="B28" s="47">
        <v>44071</v>
      </c>
      <c r="C28" s="46">
        <v>15414</v>
      </c>
      <c r="D28" s="45">
        <v>15414</v>
      </c>
      <c r="E28" s="44">
        <f t="shared" si="0"/>
        <v>15414</v>
      </c>
      <c r="F28" s="46">
        <v>15442</v>
      </c>
      <c r="G28" s="45">
        <v>15442</v>
      </c>
      <c r="H28" s="44">
        <f t="shared" si="1"/>
        <v>15442</v>
      </c>
      <c r="I28" s="46">
        <v>15664</v>
      </c>
      <c r="J28" s="45">
        <v>15664</v>
      </c>
      <c r="K28" s="44">
        <f t="shared" si="2"/>
        <v>15664</v>
      </c>
      <c r="L28" s="46">
        <v>15878</v>
      </c>
      <c r="M28" s="45">
        <v>15878</v>
      </c>
      <c r="N28" s="44">
        <f t="shared" si="3"/>
        <v>15878</v>
      </c>
      <c r="O28" s="46">
        <v>16091</v>
      </c>
      <c r="P28" s="45">
        <v>16091</v>
      </c>
      <c r="Q28" s="44">
        <f t="shared" si="4"/>
        <v>16091</v>
      </c>
      <c r="R28" s="52">
        <v>15414</v>
      </c>
      <c r="S28" s="51">
        <v>1.3310999999999999</v>
      </c>
      <c r="T28" s="51">
        <v>1.1912</v>
      </c>
      <c r="U28" s="50">
        <v>105.36</v>
      </c>
      <c r="V28" s="43">
        <v>11579.9</v>
      </c>
      <c r="W28" s="43">
        <v>11595.7</v>
      </c>
      <c r="X28" s="49">
        <f t="shared" si="5"/>
        <v>12939.892545332437</v>
      </c>
      <c r="Y28" s="48">
        <v>1.3317000000000001</v>
      </c>
    </row>
    <row r="29" spans="2:25" s="10" customFormat="1" x14ac:dyDescent="0.2">
      <c r="B29" s="42" t="s">
        <v>11</v>
      </c>
      <c r="C29" s="41">
        <f>ROUND(AVERAGE(C9:C28),2)</f>
        <v>14486.85</v>
      </c>
      <c r="D29" s="40">
        <f>ROUND(AVERAGE(D9:D28),2)</f>
        <v>14486.85</v>
      </c>
      <c r="E29" s="39">
        <f>ROUND(AVERAGE(C29:D29),2)</f>
        <v>14486.85</v>
      </c>
      <c r="F29" s="41">
        <f>ROUND(AVERAGE(F9:F28),2)</f>
        <v>14535.05</v>
      </c>
      <c r="G29" s="40">
        <f>ROUND(AVERAGE(G9:G28),2)</f>
        <v>14535.05</v>
      </c>
      <c r="H29" s="39">
        <f>ROUND(AVERAGE(F29:G29),2)</f>
        <v>14535.05</v>
      </c>
      <c r="I29" s="41">
        <f>ROUND(AVERAGE(I9:I28),2)</f>
        <v>14771.75</v>
      </c>
      <c r="J29" s="40">
        <f>ROUND(AVERAGE(J9:J28),2)</f>
        <v>14771.75</v>
      </c>
      <c r="K29" s="39">
        <f>ROUND(AVERAGE(I29:J29),2)</f>
        <v>14771.75</v>
      </c>
      <c r="L29" s="41">
        <f>ROUND(AVERAGE(L9:L28),2)</f>
        <v>14981.75</v>
      </c>
      <c r="M29" s="40">
        <f>ROUND(AVERAGE(M9:M28),2)</f>
        <v>14981.75</v>
      </c>
      <c r="N29" s="39">
        <f>ROUND(AVERAGE(L29:M29),2)</f>
        <v>14981.75</v>
      </c>
      <c r="O29" s="41">
        <f>ROUND(AVERAGE(O9:O28),2)</f>
        <v>15494.2</v>
      </c>
      <c r="P29" s="40">
        <f>ROUND(AVERAGE(P9:P28),2)</f>
        <v>15494.2</v>
      </c>
      <c r="Q29" s="39">
        <f>ROUND(AVERAGE(O29:P29),2)</f>
        <v>15494.2</v>
      </c>
      <c r="R29" s="38">
        <f>ROUND(AVERAGE(R9:R28),2)</f>
        <v>14486.85</v>
      </c>
      <c r="S29" s="37">
        <f>ROUND(AVERAGE(S9:S28),4)</f>
        <v>1.3123</v>
      </c>
      <c r="T29" s="36">
        <f>ROUND(AVERAGE(T9:T28),4)</f>
        <v>1.1822999999999999</v>
      </c>
      <c r="U29" s="175">
        <f>ROUND(AVERAGE(U9:U28),2)</f>
        <v>106.02</v>
      </c>
      <c r="V29" s="35">
        <f>AVERAGE(V9:V28)</f>
        <v>11038.028999999999</v>
      </c>
      <c r="W29" s="35">
        <f>AVERAGE(W9:W28)</f>
        <v>11070.002500000002</v>
      </c>
      <c r="X29" s="35">
        <f>AVERAGE(X9:X28)</f>
        <v>12252.679515305888</v>
      </c>
      <c r="Y29" s="34">
        <f>AVERAGE(Y9:Y28)</f>
        <v>1.3128849499999999</v>
      </c>
    </row>
    <row r="30" spans="2:25" s="5" customFormat="1" x14ac:dyDescent="0.2">
      <c r="B30" s="33" t="s">
        <v>12</v>
      </c>
      <c r="C30" s="32">
        <f t="shared" ref="C30:Y30" si="6">MAX(C9:C28)</f>
        <v>15414</v>
      </c>
      <c r="D30" s="31">
        <f t="shared" si="6"/>
        <v>15414</v>
      </c>
      <c r="E30" s="30">
        <f t="shared" si="6"/>
        <v>15414</v>
      </c>
      <c r="F30" s="32">
        <f t="shared" si="6"/>
        <v>15442</v>
      </c>
      <c r="G30" s="31">
        <f t="shared" si="6"/>
        <v>15442</v>
      </c>
      <c r="H30" s="30">
        <f t="shared" si="6"/>
        <v>15442</v>
      </c>
      <c r="I30" s="32">
        <f t="shared" si="6"/>
        <v>15664</v>
      </c>
      <c r="J30" s="31">
        <f t="shared" si="6"/>
        <v>15664</v>
      </c>
      <c r="K30" s="30">
        <f t="shared" si="6"/>
        <v>15664</v>
      </c>
      <c r="L30" s="32">
        <f t="shared" si="6"/>
        <v>15878</v>
      </c>
      <c r="M30" s="31">
        <f t="shared" si="6"/>
        <v>15878</v>
      </c>
      <c r="N30" s="30">
        <f t="shared" si="6"/>
        <v>15878</v>
      </c>
      <c r="O30" s="32">
        <f t="shared" si="6"/>
        <v>21371</v>
      </c>
      <c r="P30" s="31">
        <f t="shared" si="6"/>
        <v>21371</v>
      </c>
      <c r="Q30" s="30">
        <f t="shared" si="6"/>
        <v>21371</v>
      </c>
      <c r="R30" s="29">
        <f t="shared" si="6"/>
        <v>15414</v>
      </c>
      <c r="S30" s="28">
        <f t="shared" si="6"/>
        <v>1.3310999999999999</v>
      </c>
      <c r="T30" s="27">
        <f t="shared" si="6"/>
        <v>1.1935</v>
      </c>
      <c r="U30" s="26">
        <f t="shared" si="6"/>
        <v>106.97</v>
      </c>
      <c r="V30" s="25">
        <f t="shared" si="6"/>
        <v>11579.9</v>
      </c>
      <c r="W30" s="25">
        <f t="shared" si="6"/>
        <v>11595.7</v>
      </c>
      <c r="X30" s="25">
        <f t="shared" si="6"/>
        <v>12939.892545332437</v>
      </c>
      <c r="Y30" s="24">
        <f t="shared" si="6"/>
        <v>1.3317000000000001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13683</v>
      </c>
      <c r="D31" s="21">
        <f t="shared" si="7"/>
        <v>13683</v>
      </c>
      <c r="E31" s="20">
        <f t="shared" si="7"/>
        <v>13683</v>
      </c>
      <c r="F31" s="22">
        <f t="shared" si="7"/>
        <v>13734</v>
      </c>
      <c r="G31" s="21">
        <f t="shared" si="7"/>
        <v>13734</v>
      </c>
      <c r="H31" s="20">
        <f t="shared" si="7"/>
        <v>13734</v>
      </c>
      <c r="I31" s="22">
        <f t="shared" si="7"/>
        <v>13972</v>
      </c>
      <c r="J31" s="21">
        <f t="shared" si="7"/>
        <v>13972</v>
      </c>
      <c r="K31" s="20">
        <f t="shared" si="7"/>
        <v>13972</v>
      </c>
      <c r="L31" s="22">
        <f t="shared" si="7"/>
        <v>14182</v>
      </c>
      <c r="M31" s="21">
        <f t="shared" si="7"/>
        <v>14182</v>
      </c>
      <c r="N31" s="20">
        <f t="shared" si="7"/>
        <v>14182</v>
      </c>
      <c r="O31" s="22">
        <f t="shared" si="7"/>
        <v>14397</v>
      </c>
      <c r="P31" s="21">
        <f t="shared" si="7"/>
        <v>14397</v>
      </c>
      <c r="Q31" s="20">
        <f t="shared" si="7"/>
        <v>14397</v>
      </c>
      <c r="R31" s="19">
        <f t="shared" si="7"/>
        <v>13683</v>
      </c>
      <c r="S31" s="18">
        <f t="shared" si="7"/>
        <v>1.3017000000000001</v>
      </c>
      <c r="T31" s="17">
        <f t="shared" si="7"/>
        <v>1.1726000000000001</v>
      </c>
      <c r="U31" s="16">
        <f t="shared" si="7"/>
        <v>105.27</v>
      </c>
      <c r="V31" s="15">
        <f t="shared" si="7"/>
        <v>10499.54</v>
      </c>
      <c r="W31" s="15">
        <f t="shared" si="7"/>
        <v>10533.82</v>
      </c>
      <c r="X31" s="15">
        <f t="shared" si="7"/>
        <v>11668.940815282278</v>
      </c>
      <c r="Y31" s="14">
        <f t="shared" si="7"/>
        <v>1.3022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44046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44046</v>
      </c>
      <c r="C9" s="46">
        <v>30200</v>
      </c>
      <c r="D9" s="45">
        <v>30200</v>
      </c>
      <c r="E9" s="44">
        <f t="shared" ref="E9:E28" si="0">AVERAGE(C9:D9)</f>
        <v>30200</v>
      </c>
      <c r="F9" s="46">
        <v>30500</v>
      </c>
      <c r="G9" s="45">
        <v>30500</v>
      </c>
      <c r="H9" s="44">
        <f t="shared" ref="H9:H28" si="1">AVERAGE(F9:G9)</f>
        <v>30500</v>
      </c>
      <c r="I9" s="46">
        <v>32335</v>
      </c>
      <c r="J9" s="45">
        <v>32335</v>
      </c>
      <c r="K9" s="44">
        <f t="shared" ref="K9:K28" si="2">AVERAGE(I9:J9)</f>
        <v>32335</v>
      </c>
      <c r="L9" s="52">
        <v>30200</v>
      </c>
      <c r="M9" s="51">
        <v>1.3031999999999999</v>
      </c>
      <c r="N9" s="53">
        <v>1.1726000000000001</v>
      </c>
      <c r="O9" s="50">
        <v>106.21</v>
      </c>
      <c r="P9" s="43">
        <v>23173.73</v>
      </c>
      <c r="Q9" s="43">
        <v>23393.16</v>
      </c>
      <c r="R9" s="49">
        <f t="shared" ref="R9:R28" si="3">L9/N9</f>
        <v>25754.73307180624</v>
      </c>
      <c r="S9" s="48">
        <v>1.3038000000000001</v>
      </c>
    </row>
    <row r="10" spans="1:19" x14ac:dyDescent="0.2">
      <c r="B10" s="47">
        <v>44047</v>
      </c>
      <c r="C10" s="46">
        <v>33000</v>
      </c>
      <c r="D10" s="45">
        <v>33000</v>
      </c>
      <c r="E10" s="44">
        <f t="shared" si="0"/>
        <v>33000</v>
      </c>
      <c r="F10" s="46">
        <v>33200</v>
      </c>
      <c r="G10" s="45">
        <v>33200</v>
      </c>
      <c r="H10" s="44">
        <f t="shared" si="1"/>
        <v>33200</v>
      </c>
      <c r="I10" s="46">
        <v>35030</v>
      </c>
      <c r="J10" s="45">
        <v>35030</v>
      </c>
      <c r="K10" s="44">
        <f t="shared" si="2"/>
        <v>35030</v>
      </c>
      <c r="L10" s="52">
        <v>33000</v>
      </c>
      <c r="M10" s="51">
        <v>1.3025</v>
      </c>
      <c r="N10" s="51">
        <v>1.1760999999999999</v>
      </c>
      <c r="O10" s="50">
        <v>106.12</v>
      </c>
      <c r="P10" s="43">
        <v>25335.89</v>
      </c>
      <c r="Q10" s="43">
        <v>25479.66</v>
      </c>
      <c r="R10" s="49">
        <f t="shared" si="3"/>
        <v>28058.838534138256</v>
      </c>
      <c r="S10" s="48">
        <v>1.3029999999999999</v>
      </c>
    </row>
    <row r="11" spans="1:19" x14ac:dyDescent="0.2">
      <c r="B11" s="47">
        <v>44048</v>
      </c>
      <c r="C11" s="46">
        <v>33000</v>
      </c>
      <c r="D11" s="45">
        <v>33000</v>
      </c>
      <c r="E11" s="44">
        <f t="shared" si="0"/>
        <v>33000</v>
      </c>
      <c r="F11" s="46">
        <v>33200</v>
      </c>
      <c r="G11" s="45">
        <v>33200</v>
      </c>
      <c r="H11" s="44">
        <f t="shared" si="1"/>
        <v>33200</v>
      </c>
      <c r="I11" s="46">
        <v>35025</v>
      </c>
      <c r="J11" s="45">
        <v>35025</v>
      </c>
      <c r="K11" s="44">
        <f t="shared" si="2"/>
        <v>35025</v>
      </c>
      <c r="L11" s="52">
        <v>33000</v>
      </c>
      <c r="M11" s="51">
        <v>1.3142</v>
      </c>
      <c r="N11" s="51">
        <v>1.1855</v>
      </c>
      <c r="O11" s="50">
        <v>105.73</v>
      </c>
      <c r="P11" s="43">
        <v>25110.33</v>
      </c>
      <c r="Q11" s="43">
        <v>25252.91</v>
      </c>
      <c r="R11" s="49">
        <f t="shared" si="3"/>
        <v>27836.355967946016</v>
      </c>
      <c r="S11" s="48">
        <v>1.3147</v>
      </c>
    </row>
    <row r="12" spans="1:19" x14ac:dyDescent="0.2">
      <c r="B12" s="47">
        <v>44049</v>
      </c>
      <c r="C12" s="46">
        <v>33100</v>
      </c>
      <c r="D12" s="45">
        <v>33100</v>
      </c>
      <c r="E12" s="44">
        <f t="shared" si="0"/>
        <v>33100</v>
      </c>
      <c r="F12" s="46">
        <v>33200</v>
      </c>
      <c r="G12" s="45">
        <v>33200</v>
      </c>
      <c r="H12" s="44">
        <f t="shared" si="1"/>
        <v>33200</v>
      </c>
      <c r="I12" s="46">
        <v>35020</v>
      </c>
      <c r="J12" s="45">
        <v>35020</v>
      </c>
      <c r="K12" s="44">
        <f t="shared" si="2"/>
        <v>35020</v>
      </c>
      <c r="L12" s="52">
        <v>33100</v>
      </c>
      <c r="M12" s="51">
        <v>1.3164</v>
      </c>
      <c r="N12" s="51">
        <v>1.1847000000000001</v>
      </c>
      <c r="O12" s="50">
        <v>105.41</v>
      </c>
      <c r="P12" s="43">
        <v>25144.33</v>
      </c>
      <c r="Q12" s="43">
        <v>25210.720000000001</v>
      </c>
      <c r="R12" s="49">
        <f t="shared" si="3"/>
        <v>27939.56275850426</v>
      </c>
      <c r="S12" s="48">
        <v>1.3169</v>
      </c>
    </row>
    <row r="13" spans="1:19" x14ac:dyDescent="0.2">
      <c r="B13" s="47">
        <v>44050</v>
      </c>
      <c r="C13" s="46">
        <v>33095</v>
      </c>
      <c r="D13" s="45">
        <v>33095</v>
      </c>
      <c r="E13" s="44">
        <f t="shared" si="0"/>
        <v>33095</v>
      </c>
      <c r="F13" s="46">
        <v>33200</v>
      </c>
      <c r="G13" s="45">
        <v>33200</v>
      </c>
      <c r="H13" s="44">
        <f t="shared" si="1"/>
        <v>33200</v>
      </c>
      <c r="I13" s="46">
        <v>35020</v>
      </c>
      <c r="J13" s="45">
        <v>35020</v>
      </c>
      <c r="K13" s="44">
        <f t="shared" si="2"/>
        <v>35020</v>
      </c>
      <c r="L13" s="52">
        <v>33095</v>
      </c>
      <c r="M13" s="51">
        <v>1.3078000000000001</v>
      </c>
      <c r="N13" s="51">
        <v>1.1818</v>
      </c>
      <c r="O13" s="50">
        <v>105.64</v>
      </c>
      <c r="P13" s="43">
        <v>25305.86</v>
      </c>
      <c r="Q13" s="43">
        <v>25376.44</v>
      </c>
      <c r="R13" s="49">
        <f t="shared" si="3"/>
        <v>28003.892367574888</v>
      </c>
      <c r="S13" s="48">
        <v>1.3083</v>
      </c>
    </row>
    <row r="14" spans="1:19" x14ac:dyDescent="0.2">
      <c r="B14" s="47">
        <v>44053</v>
      </c>
      <c r="C14" s="46">
        <v>33080</v>
      </c>
      <c r="D14" s="45">
        <v>33080</v>
      </c>
      <c r="E14" s="44">
        <f t="shared" si="0"/>
        <v>33080</v>
      </c>
      <c r="F14" s="46">
        <v>33200</v>
      </c>
      <c r="G14" s="45">
        <v>33200</v>
      </c>
      <c r="H14" s="44">
        <f t="shared" si="1"/>
        <v>33200</v>
      </c>
      <c r="I14" s="46">
        <v>35005</v>
      </c>
      <c r="J14" s="45">
        <v>35005</v>
      </c>
      <c r="K14" s="44">
        <f t="shared" si="2"/>
        <v>35005</v>
      </c>
      <c r="L14" s="52">
        <v>33080</v>
      </c>
      <c r="M14" s="51">
        <v>1.3038000000000001</v>
      </c>
      <c r="N14" s="51">
        <v>1.1754</v>
      </c>
      <c r="O14" s="50">
        <v>106.14</v>
      </c>
      <c r="P14" s="43">
        <v>25371.99</v>
      </c>
      <c r="Q14" s="43">
        <v>25454.27</v>
      </c>
      <c r="R14" s="49">
        <f t="shared" si="3"/>
        <v>28143.610685724008</v>
      </c>
      <c r="S14" s="48">
        <v>1.3043</v>
      </c>
    </row>
    <row r="15" spans="1:19" x14ac:dyDescent="0.2">
      <c r="B15" s="47">
        <v>44054</v>
      </c>
      <c r="C15" s="46">
        <v>33070</v>
      </c>
      <c r="D15" s="45">
        <v>33070</v>
      </c>
      <c r="E15" s="44">
        <f t="shared" si="0"/>
        <v>33070</v>
      </c>
      <c r="F15" s="46">
        <v>33200</v>
      </c>
      <c r="G15" s="45">
        <v>33200</v>
      </c>
      <c r="H15" s="44">
        <f t="shared" si="1"/>
        <v>33200</v>
      </c>
      <c r="I15" s="46">
        <v>34995</v>
      </c>
      <c r="J15" s="45">
        <v>34995</v>
      </c>
      <c r="K15" s="44">
        <f t="shared" si="2"/>
        <v>34995</v>
      </c>
      <c r="L15" s="52">
        <v>33070</v>
      </c>
      <c r="M15" s="51">
        <v>1.3116000000000001</v>
      </c>
      <c r="N15" s="51">
        <v>1.1779999999999999</v>
      </c>
      <c r="O15" s="50">
        <v>106.04</v>
      </c>
      <c r="P15" s="43">
        <v>25213.48</v>
      </c>
      <c r="Q15" s="43">
        <v>25302.95</v>
      </c>
      <c r="R15" s="49">
        <f t="shared" si="3"/>
        <v>28073.005093378608</v>
      </c>
      <c r="S15" s="48">
        <v>1.3121</v>
      </c>
    </row>
    <row r="16" spans="1:19" x14ac:dyDescent="0.2">
      <c r="B16" s="47">
        <v>44055</v>
      </c>
      <c r="C16" s="46">
        <v>33070</v>
      </c>
      <c r="D16" s="45">
        <v>33070</v>
      </c>
      <c r="E16" s="44">
        <f t="shared" si="0"/>
        <v>33070</v>
      </c>
      <c r="F16" s="46">
        <v>33200</v>
      </c>
      <c r="G16" s="45">
        <v>33200</v>
      </c>
      <c r="H16" s="44">
        <f t="shared" si="1"/>
        <v>33200</v>
      </c>
      <c r="I16" s="46">
        <v>34995</v>
      </c>
      <c r="J16" s="45">
        <v>34995</v>
      </c>
      <c r="K16" s="44">
        <f t="shared" si="2"/>
        <v>34995</v>
      </c>
      <c r="L16" s="52">
        <v>33070</v>
      </c>
      <c r="M16" s="51">
        <v>1.3017000000000001</v>
      </c>
      <c r="N16" s="51">
        <v>1.1767000000000001</v>
      </c>
      <c r="O16" s="50">
        <v>106.95</v>
      </c>
      <c r="P16" s="43">
        <v>25405.24</v>
      </c>
      <c r="Q16" s="43">
        <v>25495.32</v>
      </c>
      <c r="R16" s="49">
        <f t="shared" si="3"/>
        <v>28104.019716155348</v>
      </c>
      <c r="S16" s="48">
        <v>1.3022</v>
      </c>
    </row>
    <row r="17" spans="2:19" x14ac:dyDescent="0.2">
      <c r="B17" s="47">
        <v>44056</v>
      </c>
      <c r="C17" s="46">
        <v>33065</v>
      </c>
      <c r="D17" s="45">
        <v>33065</v>
      </c>
      <c r="E17" s="44">
        <f t="shared" si="0"/>
        <v>33065</v>
      </c>
      <c r="F17" s="46">
        <v>33200</v>
      </c>
      <c r="G17" s="45">
        <v>33200</v>
      </c>
      <c r="H17" s="44">
        <f t="shared" si="1"/>
        <v>33200</v>
      </c>
      <c r="I17" s="46">
        <v>34990</v>
      </c>
      <c r="J17" s="45">
        <v>34990</v>
      </c>
      <c r="K17" s="44">
        <f t="shared" si="2"/>
        <v>34990</v>
      </c>
      <c r="L17" s="52">
        <v>33065</v>
      </c>
      <c r="M17" s="51">
        <v>1.3095000000000001</v>
      </c>
      <c r="N17" s="51">
        <v>1.1837</v>
      </c>
      <c r="O17" s="50">
        <v>106.97</v>
      </c>
      <c r="P17" s="43">
        <v>25250.1</v>
      </c>
      <c r="Q17" s="43">
        <v>25341.58</v>
      </c>
      <c r="R17" s="49">
        <f t="shared" si="3"/>
        <v>27933.598040043929</v>
      </c>
      <c r="S17" s="48">
        <v>1.3101</v>
      </c>
    </row>
    <row r="18" spans="2:19" x14ac:dyDescent="0.2">
      <c r="B18" s="47">
        <v>44057</v>
      </c>
      <c r="C18" s="46">
        <v>33065</v>
      </c>
      <c r="D18" s="45">
        <v>33065</v>
      </c>
      <c r="E18" s="44">
        <f t="shared" si="0"/>
        <v>33065</v>
      </c>
      <c r="F18" s="46">
        <v>33200</v>
      </c>
      <c r="G18" s="45">
        <v>33200</v>
      </c>
      <c r="H18" s="44">
        <f t="shared" si="1"/>
        <v>33200</v>
      </c>
      <c r="I18" s="46">
        <v>34990</v>
      </c>
      <c r="J18" s="45">
        <v>34990</v>
      </c>
      <c r="K18" s="44">
        <f t="shared" si="2"/>
        <v>34990</v>
      </c>
      <c r="L18" s="52">
        <v>33065</v>
      </c>
      <c r="M18" s="51">
        <v>1.3104</v>
      </c>
      <c r="N18" s="51">
        <v>1.1809000000000001</v>
      </c>
      <c r="O18" s="50">
        <v>106.68</v>
      </c>
      <c r="P18" s="43">
        <v>25232.75</v>
      </c>
      <c r="Q18" s="43">
        <v>25324.18</v>
      </c>
      <c r="R18" s="49">
        <f t="shared" si="3"/>
        <v>27999.830637649247</v>
      </c>
      <c r="S18" s="48">
        <v>1.3109999999999999</v>
      </c>
    </row>
    <row r="19" spans="2:19" x14ac:dyDescent="0.2">
      <c r="B19" s="47">
        <v>44060</v>
      </c>
      <c r="C19" s="46">
        <v>33050</v>
      </c>
      <c r="D19" s="45">
        <v>33050</v>
      </c>
      <c r="E19" s="44">
        <f t="shared" si="0"/>
        <v>33050</v>
      </c>
      <c r="F19" s="46">
        <v>33200</v>
      </c>
      <c r="G19" s="45">
        <v>33200</v>
      </c>
      <c r="H19" s="44">
        <f t="shared" si="1"/>
        <v>33200</v>
      </c>
      <c r="I19" s="46">
        <v>34975</v>
      </c>
      <c r="J19" s="45">
        <v>34975</v>
      </c>
      <c r="K19" s="44">
        <f t="shared" si="2"/>
        <v>34975</v>
      </c>
      <c r="L19" s="52">
        <v>33050</v>
      </c>
      <c r="M19" s="51">
        <v>1.3085</v>
      </c>
      <c r="N19" s="51">
        <v>1.1856</v>
      </c>
      <c r="O19" s="50">
        <v>106.29</v>
      </c>
      <c r="P19" s="43">
        <v>25257.93</v>
      </c>
      <c r="Q19" s="43">
        <v>25360.93</v>
      </c>
      <c r="R19" s="49">
        <f t="shared" si="3"/>
        <v>27876.180836707154</v>
      </c>
      <c r="S19" s="48">
        <v>1.3090999999999999</v>
      </c>
    </row>
    <row r="20" spans="2:19" x14ac:dyDescent="0.2">
      <c r="B20" s="47">
        <v>44061</v>
      </c>
      <c r="C20" s="46">
        <v>33045</v>
      </c>
      <c r="D20" s="45">
        <v>33045</v>
      </c>
      <c r="E20" s="44">
        <f t="shared" si="0"/>
        <v>33045</v>
      </c>
      <c r="F20" s="46">
        <v>33200</v>
      </c>
      <c r="G20" s="45">
        <v>33200</v>
      </c>
      <c r="H20" s="44">
        <f t="shared" si="1"/>
        <v>33200</v>
      </c>
      <c r="I20" s="46">
        <v>34970</v>
      </c>
      <c r="J20" s="45">
        <v>34970</v>
      </c>
      <c r="K20" s="44">
        <f t="shared" si="2"/>
        <v>34970</v>
      </c>
      <c r="L20" s="52">
        <v>33045</v>
      </c>
      <c r="M20" s="51">
        <v>1.3174999999999999</v>
      </c>
      <c r="N20" s="51">
        <v>1.1906000000000001</v>
      </c>
      <c r="O20" s="50">
        <v>105.46</v>
      </c>
      <c r="P20" s="43">
        <v>25081.59</v>
      </c>
      <c r="Q20" s="43">
        <v>25187.79</v>
      </c>
      <c r="R20" s="49">
        <f t="shared" si="3"/>
        <v>27754.913488997143</v>
      </c>
      <c r="S20" s="48">
        <v>1.3180989999999999</v>
      </c>
    </row>
    <row r="21" spans="2:19" x14ac:dyDescent="0.2">
      <c r="B21" s="47">
        <v>44062</v>
      </c>
      <c r="C21" s="46">
        <v>33045</v>
      </c>
      <c r="D21" s="45">
        <v>33045</v>
      </c>
      <c r="E21" s="44">
        <f t="shared" si="0"/>
        <v>33045</v>
      </c>
      <c r="F21" s="46">
        <v>33200</v>
      </c>
      <c r="G21" s="45">
        <v>33200</v>
      </c>
      <c r="H21" s="44">
        <f t="shared" si="1"/>
        <v>33200</v>
      </c>
      <c r="I21" s="46">
        <v>34965</v>
      </c>
      <c r="J21" s="45">
        <v>34965</v>
      </c>
      <c r="K21" s="44">
        <f t="shared" si="2"/>
        <v>34965</v>
      </c>
      <c r="L21" s="52">
        <v>33045</v>
      </c>
      <c r="M21" s="51">
        <v>1.3210999999999999</v>
      </c>
      <c r="N21" s="51">
        <v>1.1935</v>
      </c>
      <c r="O21" s="50">
        <v>105.27</v>
      </c>
      <c r="P21" s="43">
        <v>25013.25</v>
      </c>
      <c r="Q21" s="43">
        <v>25119.16</v>
      </c>
      <c r="R21" s="49">
        <f t="shared" si="3"/>
        <v>27687.473816506073</v>
      </c>
      <c r="S21" s="48">
        <v>1.3217000000000001</v>
      </c>
    </row>
    <row r="22" spans="2:19" x14ac:dyDescent="0.2">
      <c r="B22" s="47">
        <v>44063</v>
      </c>
      <c r="C22" s="46">
        <v>33045</v>
      </c>
      <c r="D22" s="45">
        <v>33045</v>
      </c>
      <c r="E22" s="44">
        <f t="shared" si="0"/>
        <v>33045</v>
      </c>
      <c r="F22" s="46">
        <v>33200</v>
      </c>
      <c r="G22" s="45">
        <v>33200</v>
      </c>
      <c r="H22" s="44">
        <f t="shared" si="1"/>
        <v>33200</v>
      </c>
      <c r="I22" s="46">
        <v>34960</v>
      </c>
      <c r="J22" s="45">
        <v>34960</v>
      </c>
      <c r="K22" s="44">
        <f t="shared" si="2"/>
        <v>34960</v>
      </c>
      <c r="L22" s="52">
        <v>33045</v>
      </c>
      <c r="M22" s="51">
        <v>1.3145</v>
      </c>
      <c r="N22" s="51">
        <v>1.1850000000000001</v>
      </c>
      <c r="O22" s="50">
        <v>105.88</v>
      </c>
      <c r="P22" s="43">
        <v>25138.84</v>
      </c>
      <c r="Q22" s="43">
        <v>25245.23</v>
      </c>
      <c r="R22" s="49">
        <f t="shared" si="3"/>
        <v>27886.075949367088</v>
      </c>
      <c r="S22" s="48">
        <v>1.3150999999999999</v>
      </c>
    </row>
    <row r="23" spans="2:19" x14ac:dyDescent="0.2">
      <c r="B23" s="47">
        <v>44064</v>
      </c>
      <c r="C23" s="46">
        <v>33045</v>
      </c>
      <c r="D23" s="45">
        <v>33045</v>
      </c>
      <c r="E23" s="44">
        <f t="shared" si="0"/>
        <v>33045</v>
      </c>
      <c r="F23" s="46">
        <v>33200</v>
      </c>
      <c r="G23" s="45">
        <v>33200</v>
      </c>
      <c r="H23" s="44">
        <f t="shared" si="1"/>
        <v>33200</v>
      </c>
      <c r="I23" s="46">
        <v>34960</v>
      </c>
      <c r="J23" s="45">
        <v>34960</v>
      </c>
      <c r="K23" s="44">
        <f t="shared" si="2"/>
        <v>34960</v>
      </c>
      <c r="L23" s="52">
        <v>33045</v>
      </c>
      <c r="M23" s="51">
        <v>1.3109</v>
      </c>
      <c r="N23" s="51">
        <v>1.1775</v>
      </c>
      <c r="O23" s="50">
        <v>105.75</v>
      </c>
      <c r="P23" s="43">
        <v>25207.87</v>
      </c>
      <c r="Q23" s="43">
        <v>25314.53</v>
      </c>
      <c r="R23" s="49">
        <f t="shared" si="3"/>
        <v>28063.694267515923</v>
      </c>
      <c r="S23" s="48">
        <v>1.3115000000000001</v>
      </c>
    </row>
    <row r="24" spans="2:19" x14ac:dyDescent="0.2">
      <c r="B24" s="47">
        <v>44067</v>
      </c>
      <c r="C24" s="46">
        <v>33030</v>
      </c>
      <c r="D24" s="45">
        <v>33030</v>
      </c>
      <c r="E24" s="44">
        <f t="shared" si="0"/>
        <v>33030</v>
      </c>
      <c r="F24" s="46">
        <v>33200</v>
      </c>
      <c r="G24" s="45">
        <v>33200</v>
      </c>
      <c r="H24" s="44">
        <f t="shared" si="1"/>
        <v>33200</v>
      </c>
      <c r="I24" s="46">
        <v>34945</v>
      </c>
      <c r="J24" s="45">
        <v>34945</v>
      </c>
      <c r="K24" s="44">
        <f t="shared" si="2"/>
        <v>34945</v>
      </c>
      <c r="L24" s="52">
        <v>33030</v>
      </c>
      <c r="M24" s="51">
        <v>1.3139000000000001</v>
      </c>
      <c r="N24" s="51">
        <v>1.1843999999999999</v>
      </c>
      <c r="O24" s="50">
        <v>105.75</v>
      </c>
      <c r="P24" s="43">
        <v>25138.9</v>
      </c>
      <c r="Q24" s="43">
        <v>25256.75</v>
      </c>
      <c r="R24" s="49">
        <f t="shared" si="3"/>
        <v>27887.537993920974</v>
      </c>
      <c r="S24" s="48">
        <v>1.3145</v>
      </c>
    </row>
    <row r="25" spans="2:19" x14ac:dyDescent="0.2">
      <c r="B25" s="47">
        <v>44068</v>
      </c>
      <c r="C25" s="46">
        <v>33025</v>
      </c>
      <c r="D25" s="45">
        <v>33025</v>
      </c>
      <c r="E25" s="44">
        <f t="shared" si="0"/>
        <v>33025</v>
      </c>
      <c r="F25" s="46">
        <v>33200</v>
      </c>
      <c r="G25" s="45">
        <v>33200</v>
      </c>
      <c r="H25" s="44">
        <f t="shared" si="1"/>
        <v>33200</v>
      </c>
      <c r="I25" s="46">
        <v>34940</v>
      </c>
      <c r="J25" s="45">
        <v>34940</v>
      </c>
      <c r="K25" s="44">
        <f t="shared" si="2"/>
        <v>34940</v>
      </c>
      <c r="L25" s="52">
        <v>33025</v>
      </c>
      <c r="M25" s="51">
        <v>1.3134999999999999</v>
      </c>
      <c r="N25" s="51">
        <v>1.1813</v>
      </c>
      <c r="O25" s="50">
        <v>106.43</v>
      </c>
      <c r="P25" s="43">
        <v>25142.75</v>
      </c>
      <c r="Q25" s="43">
        <v>25264.44</v>
      </c>
      <c r="R25" s="49">
        <f t="shared" si="3"/>
        <v>27956.488614238551</v>
      </c>
      <c r="S25" s="48">
        <v>1.3141</v>
      </c>
    </row>
    <row r="26" spans="2:19" x14ac:dyDescent="0.2">
      <c r="B26" s="47">
        <v>44069</v>
      </c>
      <c r="C26" s="46">
        <v>33020</v>
      </c>
      <c r="D26" s="45">
        <v>33020</v>
      </c>
      <c r="E26" s="44">
        <f t="shared" si="0"/>
        <v>33020</v>
      </c>
      <c r="F26" s="46">
        <v>33200</v>
      </c>
      <c r="G26" s="45">
        <v>33200</v>
      </c>
      <c r="H26" s="44">
        <f t="shared" si="1"/>
        <v>33200</v>
      </c>
      <c r="I26" s="46">
        <v>34930</v>
      </c>
      <c r="J26" s="45">
        <v>34930</v>
      </c>
      <c r="K26" s="44">
        <f t="shared" si="2"/>
        <v>34930</v>
      </c>
      <c r="L26" s="52">
        <v>33020</v>
      </c>
      <c r="M26" s="51">
        <v>1.3144</v>
      </c>
      <c r="N26" s="51">
        <v>1.1796</v>
      </c>
      <c r="O26" s="50">
        <v>106.32</v>
      </c>
      <c r="P26" s="43">
        <v>25121.73</v>
      </c>
      <c r="Q26" s="43">
        <v>25247.15</v>
      </c>
      <c r="R26" s="49">
        <f t="shared" si="3"/>
        <v>27992.539844014922</v>
      </c>
      <c r="S26" s="48">
        <v>1.3149999999999999</v>
      </c>
    </row>
    <row r="27" spans="2:19" x14ac:dyDescent="0.2">
      <c r="B27" s="47">
        <v>44070</v>
      </c>
      <c r="C27" s="46">
        <v>33025</v>
      </c>
      <c r="D27" s="45">
        <v>33025</v>
      </c>
      <c r="E27" s="44">
        <f t="shared" si="0"/>
        <v>33025</v>
      </c>
      <c r="F27" s="46">
        <v>33200</v>
      </c>
      <c r="G27" s="45">
        <v>33200</v>
      </c>
      <c r="H27" s="44">
        <f t="shared" si="1"/>
        <v>33200</v>
      </c>
      <c r="I27" s="46">
        <v>34930</v>
      </c>
      <c r="J27" s="45">
        <v>34930</v>
      </c>
      <c r="K27" s="44">
        <f t="shared" si="2"/>
        <v>34930</v>
      </c>
      <c r="L27" s="52">
        <v>33025</v>
      </c>
      <c r="M27" s="51">
        <v>1.3199000000000001</v>
      </c>
      <c r="N27" s="51">
        <v>1.1814</v>
      </c>
      <c r="O27" s="50">
        <v>106.08</v>
      </c>
      <c r="P27" s="43">
        <v>25020.83</v>
      </c>
      <c r="Q27" s="43">
        <v>25141.99</v>
      </c>
      <c r="R27" s="49">
        <f t="shared" si="3"/>
        <v>27954.122227865246</v>
      </c>
      <c r="S27" s="48">
        <v>1.3205</v>
      </c>
    </row>
    <row r="28" spans="2:19" x14ac:dyDescent="0.2">
      <c r="B28" s="47">
        <v>44071</v>
      </c>
      <c r="C28" s="46">
        <v>33025</v>
      </c>
      <c r="D28" s="45">
        <v>33025</v>
      </c>
      <c r="E28" s="44">
        <f t="shared" si="0"/>
        <v>33025</v>
      </c>
      <c r="F28" s="46">
        <v>33200</v>
      </c>
      <c r="G28" s="45">
        <v>33200</v>
      </c>
      <c r="H28" s="44">
        <f t="shared" si="1"/>
        <v>33200</v>
      </c>
      <c r="I28" s="46">
        <v>34930</v>
      </c>
      <c r="J28" s="45">
        <v>34930</v>
      </c>
      <c r="K28" s="44">
        <f t="shared" si="2"/>
        <v>34930</v>
      </c>
      <c r="L28" s="52">
        <v>33025</v>
      </c>
      <c r="M28" s="51">
        <v>1.3310999999999999</v>
      </c>
      <c r="N28" s="51">
        <v>1.1912</v>
      </c>
      <c r="O28" s="50">
        <v>105.36</v>
      </c>
      <c r="P28" s="43">
        <v>24810.31</v>
      </c>
      <c r="Q28" s="43">
        <v>24930.54</v>
      </c>
      <c r="R28" s="49">
        <f t="shared" si="3"/>
        <v>27724.143720617863</v>
      </c>
      <c r="S28" s="48">
        <v>1.3317000000000001</v>
      </c>
    </row>
    <row r="29" spans="2:19" s="10" customFormat="1" x14ac:dyDescent="0.2">
      <c r="B29" s="42" t="s">
        <v>11</v>
      </c>
      <c r="C29" s="41">
        <f>ROUND(AVERAGE(C9:C28),2)</f>
        <v>32905</v>
      </c>
      <c r="D29" s="40">
        <f>ROUND(AVERAGE(D9:D28),2)</f>
        <v>32905</v>
      </c>
      <c r="E29" s="39">
        <f>ROUND(AVERAGE(C29:D29),2)</f>
        <v>32905</v>
      </c>
      <c r="F29" s="41">
        <f>ROUND(AVERAGE(F9:F28),2)</f>
        <v>33065</v>
      </c>
      <c r="G29" s="40">
        <f>ROUND(AVERAGE(G9:G28),2)</f>
        <v>33065</v>
      </c>
      <c r="H29" s="39">
        <f>ROUND(AVERAGE(F29:G29),2)</f>
        <v>33065</v>
      </c>
      <c r="I29" s="41">
        <f>ROUND(AVERAGE(I9:I28),2)</f>
        <v>34845.5</v>
      </c>
      <c r="J29" s="40">
        <f>ROUND(AVERAGE(J9:J28),2)</f>
        <v>34845.5</v>
      </c>
      <c r="K29" s="39">
        <f>ROUND(AVERAGE(I29:J29),2)</f>
        <v>34845.5</v>
      </c>
      <c r="L29" s="38">
        <f>ROUND(AVERAGE(L9:L28),2)</f>
        <v>32905</v>
      </c>
      <c r="M29" s="37">
        <f>ROUND(AVERAGE(M9:M28),4)</f>
        <v>1.3123</v>
      </c>
      <c r="N29" s="36">
        <f>ROUND(AVERAGE(N9:N28),4)</f>
        <v>1.1822999999999999</v>
      </c>
      <c r="O29" s="175">
        <f>ROUND(AVERAGE(O9:O28),2)</f>
        <v>106.02</v>
      </c>
      <c r="P29" s="35">
        <f>AVERAGE(P9:P28)</f>
        <v>25073.885000000002</v>
      </c>
      <c r="Q29" s="35">
        <f>AVERAGE(Q9:Q28)</f>
        <v>25184.984999999997</v>
      </c>
      <c r="R29" s="35">
        <f>AVERAGE(R9:R28)</f>
        <v>27831.530881633586</v>
      </c>
      <c r="S29" s="34">
        <f>AVERAGE(S9:S28)</f>
        <v>1.3128849499999999</v>
      </c>
    </row>
    <row r="30" spans="2:19" s="5" customFormat="1" x14ac:dyDescent="0.2">
      <c r="B30" s="33" t="s">
        <v>12</v>
      </c>
      <c r="C30" s="32">
        <f t="shared" ref="C30:S30" si="4">MAX(C9:C28)</f>
        <v>33100</v>
      </c>
      <c r="D30" s="31">
        <f t="shared" si="4"/>
        <v>33100</v>
      </c>
      <c r="E30" s="30">
        <f t="shared" si="4"/>
        <v>33100</v>
      </c>
      <c r="F30" s="32">
        <f t="shared" si="4"/>
        <v>33200</v>
      </c>
      <c r="G30" s="31">
        <f t="shared" si="4"/>
        <v>33200</v>
      </c>
      <c r="H30" s="30">
        <f t="shared" si="4"/>
        <v>33200</v>
      </c>
      <c r="I30" s="32">
        <f t="shared" si="4"/>
        <v>35030</v>
      </c>
      <c r="J30" s="31">
        <f t="shared" si="4"/>
        <v>35030</v>
      </c>
      <c r="K30" s="30">
        <f t="shared" si="4"/>
        <v>35030</v>
      </c>
      <c r="L30" s="29">
        <f t="shared" si="4"/>
        <v>33100</v>
      </c>
      <c r="M30" s="28">
        <f t="shared" si="4"/>
        <v>1.3310999999999999</v>
      </c>
      <c r="N30" s="27">
        <f t="shared" si="4"/>
        <v>1.1935</v>
      </c>
      <c r="O30" s="26">
        <f t="shared" si="4"/>
        <v>106.97</v>
      </c>
      <c r="P30" s="25">
        <f t="shared" si="4"/>
        <v>25405.24</v>
      </c>
      <c r="Q30" s="25">
        <f t="shared" si="4"/>
        <v>25495.32</v>
      </c>
      <c r="R30" s="25">
        <f t="shared" si="4"/>
        <v>28143.610685724008</v>
      </c>
      <c r="S30" s="24">
        <f t="shared" si="4"/>
        <v>1.3317000000000001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30200</v>
      </c>
      <c r="D31" s="21">
        <f t="shared" si="5"/>
        <v>30200</v>
      </c>
      <c r="E31" s="20">
        <f t="shared" si="5"/>
        <v>30200</v>
      </c>
      <c r="F31" s="22">
        <f t="shared" si="5"/>
        <v>30500</v>
      </c>
      <c r="G31" s="21">
        <f t="shared" si="5"/>
        <v>30500</v>
      </c>
      <c r="H31" s="20">
        <f t="shared" si="5"/>
        <v>30500</v>
      </c>
      <c r="I31" s="22">
        <f t="shared" si="5"/>
        <v>32335</v>
      </c>
      <c r="J31" s="21">
        <f t="shared" si="5"/>
        <v>32335</v>
      </c>
      <c r="K31" s="20">
        <f t="shared" si="5"/>
        <v>32335</v>
      </c>
      <c r="L31" s="19">
        <f t="shared" si="5"/>
        <v>30200</v>
      </c>
      <c r="M31" s="18">
        <f t="shared" si="5"/>
        <v>1.3017000000000001</v>
      </c>
      <c r="N31" s="17">
        <f t="shared" si="5"/>
        <v>1.1726000000000001</v>
      </c>
      <c r="O31" s="16">
        <f t="shared" si="5"/>
        <v>105.27</v>
      </c>
      <c r="P31" s="15">
        <f t="shared" si="5"/>
        <v>23173.73</v>
      </c>
      <c r="Q31" s="15">
        <f t="shared" si="5"/>
        <v>23393.16</v>
      </c>
      <c r="R31" s="15">
        <f t="shared" si="5"/>
        <v>25754.73307180624</v>
      </c>
      <c r="S31" s="14">
        <f t="shared" si="5"/>
        <v>1.3022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3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44071</v>
      </c>
      <c r="D5" s="74"/>
      <c r="F5" s="75">
        <v>44071</v>
      </c>
      <c r="G5" s="74"/>
      <c r="I5" s="75">
        <v>44071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44046</v>
      </c>
      <c r="D8" s="68">
        <v>6381.39</v>
      </c>
      <c r="F8" s="69">
        <f t="shared" ref="F8:F27" si="0">C8</f>
        <v>44046</v>
      </c>
      <c r="G8" s="68">
        <v>1709.09</v>
      </c>
      <c r="I8" s="69">
        <f t="shared" ref="I8:I27" si="1">C8</f>
        <v>44046</v>
      </c>
      <c r="J8" s="68">
        <v>2299.62</v>
      </c>
    </row>
    <row r="9" spans="2:10" x14ac:dyDescent="0.2">
      <c r="C9" s="69">
        <v>44047</v>
      </c>
      <c r="D9" s="68">
        <v>6450</v>
      </c>
      <c r="F9" s="69">
        <f t="shared" si="0"/>
        <v>44047</v>
      </c>
      <c r="G9" s="68">
        <v>1744.5</v>
      </c>
      <c r="I9" s="69">
        <f t="shared" si="1"/>
        <v>44047</v>
      </c>
      <c r="J9" s="68">
        <v>2309.61</v>
      </c>
    </row>
    <row r="10" spans="2:10" x14ac:dyDescent="0.2">
      <c r="C10" s="69">
        <v>44048</v>
      </c>
      <c r="D10" s="68">
        <v>6459.11</v>
      </c>
      <c r="F10" s="69">
        <f t="shared" si="0"/>
        <v>44048</v>
      </c>
      <c r="G10" s="68">
        <v>1771.94</v>
      </c>
      <c r="I10" s="69">
        <f t="shared" si="1"/>
        <v>44048</v>
      </c>
      <c r="J10" s="68">
        <v>2334.16</v>
      </c>
    </row>
    <row r="11" spans="2:10" x14ac:dyDescent="0.2">
      <c r="C11" s="69">
        <v>44049</v>
      </c>
      <c r="D11" s="68">
        <v>6475.08</v>
      </c>
      <c r="F11" s="69">
        <f t="shared" si="0"/>
        <v>44049</v>
      </c>
      <c r="G11" s="68">
        <v>1768.95</v>
      </c>
      <c r="I11" s="69">
        <f t="shared" si="1"/>
        <v>44049</v>
      </c>
      <c r="J11" s="68">
        <v>2398.0700000000002</v>
      </c>
    </row>
    <row r="12" spans="2:10" x14ac:dyDescent="0.2">
      <c r="C12" s="69">
        <v>44050</v>
      </c>
      <c r="D12" s="68">
        <v>6440.6</v>
      </c>
      <c r="F12" s="69">
        <f t="shared" si="0"/>
        <v>44050</v>
      </c>
      <c r="G12" s="68">
        <v>1776.44</v>
      </c>
      <c r="I12" s="69">
        <f t="shared" si="1"/>
        <v>44050</v>
      </c>
      <c r="J12" s="68">
        <v>2401.14</v>
      </c>
    </row>
    <row r="13" spans="2:10" x14ac:dyDescent="0.2">
      <c r="C13" s="69">
        <v>44053</v>
      </c>
      <c r="D13" s="68">
        <v>6303.1</v>
      </c>
      <c r="F13" s="69">
        <f t="shared" si="0"/>
        <v>44053</v>
      </c>
      <c r="G13" s="68">
        <v>1760.53</v>
      </c>
      <c r="I13" s="69">
        <f t="shared" si="1"/>
        <v>44053</v>
      </c>
      <c r="J13" s="68">
        <v>2369.92</v>
      </c>
    </row>
    <row r="14" spans="2:10" x14ac:dyDescent="0.2">
      <c r="C14" s="69">
        <v>44054</v>
      </c>
      <c r="D14" s="68">
        <v>6352.32</v>
      </c>
      <c r="F14" s="69">
        <f t="shared" si="0"/>
        <v>44054</v>
      </c>
      <c r="G14" s="68">
        <v>1777.12</v>
      </c>
      <c r="I14" s="69">
        <f t="shared" si="1"/>
        <v>44054</v>
      </c>
      <c r="J14" s="68">
        <v>2377.71</v>
      </c>
    </row>
    <row r="15" spans="2:10" x14ac:dyDescent="0.2">
      <c r="C15" s="69">
        <v>44055</v>
      </c>
      <c r="D15" s="68">
        <v>6318.07</v>
      </c>
      <c r="F15" s="69">
        <f t="shared" si="0"/>
        <v>44055</v>
      </c>
      <c r="G15" s="68">
        <v>1779.75</v>
      </c>
      <c r="I15" s="69">
        <f t="shared" si="1"/>
        <v>44055</v>
      </c>
      <c r="J15" s="68">
        <v>2385.62</v>
      </c>
    </row>
    <row r="16" spans="2:10" x14ac:dyDescent="0.2">
      <c r="C16" s="69">
        <v>44056</v>
      </c>
      <c r="D16" s="68">
        <v>6387.6</v>
      </c>
      <c r="F16" s="69">
        <f t="shared" si="0"/>
        <v>44056</v>
      </c>
      <c r="G16" s="68">
        <v>1787.39</v>
      </c>
      <c r="I16" s="69">
        <f t="shared" si="1"/>
        <v>44056</v>
      </c>
      <c r="J16" s="68">
        <v>2388.56</v>
      </c>
    </row>
    <row r="17" spans="2:10" x14ac:dyDescent="0.2">
      <c r="C17" s="69">
        <v>44057</v>
      </c>
      <c r="D17" s="68">
        <v>6321.01</v>
      </c>
      <c r="F17" s="69">
        <f t="shared" si="0"/>
        <v>44057</v>
      </c>
      <c r="G17" s="68">
        <v>1769.18</v>
      </c>
      <c r="I17" s="69">
        <f t="shared" si="1"/>
        <v>44057</v>
      </c>
      <c r="J17" s="68">
        <v>2385.15</v>
      </c>
    </row>
    <row r="18" spans="2:10" x14ac:dyDescent="0.2">
      <c r="C18" s="69">
        <v>44060</v>
      </c>
      <c r="D18" s="68">
        <v>6412.62</v>
      </c>
      <c r="F18" s="69">
        <f t="shared" si="0"/>
        <v>44060</v>
      </c>
      <c r="G18" s="68">
        <v>1757.72</v>
      </c>
      <c r="I18" s="69">
        <f t="shared" si="1"/>
        <v>44060</v>
      </c>
      <c r="J18" s="68">
        <v>2421.87</v>
      </c>
    </row>
    <row r="19" spans="2:10" x14ac:dyDescent="0.2">
      <c r="C19" s="69">
        <v>44061</v>
      </c>
      <c r="D19" s="68">
        <v>6443.95</v>
      </c>
      <c r="F19" s="69">
        <f t="shared" si="0"/>
        <v>44061</v>
      </c>
      <c r="G19" s="68">
        <v>1760.7</v>
      </c>
      <c r="I19" s="69">
        <f t="shared" si="1"/>
        <v>44061</v>
      </c>
      <c r="J19" s="68">
        <v>2445.4299999999998</v>
      </c>
    </row>
    <row r="20" spans="2:10" x14ac:dyDescent="0.2">
      <c r="C20" s="69">
        <v>44062</v>
      </c>
      <c r="D20" s="68">
        <v>6641.81</v>
      </c>
      <c r="F20" s="69">
        <f t="shared" si="0"/>
        <v>44062</v>
      </c>
      <c r="G20" s="68">
        <v>1785.63</v>
      </c>
      <c r="I20" s="69">
        <f t="shared" si="1"/>
        <v>44062</v>
      </c>
      <c r="J20" s="68">
        <v>2484.81</v>
      </c>
    </row>
    <row r="21" spans="2:10" x14ac:dyDescent="0.2">
      <c r="C21" s="69">
        <v>44063</v>
      </c>
      <c r="D21" s="68">
        <v>6607.69</v>
      </c>
      <c r="F21" s="69">
        <f t="shared" si="0"/>
        <v>44063</v>
      </c>
      <c r="G21" s="68">
        <v>1782.68</v>
      </c>
      <c r="I21" s="69">
        <f t="shared" si="1"/>
        <v>44063</v>
      </c>
      <c r="J21" s="68">
        <v>2483.6999999999998</v>
      </c>
    </row>
    <row r="22" spans="2:10" x14ac:dyDescent="0.2">
      <c r="C22" s="69">
        <v>44064</v>
      </c>
      <c r="D22" s="68">
        <v>6611.15</v>
      </c>
      <c r="F22" s="69">
        <f t="shared" si="0"/>
        <v>44064</v>
      </c>
      <c r="G22" s="68">
        <v>1795.87</v>
      </c>
      <c r="I22" s="69">
        <f t="shared" si="1"/>
        <v>44064</v>
      </c>
      <c r="J22" s="68">
        <v>2491.54</v>
      </c>
    </row>
    <row r="23" spans="2:10" x14ac:dyDescent="0.2">
      <c r="C23" s="69">
        <v>44067</v>
      </c>
      <c r="D23" s="68">
        <v>6545.43</v>
      </c>
      <c r="F23" s="69">
        <f t="shared" si="0"/>
        <v>44067</v>
      </c>
      <c r="G23" s="68">
        <v>1779.7</v>
      </c>
      <c r="I23" s="69">
        <f t="shared" si="1"/>
        <v>44067</v>
      </c>
      <c r="J23" s="68">
        <v>2464.12</v>
      </c>
    </row>
    <row r="24" spans="2:10" x14ac:dyDescent="0.2">
      <c r="C24" s="69">
        <v>44068</v>
      </c>
      <c r="D24" s="68">
        <v>6497.96</v>
      </c>
      <c r="F24" s="69">
        <f t="shared" si="0"/>
        <v>44068</v>
      </c>
      <c r="G24" s="68">
        <v>1770.63</v>
      </c>
      <c r="I24" s="69">
        <f t="shared" si="1"/>
        <v>44068</v>
      </c>
      <c r="J24" s="68">
        <v>2462.4699999999998</v>
      </c>
    </row>
    <row r="25" spans="2:10" x14ac:dyDescent="0.2">
      <c r="C25" s="69">
        <v>44069</v>
      </c>
      <c r="D25" s="68">
        <v>6550.27</v>
      </c>
      <c r="F25" s="69">
        <f t="shared" si="0"/>
        <v>44069</v>
      </c>
      <c r="G25" s="68">
        <v>1784.86</v>
      </c>
      <c r="I25" s="69">
        <f t="shared" si="1"/>
        <v>44069</v>
      </c>
      <c r="J25" s="68">
        <v>2479.0700000000002</v>
      </c>
    </row>
    <row r="26" spans="2:10" x14ac:dyDescent="0.2">
      <c r="C26" s="69">
        <v>44070</v>
      </c>
      <c r="D26" s="68">
        <v>6587.86</v>
      </c>
      <c r="F26" s="69">
        <f t="shared" si="0"/>
        <v>44070</v>
      </c>
      <c r="G26" s="68">
        <v>1781.68</v>
      </c>
      <c r="I26" s="69">
        <f t="shared" si="1"/>
        <v>44070</v>
      </c>
      <c r="J26" s="68">
        <v>2483.8200000000002</v>
      </c>
    </row>
    <row r="27" spans="2:10" ht="13.5" thickBot="1" x14ac:dyDescent="0.25">
      <c r="C27" s="69">
        <v>44071</v>
      </c>
      <c r="D27" s="68">
        <v>6672.01</v>
      </c>
      <c r="F27" s="69">
        <f t="shared" si="0"/>
        <v>44071</v>
      </c>
      <c r="G27" s="68">
        <v>1783.87</v>
      </c>
      <c r="I27" s="69">
        <f t="shared" si="1"/>
        <v>44071</v>
      </c>
      <c r="J27" s="68">
        <v>2517.1799999999998</v>
      </c>
    </row>
    <row r="28" spans="2:10" x14ac:dyDescent="0.2">
      <c r="B28" s="5"/>
      <c r="C28" s="67" t="s">
        <v>11</v>
      </c>
      <c r="D28" s="66">
        <f>ROUND(AVERAGE(D8:D27),2)</f>
        <v>6472.95</v>
      </c>
      <c r="F28" s="67" t="s">
        <v>11</v>
      </c>
      <c r="G28" s="66">
        <f>ROUND(AVERAGE(G8:G27),2)</f>
        <v>1771.41</v>
      </c>
      <c r="I28" s="67" t="s">
        <v>11</v>
      </c>
      <c r="J28" s="66">
        <f>ROUND(AVERAGE(J8:J27),2)</f>
        <v>2419.1799999999998</v>
      </c>
    </row>
    <row r="29" spans="2:10" x14ac:dyDescent="0.2">
      <c r="B29" s="5"/>
      <c r="C29" s="65" t="s">
        <v>12</v>
      </c>
      <c r="D29" s="64">
        <f>MAX(D8:D27)</f>
        <v>6672.01</v>
      </c>
      <c r="F29" s="65" t="s">
        <v>12</v>
      </c>
      <c r="G29" s="64">
        <f>MAX(G8:G27)</f>
        <v>1795.87</v>
      </c>
      <c r="I29" s="65" t="s">
        <v>12</v>
      </c>
      <c r="J29" s="64">
        <f>MAX(J8:J27)</f>
        <v>2517.1799999999998</v>
      </c>
    </row>
    <row r="30" spans="2:10" x14ac:dyDescent="0.2">
      <c r="B30" s="5"/>
      <c r="C30" s="63" t="s">
        <v>13</v>
      </c>
      <c r="D30" s="62">
        <f>MIN(D8:D27)</f>
        <v>6303.1</v>
      </c>
      <c r="F30" s="63" t="s">
        <v>13</v>
      </c>
      <c r="G30" s="62">
        <f>MIN(G8:G27)</f>
        <v>1709.09</v>
      </c>
      <c r="I30" s="63" t="s">
        <v>13</v>
      </c>
      <c r="J30" s="62">
        <f>MIN(J8:J27)</f>
        <v>2299.62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ABR!D28</f>
        <v>6472.95</v>
      </c>
      <c r="D11" s="155">
        <f>ABR!G28</f>
        <v>1771.41</v>
      </c>
      <c r="E11" s="155">
        <f>ABR!J28</f>
        <v>2419.1799999999998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1.3123</v>
      </c>
    </row>
    <row r="18" spans="2:9" x14ac:dyDescent="0.2">
      <c r="B18" s="151" t="s">
        <v>43</v>
      </c>
      <c r="C18" s="150">
        <f>'Averages Inc. Euro Eq'!F67</f>
        <v>106.02</v>
      </c>
    </row>
    <row r="19" spans="2:9" x14ac:dyDescent="0.2">
      <c r="B19" s="151" t="s">
        <v>41</v>
      </c>
      <c r="C19" s="149">
        <f>'Averages Inc. Euro Eq'!F68</f>
        <v>1.1822999999999999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1733.9</v>
      </c>
      <c r="D13" s="113">
        <v>1319</v>
      </c>
      <c r="E13" s="113">
        <v>6496.7</v>
      </c>
      <c r="F13" s="113">
        <v>1935.2</v>
      </c>
      <c r="G13" s="113">
        <v>14486.85</v>
      </c>
      <c r="H13" s="113">
        <v>17671.900000000001</v>
      </c>
      <c r="I13" s="113">
        <v>2406.83</v>
      </c>
      <c r="J13" s="113">
        <v>1363.88</v>
      </c>
      <c r="K13" s="113">
        <v>0.5</v>
      </c>
      <c r="L13" s="113">
        <v>32905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1733.9</v>
      </c>
      <c r="D15" s="113">
        <v>1319</v>
      </c>
      <c r="E15" s="113">
        <v>6496.7</v>
      </c>
      <c r="F15" s="113">
        <v>1935.2</v>
      </c>
      <c r="G15" s="113">
        <v>14486.85</v>
      </c>
      <c r="H15" s="113">
        <v>17671.900000000001</v>
      </c>
      <c r="I15" s="113">
        <v>2406.83</v>
      </c>
      <c r="J15" s="113">
        <v>1363.88</v>
      </c>
      <c r="K15" s="113">
        <v>1</v>
      </c>
      <c r="L15" s="113">
        <v>32905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1733.9</v>
      </c>
      <c r="D17" s="113">
        <v>1319</v>
      </c>
      <c r="E17" s="113">
        <v>6496.7</v>
      </c>
      <c r="F17" s="113">
        <v>1935.2</v>
      </c>
      <c r="G17" s="113">
        <v>14486.85</v>
      </c>
      <c r="H17" s="113">
        <v>17671.900000000001</v>
      </c>
      <c r="I17" s="113">
        <v>2406.83</v>
      </c>
      <c r="J17" s="113">
        <v>1363.88</v>
      </c>
      <c r="K17" s="113">
        <v>0.75</v>
      </c>
      <c r="L17" s="113">
        <v>32905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1771.55</v>
      </c>
      <c r="D19" s="113">
        <v>1337.78</v>
      </c>
      <c r="E19" s="113">
        <v>6485.85</v>
      </c>
      <c r="F19" s="113">
        <v>1954.35</v>
      </c>
      <c r="G19" s="113">
        <v>14535.05</v>
      </c>
      <c r="H19" s="113">
        <v>17649.25</v>
      </c>
      <c r="I19" s="113">
        <v>2426.23</v>
      </c>
      <c r="J19" s="113">
        <v>1380.03</v>
      </c>
      <c r="K19" s="113">
        <v>0.5</v>
      </c>
      <c r="L19" s="113">
        <v>33065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1771.55</v>
      </c>
      <c r="D21" s="113">
        <v>1337.78</v>
      </c>
      <c r="E21" s="113">
        <v>6485.85</v>
      </c>
      <c r="F21" s="113">
        <v>1954.35</v>
      </c>
      <c r="G21" s="113">
        <v>14535.05</v>
      </c>
      <c r="H21" s="113">
        <v>17649.25</v>
      </c>
      <c r="I21" s="113">
        <v>2426.23</v>
      </c>
      <c r="J21" s="113">
        <v>1380.03</v>
      </c>
      <c r="K21" s="113">
        <v>1</v>
      </c>
      <c r="L21" s="113">
        <v>33065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1771.55</v>
      </c>
      <c r="D23" s="113">
        <v>1337.78</v>
      </c>
      <c r="E23" s="113">
        <v>6485.85</v>
      </c>
      <c r="F23" s="113">
        <v>1954.35</v>
      </c>
      <c r="G23" s="113">
        <v>14535.05</v>
      </c>
      <c r="H23" s="113">
        <v>17649.25</v>
      </c>
      <c r="I23" s="113">
        <v>2426.23</v>
      </c>
      <c r="J23" s="113">
        <v>1380.03</v>
      </c>
      <c r="K23" s="113">
        <v>0.75</v>
      </c>
      <c r="L23" s="113">
        <v>33065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1848.28</v>
      </c>
      <c r="D25" s="113">
        <v>1330.7</v>
      </c>
      <c r="E25" s="113">
        <v>6489.35</v>
      </c>
      <c r="F25" s="113">
        <v>1990.78</v>
      </c>
      <c r="G25" s="113">
        <v>14771.75</v>
      </c>
      <c r="H25" s="113"/>
      <c r="I25" s="113">
        <v>2461.6999999999998</v>
      </c>
      <c r="J25" s="113">
        <v>1404.9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1848.28</v>
      </c>
      <c r="D27" s="113">
        <v>1330.7</v>
      </c>
      <c r="E27" s="113">
        <v>6489.35</v>
      </c>
      <c r="F27" s="113">
        <v>1990.78</v>
      </c>
      <c r="G27" s="113">
        <v>14771.75</v>
      </c>
      <c r="H27" s="113"/>
      <c r="I27" s="113">
        <v>2461.6999999999998</v>
      </c>
      <c r="J27" s="113">
        <v>1404.9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1848.28</v>
      </c>
      <c r="D29" s="113">
        <v>1330.7</v>
      </c>
      <c r="E29" s="113">
        <v>6489.35</v>
      </c>
      <c r="F29" s="113">
        <v>1990.78</v>
      </c>
      <c r="G29" s="113">
        <v>14771.75</v>
      </c>
      <c r="H29" s="113"/>
      <c r="I29" s="113">
        <v>2461.6999999999998</v>
      </c>
      <c r="J29" s="113">
        <v>1404.9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1920.35</v>
      </c>
      <c r="D31" s="113"/>
      <c r="E31" s="113">
        <v>6499.35</v>
      </c>
      <c r="F31" s="113">
        <v>2023.28</v>
      </c>
      <c r="G31" s="113">
        <v>14981.75</v>
      </c>
      <c r="H31" s="113"/>
      <c r="I31" s="113">
        <v>2485.4499999999998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1920.35</v>
      </c>
      <c r="D33" s="113"/>
      <c r="E33" s="113">
        <v>6499.35</v>
      </c>
      <c r="F33" s="113">
        <v>2023.28</v>
      </c>
      <c r="G33" s="113">
        <v>14981.75</v>
      </c>
      <c r="H33" s="113"/>
      <c r="I33" s="113">
        <v>2485.4499999999998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1920.35</v>
      </c>
      <c r="D35" s="113"/>
      <c r="E35" s="113">
        <v>6499.35</v>
      </c>
      <c r="F35" s="113">
        <v>2023.28</v>
      </c>
      <c r="G35" s="113">
        <v>14981.75</v>
      </c>
      <c r="H35" s="113"/>
      <c r="I35" s="113">
        <v>2485.4499999999998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1994.35</v>
      </c>
      <c r="D37" s="113"/>
      <c r="E37" s="113">
        <v>6524.6</v>
      </c>
      <c r="F37" s="113">
        <v>2054.48</v>
      </c>
      <c r="G37" s="113">
        <v>15494.2</v>
      </c>
      <c r="H37" s="113"/>
      <c r="I37" s="113">
        <v>2492.9499999999998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1994.35</v>
      </c>
      <c r="D39" s="113"/>
      <c r="E39" s="113">
        <v>6524.6</v>
      </c>
      <c r="F39" s="113">
        <v>2054.48</v>
      </c>
      <c r="G39" s="113">
        <v>15494.2</v>
      </c>
      <c r="H39" s="113"/>
      <c r="I39" s="113">
        <v>2492.9499999999998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1994.35</v>
      </c>
      <c r="D41" s="113"/>
      <c r="E41" s="113">
        <v>6524.6</v>
      </c>
      <c r="F41" s="113">
        <v>2054.48</v>
      </c>
      <c r="G41" s="113">
        <v>15494.2</v>
      </c>
      <c r="H41" s="113"/>
      <c r="I41" s="113">
        <v>2492.9499999999998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17453.650000000001</v>
      </c>
      <c r="I43" s="113"/>
      <c r="J43" s="113"/>
      <c r="K43" s="113">
        <v>0.5</v>
      </c>
      <c r="L43" s="113">
        <v>34845.5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17453.650000000001</v>
      </c>
      <c r="I45" s="113"/>
      <c r="J45" s="113"/>
      <c r="K45" s="113">
        <v>1</v>
      </c>
      <c r="L45" s="113">
        <v>34845.5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17453.650000000001</v>
      </c>
      <c r="I47" s="110"/>
      <c r="J47" s="110"/>
      <c r="K47" s="110">
        <v>0.75</v>
      </c>
      <c r="L47" s="110">
        <v>34845.5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1466.58</v>
      </c>
    </row>
    <row r="55" spans="2:5" x14ac:dyDescent="0.2">
      <c r="B55" s="100" t="s">
        <v>56</v>
      </c>
      <c r="C55" s="101">
        <v>1115.7</v>
      </c>
    </row>
    <row r="56" spans="2:5" x14ac:dyDescent="0.2">
      <c r="B56" s="100" t="s">
        <v>55</v>
      </c>
      <c r="C56" s="101">
        <v>5494.96</v>
      </c>
    </row>
    <row r="57" spans="2:5" x14ac:dyDescent="0.2">
      <c r="B57" s="100" t="s">
        <v>54</v>
      </c>
      <c r="C57" s="101">
        <v>1636.78</v>
      </c>
    </row>
    <row r="58" spans="2:5" x14ac:dyDescent="0.2">
      <c r="B58" s="100" t="s">
        <v>53</v>
      </c>
      <c r="C58" s="101">
        <v>12252.68</v>
      </c>
    </row>
    <row r="59" spans="2:5" x14ac:dyDescent="0.2">
      <c r="B59" s="100" t="s">
        <v>52</v>
      </c>
      <c r="C59" s="101">
        <v>14947.91</v>
      </c>
    </row>
    <row r="60" spans="2:5" x14ac:dyDescent="0.2">
      <c r="B60" s="100" t="s">
        <v>51</v>
      </c>
      <c r="C60" s="101">
        <v>2035.65</v>
      </c>
    </row>
    <row r="61" spans="2:5" x14ac:dyDescent="0.2">
      <c r="B61" s="98" t="s">
        <v>50</v>
      </c>
      <c r="C61" s="97">
        <v>1153.6099999999999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4950.3500000000004</v>
      </c>
      <c r="E65" s="96" t="s">
        <v>46</v>
      </c>
    </row>
    <row r="66" spans="2:9" x14ac:dyDescent="0.2">
      <c r="B66" s="93" t="s">
        <v>45</v>
      </c>
      <c r="D66" s="92">
        <v>4939.97</v>
      </c>
      <c r="E66" s="95" t="s">
        <v>10</v>
      </c>
      <c r="F66" s="90">
        <v>1.3123</v>
      </c>
    </row>
    <row r="67" spans="2:9" x14ac:dyDescent="0.2">
      <c r="B67" s="93" t="s">
        <v>44</v>
      </c>
      <c r="D67" s="92">
        <v>1474.57</v>
      </c>
      <c r="E67" s="95" t="s">
        <v>43</v>
      </c>
      <c r="F67" s="94">
        <v>106.02</v>
      </c>
    </row>
    <row r="68" spans="2:9" x14ac:dyDescent="0.2">
      <c r="B68" s="93" t="s">
        <v>42</v>
      </c>
      <c r="D68" s="92">
        <v>1488.52</v>
      </c>
      <c r="E68" s="91" t="s">
        <v>41</v>
      </c>
      <c r="F68" s="90">
        <v>1.1822999999999999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EE4F79-C6F6-42E2-A0D8-0365FF92BEE1}"/>
</file>

<file path=customXml/itemProps2.xml><?xml version="1.0" encoding="utf-8"?>
<ds:datastoreItem xmlns:ds="http://schemas.openxmlformats.org/officeDocument/2006/customXml" ds:itemID="{0D9DE329-42BE-47B3-AB25-134D889DC3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Juliana F. Scivittaro</cp:lastModifiedBy>
  <cp:lastPrinted>2011-08-25T10:07:39Z</cp:lastPrinted>
  <dcterms:created xsi:type="dcterms:W3CDTF">2012-05-31T12:49:12Z</dcterms:created>
  <dcterms:modified xsi:type="dcterms:W3CDTF">2020-09-01T13:09:16Z</dcterms:modified>
</cp:coreProperties>
</file>