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5\"/>
    </mc:Choice>
  </mc:AlternateContent>
  <xr:revisionPtr revIDLastSave="0" documentId="13_ncr:1_{2C07FB14-37DD-43DE-AD44-0CC01654885E}" xr6:coauthVersionLast="47" xr6:coauthVersionMax="47" xr10:uidLastSave="{00000000-0000-0000-0000-000000000000}"/>
  <bookViews>
    <workbookView xWindow="-120" yWindow="-120" windowWidth="36780" windowHeight="21840" tabRatio="993" activeTab="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5" r:id="rId12"/>
  </sheets>
  <externalReferences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2" l="1"/>
  <c r="P13" i="2"/>
  <c r="Q22" i="3"/>
  <c r="P14" i="3"/>
  <c r="W21" i="4"/>
  <c r="V12" i="4"/>
  <c r="W25" i="5"/>
  <c r="V20" i="5"/>
  <c r="Q18" i="7"/>
  <c r="P16" i="7"/>
  <c r="W9" i="8"/>
  <c r="V9" i="8"/>
  <c r="P10" i="10"/>
  <c r="P29" i="10" s="1"/>
  <c r="Q10" i="10"/>
  <c r="P11" i="10"/>
  <c r="Q11" i="10"/>
  <c r="P12" i="10"/>
  <c r="Q12" i="10"/>
  <c r="P13" i="10"/>
  <c r="Q13" i="10"/>
  <c r="P14" i="10"/>
  <c r="Q14" i="10"/>
  <c r="P15" i="10"/>
  <c r="Q15" i="10"/>
  <c r="P16" i="10"/>
  <c r="Q16" i="10"/>
  <c r="P17" i="10"/>
  <c r="Q17" i="10"/>
  <c r="P18" i="10"/>
  <c r="Q18" i="10"/>
  <c r="P19" i="10"/>
  <c r="Q19" i="10"/>
  <c r="P20" i="10"/>
  <c r="Q20" i="10"/>
  <c r="P21" i="10"/>
  <c r="Q21" i="10"/>
  <c r="P22" i="10"/>
  <c r="Q22" i="10"/>
  <c r="P23" i="10"/>
  <c r="Q23" i="10"/>
  <c r="P24" i="10"/>
  <c r="Q24" i="10"/>
  <c r="P25" i="10"/>
  <c r="Q25" i="10"/>
  <c r="P26" i="10"/>
  <c r="Q26" i="10"/>
  <c r="P27" i="10"/>
  <c r="Q27" i="10"/>
  <c r="P28" i="10"/>
  <c r="Q28" i="10"/>
  <c r="Q9" i="10"/>
  <c r="P9" i="10"/>
  <c r="V10" i="8"/>
  <c r="V31" i="8" s="1"/>
  <c r="W10" i="8"/>
  <c r="V11" i="8"/>
  <c r="W11" i="8"/>
  <c r="V12" i="8"/>
  <c r="W12" i="8"/>
  <c r="V13" i="8"/>
  <c r="W13" i="8"/>
  <c r="V14" i="8"/>
  <c r="W14" i="8"/>
  <c r="W30" i="8" s="1"/>
  <c r="V15" i="8"/>
  <c r="W15" i="8"/>
  <c r="V16" i="8"/>
  <c r="W16" i="8"/>
  <c r="V17" i="8"/>
  <c r="W17" i="8"/>
  <c r="V18" i="8"/>
  <c r="W18" i="8"/>
  <c r="V19" i="8"/>
  <c r="W19" i="8"/>
  <c r="V20" i="8"/>
  <c r="W20" i="8"/>
  <c r="V21" i="8"/>
  <c r="W21" i="8"/>
  <c r="V22" i="8"/>
  <c r="W22" i="8"/>
  <c r="V23" i="8"/>
  <c r="W23" i="8"/>
  <c r="V24" i="8"/>
  <c r="W24" i="8"/>
  <c r="V25" i="8"/>
  <c r="W25" i="8"/>
  <c r="V26" i="8"/>
  <c r="W26" i="8"/>
  <c r="V27" i="8"/>
  <c r="W27" i="8"/>
  <c r="V28" i="8"/>
  <c r="W28" i="8"/>
  <c r="P10" i="7"/>
  <c r="Q10" i="7"/>
  <c r="Q29" i="7" s="1"/>
  <c r="P11" i="7"/>
  <c r="P29" i="7" s="1"/>
  <c r="Q11" i="7"/>
  <c r="P12" i="7"/>
  <c r="Q12" i="7"/>
  <c r="P13" i="7"/>
  <c r="Q13" i="7"/>
  <c r="P14" i="7"/>
  <c r="Q14" i="7"/>
  <c r="P15" i="7"/>
  <c r="Q15" i="7"/>
  <c r="Q16" i="7"/>
  <c r="P17" i="7"/>
  <c r="Q17" i="7"/>
  <c r="P18" i="7"/>
  <c r="P19" i="7"/>
  <c r="Q19" i="7"/>
  <c r="P20" i="7"/>
  <c r="Q20" i="7"/>
  <c r="P21" i="7"/>
  <c r="Q21" i="7"/>
  <c r="P22" i="7"/>
  <c r="Q22" i="7"/>
  <c r="P23" i="7"/>
  <c r="Q23" i="7"/>
  <c r="P24" i="7"/>
  <c r="Q24" i="7"/>
  <c r="P25" i="7"/>
  <c r="Q25" i="7"/>
  <c r="P26" i="7"/>
  <c r="Q26" i="7"/>
  <c r="P27" i="7"/>
  <c r="Q27" i="7"/>
  <c r="P28" i="7"/>
  <c r="Q28" i="7"/>
  <c r="Q9" i="7"/>
  <c r="P9" i="7"/>
  <c r="V10" i="5"/>
  <c r="V29" i="5" s="1"/>
  <c r="W10" i="5"/>
  <c r="V11" i="5"/>
  <c r="W11" i="5"/>
  <c r="V12" i="5"/>
  <c r="W12" i="5"/>
  <c r="V13" i="5"/>
  <c r="W13" i="5"/>
  <c r="V14" i="5"/>
  <c r="W14" i="5"/>
  <c r="W31" i="5" s="1"/>
  <c r="V15" i="5"/>
  <c r="W15" i="5"/>
  <c r="V16" i="5"/>
  <c r="W16" i="5"/>
  <c r="V17" i="5"/>
  <c r="W17" i="5"/>
  <c r="V18" i="5"/>
  <c r="W18" i="5"/>
  <c r="V19" i="5"/>
  <c r="W19" i="5"/>
  <c r="W20" i="5"/>
  <c r="V21" i="5"/>
  <c r="W21" i="5"/>
  <c r="V22" i="5"/>
  <c r="W22" i="5"/>
  <c r="V23" i="5"/>
  <c r="W23" i="5"/>
  <c r="V24" i="5"/>
  <c r="W24" i="5"/>
  <c r="V25" i="5"/>
  <c r="V26" i="5"/>
  <c r="W26" i="5"/>
  <c r="V27" i="5"/>
  <c r="W27" i="5"/>
  <c r="V28" i="5"/>
  <c r="W28" i="5"/>
  <c r="W9" i="5"/>
  <c r="V9" i="5"/>
  <c r="V10" i="4"/>
  <c r="W10" i="4"/>
  <c r="V11" i="4"/>
  <c r="W11" i="4"/>
  <c r="W12" i="4"/>
  <c r="V13" i="4"/>
  <c r="W13" i="4"/>
  <c r="V14" i="4"/>
  <c r="W14" i="4"/>
  <c r="V15" i="4"/>
  <c r="W15" i="4"/>
  <c r="V16" i="4"/>
  <c r="W16" i="4"/>
  <c r="W29" i="4" s="1"/>
  <c r="V17" i="4"/>
  <c r="V30" i="4" s="1"/>
  <c r="W17" i="4"/>
  <c r="W31" i="4" s="1"/>
  <c r="V18" i="4"/>
  <c r="W18" i="4"/>
  <c r="V19" i="4"/>
  <c r="W19" i="4"/>
  <c r="V20" i="4"/>
  <c r="W20" i="4"/>
  <c r="V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W9" i="4"/>
  <c r="V9" i="4"/>
  <c r="P10" i="3"/>
  <c r="P30" i="3" s="1"/>
  <c r="Q10" i="3"/>
  <c r="P11" i="3"/>
  <c r="Q11" i="3"/>
  <c r="P12" i="3"/>
  <c r="Q12" i="3"/>
  <c r="P13" i="3"/>
  <c r="Q13" i="3"/>
  <c r="Q14" i="3"/>
  <c r="P15" i="3"/>
  <c r="Q15" i="3"/>
  <c r="P16" i="3"/>
  <c r="Q16" i="3"/>
  <c r="P17" i="3"/>
  <c r="Q17" i="3"/>
  <c r="Q30" i="3" s="1"/>
  <c r="P18" i="3"/>
  <c r="Q18" i="3"/>
  <c r="P19" i="3"/>
  <c r="Q19" i="3"/>
  <c r="P20" i="3"/>
  <c r="Q20" i="3"/>
  <c r="P21" i="3"/>
  <c r="Q21" i="3"/>
  <c r="P22" i="3"/>
  <c r="P23" i="3"/>
  <c r="Q23" i="3"/>
  <c r="P24" i="3"/>
  <c r="Q24" i="3"/>
  <c r="P25" i="3"/>
  <c r="Q25" i="3"/>
  <c r="P26" i="3"/>
  <c r="Q26" i="3"/>
  <c r="P27" i="3"/>
  <c r="Q27" i="3"/>
  <c r="P28" i="3"/>
  <c r="Q28" i="3"/>
  <c r="Q9" i="3"/>
  <c r="P9" i="3"/>
  <c r="Q9" i="2"/>
  <c r="P10" i="2"/>
  <c r="P30" i="2" s="1"/>
  <c r="Q10" i="2"/>
  <c r="Q30" i="2" s="1"/>
  <c r="P11" i="2"/>
  <c r="Q11" i="2"/>
  <c r="P12" i="2"/>
  <c r="Q12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P23" i="2"/>
  <c r="Q23" i="2"/>
  <c r="P24" i="2"/>
  <c r="Q24" i="2"/>
  <c r="P25" i="2"/>
  <c r="Q25" i="2"/>
  <c r="P26" i="2"/>
  <c r="Q26" i="2"/>
  <c r="P27" i="2"/>
  <c r="Q27" i="2"/>
  <c r="P28" i="2"/>
  <c r="Q28" i="2"/>
  <c r="P9" i="2"/>
  <c r="C19" i="13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R31" i="10"/>
  <c r="O31" i="10"/>
  <c r="N31" i="10"/>
  <c r="M31" i="10"/>
  <c r="L31" i="10"/>
  <c r="J31" i="10"/>
  <c r="I31" i="10"/>
  <c r="G31" i="10"/>
  <c r="F31" i="10"/>
  <c r="D31" i="10"/>
  <c r="C31" i="10"/>
  <c r="S30" i="10"/>
  <c r="P30" i="10"/>
  <c r="O30" i="10"/>
  <c r="N30" i="10"/>
  <c r="M30" i="10"/>
  <c r="L30" i="10"/>
  <c r="J30" i="10"/>
  <c r="I30" i="10"/>
  <c r="G30" i="10"/>
  <c r="F30" i="10"/>
  <c r="E30" i="10"/>
  <c r="D30" i="10"/>
  <c r="C30" i="10"/>
  <c r="S29" i="10"/>
  <c r="O29" i="10"/>
  <c r="N29" i="10"/>
  <c r="M29" i="10"/>
  <c r="L29" i="10"/>
  <c r="J29" i="10"/>
  <c r="K29" i="10" s="1"/>
  <c r="I29" i="10"/>
  <c r="G29" i="10"/>
  <c r="F29" i="10"/>
  <c r="H29" i="10" s="1"/>
  <c r="D29" i="10"/>
  <c r="C29" i="10"/>
  <c r="E29" i="10" s="1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0" i="10" s="1"/>
  <c r="K9" i="10"/>
  <c r="K31" i="10" s="1"/>
  <c r="H9" i="10"/>
  <c r="H31" i="10" s="1"/>
  <c r="E9" i="10"/>
  <c r="E31" i="10" s="1"/>
  <c r="Y31" i="8"/>
  <c r="W31" i="8"/>
  <c r="U31" i="8"/>
  <c r="T31" i="8"/>
  <c r="S31" i="8"/>
  <c r="R31" i="8"/>
  <c r="P31" i="8"/>
  <c r="O31" i="8"/>
  <c r="N31" i="8"/>
  <c r="M31" i="8"/>
  <c r="L31" i="8"/>
  <c r="J31" i="8"/>
  <c r="I31" i="8"/>
  <c r="G31" i="8"/>
  <c r="F31" i="8"/>
  <c r="D31" i="8"/>
  <c r="C31" i="8"/>
  <c r="Y30" i="8"/>
  <c r="U30" i="8"/>
  <c r="T30" i="8"/>
  <c r="S30" i="8"/>
  <c r="R30" i="8"/>
  <c r="P30" i="8"/>
  <c r="O30" i="8"/>
  <c r="M30" i="8"/>
  <c r="L30" i="8"/>
  <c r="J30" i="8"/>
  <c r="I30" i="8"/>
  <c r="G30" i="8"/>
  <c r="F30" i="8"/>
  <c r="E30" i="8"/>
  <c r="D30" i="8"/>
  <c r="C30" i="8"/>
  <c r="Y29" i="8"/>
  <c r="W29" i="8"/>
  <c r="U29" i="8"/>
  <c r="T29" i="8"/>
  <c r="S29" i="8"/>
  <c r="R29" i="8"/>
  <c r="P29" i="8"/>
  <c r="O29" i="8"/>
  <c r="Q29" i="8" s="1"/>
  <c r="M29" i="8"/>
  <c r="L29" i="8"/>
  <c r="N29" i="8" s="1"/>
  <c r="K29" i="8"/>
  <c r="J29" i="8"/>
  <c r="I29" i="8"/>
  <c r="H29" i="8"/>
  <c r="G29" i="8"/>
  <c r="F29" i="8"/>
  <c r="E29" i="8"/>
  <c r="D29" i="8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X30" i="8" s="1"/>
  <c r="Q11" i="8"/>
  <c r="N11" i="8"/>
  <c r="K11" i="8"/>
  <c r="H11" i="8"/>
  <c r="E11" i="8"/>
  <c r="X10" i="8"/>
  <c r="Q10" i="8"/>
  <c r="N10" i="8"/>
  <c r="K10" i="8"/>
  <c r="H10" i="8"/>
  <c r="E10" i="8"/>
  <c r="X9" i="8"/>
  <c r="X31" i="8" s="1"/>
  <c r="Q9" i="8"/>
  <c r="Q31" i="8" s="1"/>
  <c r="N9" i="8"/>
  <c r="N30" i="8" s="1"/>
  <c r="K9" i="8"/>
  <c r="K30" i="8" s="1"/>
  <c r="H9" i="8"/>
  <c r="H31" i="8" s="1"/>
  <c r="E9" i="8"/>
  <c r="E31" i="8" s="1"/>
  <c r="S31" i="7"/>
  <c r="O31" i="7"/>
  <c r="N31" i="7"/>
  <c r="M31" i="7"/>
  <c r="L31" i="7"/>
  <c r="J31" i="7"/>
  <c r="I31" i="7"/>
  <c r="G31" i="7"/>
  <c r="F31" i="7"/>
  <c r="D31" i="7"/>
  <c r="C31" i="7"/>
  <c r="S30" i="7"/>
  <c r="O30" i="7"/>
  <c r="N30" i="7"/>
  <c r="M30" i="7"/>
  <c r="L30" i="7"/>
  <c r="J30" i="7"/>
  <c r="I30" i="7"/>
  <c r="H30" i="7"/>
  <c r="G30" i="7"/>
  <c r="F30" i="7"/>
  <c r="D30" i="7"/>
  <c r="C30" i="7"/>
  <c r="S29" i="7"/>
  <c r="O29" i="7"/>
  <c r="N29" i="7"/>
  <c r="M29" i="7"/>
  <c r="L29" i="7"/>
  <c r="J29" i="7"/>
  <c r="I29" i="7"/>
  <c r="K29" i="7" s="1"/>
  <c r="G29" i="7"/>
  <c r="F29" i="7"/>
  <c r="H29" i="7" s="1"/>
  <c r="E29" i="7"/>
  <c r="D29" i="7"/>
  <c r="C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H31" i="7" s="1"/>
  <c r="E10" i="7"/>
  <c r="E30" i="7" s="1"/>
  <c r="R9" i="7"/>
  <c r="R29" i="7" s="1"/>
  <c r="K9" i="7"/>
  <c r="K31" i="7" s="1"/>
  <c r="H9" i="7"/>
  <c r="E9" i="7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E30" i="6"/>
  <c r="D30" i="6"/>
  <c r="C30" i="6"/>
  <c r="Y29" i="6"/>
  <c r="W29" i="6"/>
  <c r="V29" i="6"/>
  <c r="U29" i="6"/>
  <c r="T29" i="6"/>
  <c r="S29" i="6"/>
  <c r="R29" i="6"/>
  <c r="P29" i="6"/>
  <c r="O29" i="6"/>
  <c r="Q29" i="6" s="1"/>
  <c r="M29" i="6"/>
  <c r="L29" i="6"/>
  <c r="N29" i="6" s="1"/>
  <c r="K29" i="6"/>
  <c r="J29" i="6"/>
  <c r="I29" i="6"/>
  <c r="H29" i="6"/>
  <c r="G29" i="6"/>
  <c r="F29" i="6"/>
  <c r="E29" i="6"/>
  <c r="D29" i="6"/>
  <c r="C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N31" i="6" s="1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X30" i="6" s="1"/>
  <c r="Q11" i="6"/>
  <c r="Q31" i="6" s="1"/>
  <c r="N11" i="6"/>
  <c r="K11" i="6"/>
  <c r="H11" i="6"/>
  <c r="E11" i="6"/>
  <c r="X10" i="6"/>
  <c r="Q10" i="6"/>
  <c r="N10" i="6"/>
  <c r="K10" i="6"/>
  <c r="H10" i="6"/>
  <c r="E10" i="6"/>
  <c r="X9" i="6"/>
  <c r="X31" i="6" s="1"/>
  <c r="Q9" i="6"/>
  <c r="Q30" i="6" s="1"/>
  <c r="N9" i="6"/>
  <c r="N30" i="6" s="1"/>
  <c r="K9" i="6"/>
  <c r="K30" i="6" s="1"/>
  <c r="H9" i="6"/>
  <c r="H30" i="6" s="1"/>
  <c r="E9" i="6"/>
  <c r="E31" i="6" s="1"/>
  <c r="Y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W29" i="5"/>
  <c r="U29" i="5"/>
  <c r="T29" i="5"/>
  <c r="S29" i="5"/>
  <c r="R29" i="5"/>
  <c r="Q29" i="5"/>
  <c r="P29" i="5"/>
  <c r="O29" i="5"/>
  <c r="M29" i="5"/>
  <c r="L29" i="5"/>
  <c r="N29" i="5" s="1"/>
  <c r="J29" i="5"/>
  <c r="I29" i="5"/>
  <c r="K29" i="5" s="1"/>
  <c r="H29" i="5"/>
  <c r="G29" i="5"/>
  <c r="F29" i="5"/>
  <c r="E29" i="5"/>
  <c r="D29" i="5"/>
  <c r="C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Q30" i="5" s="1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X29" i="5" s="1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N31" i="5" s="1"/>
  <c r="K11" i="5"/>
  <c r="K31" i="5" s="1"/>
  <c r="H11" i="5"/>
  <c r="E11" i="5"/>
  <c r="X10" i="5"/>
  <c r="X30" i="5" s="1"/>
  <c r="Q10" i="5"/>
  <c r="N10" i="5"/>
  <c r="K10" i="5"/>
  <c r="H10" i="5"/>
  <c r="E10" i="5"/>
  <c r="X9" i="5"/>
  <c r="Q9" i="5"/>
  <c r="Q31" i="5" s="1"/>
  <c r="N9" i="5"/>
  <c r="K9" i="5"/>
  <c r="K30" i="5" s="1"/>
  <c r="H9" i="5"/>
  <c r="H30" i="5" s="1"/>
  <c r="E9" i="5"/>
  <c r="E31" i="5" s="1"/>
  <c r="Y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U29" i="4"/>
  <c r="T29" i="4"/>
  <c r="S29" i="4"/>
  <c r="R29" i="4"/>
  <c r="Q29" i="4"/>
  <c r="P29" i="4"/>
  <c r="O29" i="4"/>
  <c r="N29" i="4"/>
  <c r="M29" i="4"/>
  <c r="L29" i="4"/>
  <c r="J29" i="4"/>
  <c r="I29" i="4"/>
  <c r="K29" i="4" s="1"/>
  <c r="G29" i="4"/>
  <c r="F29" i="4"/>
  <c r="H29" i="4" s="1"/>
  <c r="E29" i="4"/>
  <c r="D29" i="4"/>
  <c r="C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H31" i="4" s="1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N30" i="4" s="1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E31" i="4" s="1"/>
  <c r="X10" i="4"/>
  <c r="X29" i="4" s="1"/>
  <c r="Q10" i="4"/>
  <c r="Q30" i="4" s="1"/>
  <c r="N10" i="4"/>
  <c r="K10" i="4"/>
  <c r="K31" i="4" s="1"/>
  <c r="H10" i="4"/>
  <c r="H30" i="4" s="1"/>
  <c r="E10" i="4"/>
  <c r="E30" i="4" s="1"/>
  <c r="X9" i="4"/>
  <c r="X30" i="4" s="1"/>
  <c r="Q9" i="4"/>
  <c r="Q31" i="4" s="1"/>
  <c r="N9" i="4"/>
  <c r="N31" i="4" s="1"/>
  <c r="K9" i="4"/>
  <c r="H9" i="4"/>
  <c r="E9" i="4"/>
  <c r="S31" i="3"/>
  <c r="Q31" i="3"/>
  <c r="O31" i="3"/>
  <c r="N31" i="3"/>
  <c r="M31" i="3"/>
  <c r="L31" i="3"/>
  <c r="J31" i="3"/>
  <c r="I31" i="3"/>
  <c r="G31" i="3"/>
  <c r="F31" i="3"/>
  <c r="D31" i="3"/>
  <c r="C31" i="3"/>
  <c r="S30" i="3"/>
  <c r="O30" i="3"/>
  <c r="N30" i="3"/>
  <c r="M30" i="3"/>
  <c r="L30" i="3"/>
  <c r="J30" i="3"/>
  <c r="I30" i="3"/>
  <c r="G30" i="3"/>
  <c r="F30" i="3"/>
  <c r="D30" i="3"/>
  <c r="C30" i="3"/>
  <c r="S29" i="3"/>
  <c r="R29" i="3"/>
  <c r="Q29" i="3"/>
  <c r="P29" i="3"/>
  <c r="O29" i="3"/>
  <c r="N29" i="3"/>
  <c r="M29" i="3"/>
  <c r="L29" i="3"/>
  <c r="K29" i="3"/>
  <c r="J29" i="3"/>
  <c r="I29" i="3"/>
  <c r="G29" i="3"/>
  <c r="F29" i="3"/>
  <c r="H29" i="3" s="1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R30" i="3" s="1"/>
  <c r="K12" i="3"/>
  <c r="H12" i="3"/>
  <c r="E12" i="3"/>
  <c r="R11" i="3"/>
  <c r="R31" i="3" s="1"/>
  <c r="K11" i="3"/>
  <c r="K31" i="3" s="1"/>
  <c r="H11" i="3"/>
  <c r="E11" i="3"/>
  <c r="R10" i="3"/>
  <c r="K10" i="3"/>
  <c r="H10" i="3"/>
  <c r="E10" i="3"/>
  <c r="R9" i="3"/>
  <c r="K9" i="3"/>
  <c r="K30" i="3" s="1"/>
  <c r="H9" i="3"/>
  <c r="H31" i="3" s="1"/>
  <c r="E9" i="3"/>
  <c r="E31" i="3" s="1"/>
  <c r="S31" i="2"/>
  <c r="R31" i="2"/>
  <c r="O31" i="2"/>
  <c r="N31" i="2"/>
  <c r="M31" i="2"/>
  <c r="L31" i="2"/>
  <c r="J31" i="2"/>
  <c r="I31" i="2"/>
  <c r="G31" i="2"/>
  <c r="F31" i="2"/>
  <c r="D31" i="2"/>
  <c r="C31" i="2"/>
  <c r="S30" i="2"/>
  <c r="R30" i="2"/>
  <c r="O30" i="2"/>
  <c r="N30" i="2"/>
  <c r="M30" i="2"/>
  <c r="L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J29" i="2"/>
  <c r="I29" i="2"/>
  <c r="K29" i="2" s="1"/>
  <c r="G29" i="2"/>
  <c r="F29" i="2"/>
  <c r="H29" i="2" s="1"/>
  <c r="D29" i="2"/>
  <c r="C29" i="2"/>
  <c r="E29" i="2" s="1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R29" i="2" s="1"/>
  <c r="K12" i="2"/>
  <c r="H12" i="2"/>
  <c r="E12" i="2"/>
  <c r="R11" i="2"/>
  <c r="K11" i="2"/>
  <c r="H11" i="2"/>
  <c r="E11" i="2"/>
  <c r="R10" i="2"/>
  <c r="K10" i="2"/>
  <c r="H10" i="2"/>
  <c r="E10" i="2"/>
  <c r="R9" i="2"/>
  <c r="K9" i="2"/>
  <c r="K31" i="2" s="1"/>
  <c r="H9" i="2"/>
  <c r="H31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K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Q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Q29" i="1" s="1"/>
  <c r="M29" i="1"/>
  <c r="L29" i="1"/>
  <c r="N29" i="1" s="1"/>
  <c r="J29" i="1"/>
  <c r="I29" i="1"/>
  <c r="K29" i="1" s="1"/>
  <c r="H29" i="1"/>
  <c r="G29" i="1"/>
  <c r="F29" i="1"/>
  <c r="E29" i="1"/>
  <c r="D29" i="1"/>
  <c r="C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X29" i="1" s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N31" i="1" s="1"/>
  <c r="K11" i="1"/>
  <c r="H11" i="1"/>
  <c r="H31" i="1" s="1"/>
  <c r="E11" i="1"/>
  <c r="X10" i="1"/>
  <c r="X31" i="1" s="1"/>
  <c r="Q10" i="1"/>
  <c r="N10" i="1"/>
  <c r="K10" i="1"/>
  <c r="H10" i="1"/>
  <c r="E10" i="1"/>
  <c r="X9" i="1"/>
  <c r="X30" i="1" s="1"/>
  <c r="Q9" i="1"/>
  <c r="Q31" i="1" s="1"/>
  <c r="N9" i="1"/>
  <c r="K9" i="1"/>
  <c r="K30" i="1" s="1"/>
  <c r="H9" i="1"/>
  <c r="H30" i="1" s="1"/>
  <c r="E9" i="1"/>
  <c r="E31" i="1" s="1"/>
  <c r="P31" i="10" l="1"/>
  <c r="Q29" i="10"/>
  <c r="Q31" i="10"/>
  <c r="Q30" i="10"/>
  <c r="V29" i="8"/>
  <c r="V30" i="8"/>
  <c r="Q31" i="7"/>
  <c r="P30" i="7"/>
  <c r="P31" i="7"/>
  <c r="Q30" i="7"/>
  <c r="V29" i="4"/>
  <c r="P31" i="3"/>
  <c r="P31" i="2"/>
  <c r="Q31" i="2"/>
  <c r="N30" i="1"/>
  <c r="K30" i="4"/>
  <c r="N30" i="5"/>
  <c r="X29" i="6"/>
  <c r="R30" i="7"/>
  <c r="X29" i="8"/>
  <c r="Q30" i="8"/>
  <c r="X31" i="4"/>
  <c r="E31" i="7"/>
  <c r="H31" i="5"/>
  <c r="X31" i="5"/>
  <c r="K31" i="6"/>
  <c r="R31" i="7"/>
  <c r="K31" i="8"/>
  <c r="R29" i="10"/>
  <c r="E30" i="2"/>
  <c r="H30" i="8"/>
  <c r="H30" i="2"/>
  <c r="E30" i="3"/>
  <c r="K30" i="7"/>
  <c r="H30" i="10"/>
  <c r="E30" i="1"/>
  <c r="E30" i="5"/>
  <c r="K30" i="2"/>
  <c r="H30" i="3"/>
  <c r="K30" i="10"/>
  <c r="H31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<sst xmlns="http://schemas.openxmlformats.org/spreadsheetml/2006/main" count="429" uniqueCount="99">
  <si>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</si>
  <si>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</si>
  <si>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</si>
  <si>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</si>
  <si>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</si>
  <si>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</si>
  <si>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</si>
  <si>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</si>
  <si>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</si>
  <si>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</si>
  <si>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</si>
  <si>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</si>
  <si>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</si>
  <si>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</si>
  <si>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</si>
  <si>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</si>
  <si>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</si>
  <si>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</si>
  <si>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</si>
  <si>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</si>
  <si>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</si>
  <si>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</si>
  <si>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</si>
  <si>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</si>
  <si>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</si>
  <si>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</si>
  <si>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</si>
  <si>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</si>
  <si>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</si>
  <si>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</si>
  <si>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</si>
  <si>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</si>
  <si>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</si>
  <si>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</si>
  <si>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</si>
  <si>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</si>
  <si>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</si>
  <si>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</si>
  <si>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</si>
  <si>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</si>
  <si>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</si>
  <si>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</si>
  <si>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</si>
  <si>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</si>
  <si>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</si>
  <si>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</si>
  <si>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</si>
  <si>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</si>
  <si>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</si>
  <si>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</si>
  <si>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</si>
  <si>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</si>
  <si>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</si>
  <si>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</si>
  <si>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</si>
  <si>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</si>
  <si>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</si>
  <si>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</si>
  <si>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</si>
  <si>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</si>
  <si>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</si>
  <si>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</si>
  <si>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</si>
  <si>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</si>
  <si>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</si>
  <si>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</si>
  <si>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</si>
  <si>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</si>
  <si>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</si>
  <si>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</si>
  <si>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</si>
  <si>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</si>
  <si>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</si>
  <si>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</si>
  <si>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</si>
  <si>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>3-months Buyer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</si>
  <si>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</si>
  <si>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</si>
  <si>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</si>
  <si>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</si>
  <si>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</si>
  <si>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</si>
  <si>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</si>
  <si>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</si>
  <si>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</si>
  <si>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</si>
  <si>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</si>
  <si>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</si>
  <si>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</si>
  <si>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</si>
  <si>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</si>
  <si>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</si>
  <si>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</si>
  <si>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</si>
  <si>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</si>
  <si>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</si>
  <si>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MAY 2025</t>
  </si>
  <si>
    <t>contract or in tort in respect of any act or omission (including negligence) in relation to the preparation or publication of the data contained in the report.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</si>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</sst>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17" fontId="6" fillId="0" borderId="0" xfId="0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164" fontId="5" fillId="0" borderId="0" xfId="0" applyNumberFormat="1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 applyProtection="1">
      <alignment horizontal="centerContinuous"/>
      <protection locked="0"/>
    </xf>
    <xf numFmtId="0" fontId="6" fillId="0" borderId="5" xfId="0" applyFont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9" xfId="0" applyFont="1" applyBorder="1" applyAlignment="1">
      <alignment horizontal="center"/>
    </xf>
    <xf numFmtId="167" fontId="4" fillId="0" borderId="19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7" fontId="4" fillId="0" borderId="20" xfId="0" applyNumberFormat="1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169" fontId="4" fillId="0" borderId="9" xfId="0" applyNumberFormat="1" applyFont="1" applyBorder="1" applyAlignment="1">
      <alignment horizontal="center"/>
    </xf>
    <xf numFmtId="169" fontId="4" fillId="0" borderId="19" xfId="0" applyNumberFormat="1" applyFont="1" applyBorder="1" applyAlignment="1">
      <alignment horizontal="center"/>
    </xf>
    <xf numFmtId="169" fontId="4" fillId="0" borderId="8" xfId="0" applyNumberFormat="1" applyFont="1" applyBorder="1" applyAlignment="1">
      <alignment horizontal="center"/>
    </xf>
    <xf numFmtId="169" fontId="4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7" fontId="4" fillId="0" borderId="12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67" fontId="4" fillId="0" borderId="18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9" fontId="4" fillId="0" borderId="11" xfId="0" applyNumberFormat="1" applyFont="1" applyBorder="1" applyAlignment="1">
      <alignment horizontal="center"/>
    </xf>
    <xf numFmtId="169" fontId="4" fillId="0" borderId="12" xfId="0" applyNumberFormat="1" applyFont="1" applyBorder="1" applyAlignment="1">
      <alignment horizontal="center"/>
    </xf>
    <xf numFmtId="169" fontId="4" fillId="0" borderId="18" xfId="0" applyNumberFormat="1" applyFont="1" applyBorder="1" applyAlignment="1">
      <alignment horizontal="center"/>
    </xf>
    <xf numFmtId="169" fontId="4" fillId="0" borderId="17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67" fontId="4" fillId="0" borderId="14" xfId="0" applyNumberFormat="1" applyFont="1" applyBorder="1" applyAlignment="1">
      <alignment horizontal="center"/>
    </xf>
    <xf numFmtId="2" fontId="4" fillId="0" borderId="16" xfId="0" applyNumberFormat="1" applyFont="1" applyBorder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167" fontId="4" fillId="0" borderId="21" xfId="0" applyNumberFormat="1" applyFont="1" applyBorder="1" applyAlignment="1">
      <alignment horizontal="center"/>
    </xf>
    <xf numFmtId="169" fontId="4" fillId="0" borderId="16" xfId="0" applyNumberFormat="1" applyFont="1" applyBorder="1" applyAlignment="1">
      <alignment horizontal="center"/>
    </xf>
    <xf numFmtId="169" fontId="4" fillId="0" borderId="14" xfId="0" applyNumberFormat="1" applyFont="1" applyBorder="1" applyAlignment="1">
      <alignment horizontal="center"/>
    </xf>
    <xf numFmtId="169" fontId="4" fillId="0" borderId="13" xfId="0" applyNumberFormat="1" applyFont="1" applyBorder="1" applyAlignment="1">
      <alignment horizontal="center"/>
    </xf>
    <xf numFmtId="169" fontId="4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4" fontId="8" fillId="0" borderId="11" xfId="0" applyNumberFormat="1" applyFont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Border="1" applyAlignment="1">
      <alignment horizontal="center"/>
    </xf>
    <xf numFmtId="4" fontId="8" fillId="0" borderId="11" xfId="0" applyNumberFormat="1" applyFont="1" applyBorder="1" applyAlignment="1">
      <alignment horizontal="center"/>
    </xf>
    <xf numFmtId="2" fontId="8" fillId="0" borderId="0" xfId="0" applyNumberFormat="1" applyFont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166" fontId="8" fillId="0" borderId="11" xfId="0" applyNumberFormat="1" applyFont="1" applyBorder="1" applyAlignment="1">
      <alignment horizontal="center"/>
    </xf>
    <xf numFmtId="167" fontId="8" fillId="0" borderId="1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4" fontId="4" fillId="0" borderId="7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/>
    <xf numFmtId="165" fontId="2" fillId="0" borderId="19" xfId="0" applyNumberFormat="1" applyFont="1" applyBorder="1" applyAlignment="1">
      <alignment horizontal="right"/>
    </xf>
    <xf numFmtId="164" fontId="1" fillId="0" borderId="24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right"/>
    </xf>
    <xf numFmtId="164" fontId="1" fillId="0" borderId="17" xfId="0" applyNumberFormat="1" applyFont="1" applyBorder="1" applyAlignment="1">
      <alignment horizontal="center"/>
    </xf>
    <xf numFmtId="165" fontId="2" fillId="0" borderId="14" xfId="0" applyNumberFormat="1" applyFont="1" applyBorder="1" applyAlignment="1">
      <alignment horizontal="right"/>
    </xf>
    <xf numFmtId="164" fontId="1" fillId="0" borderId="2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/>
    <xf numFmtId="17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/>
    <xf numFmtId="0" fontId="0" fillId="2" borderId="0" xfId="0" applyFill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/>
    <xf numFmtId="171" fontId="2" fillId="2" borderId="0" xfId="0" applyNumberFormat="1" applyFont="1" applyFill="1" applyAlignment="1">
      <alignment horizontal="left"/>
    </xf>
    <xf numFmtId="167" fontId="2" fillId="2" borderId="43" xfId="0" applyNumberFormat="1" applyFont="1" applyFill="1" applyBorder="1"/>
    <xf numFmtId="2" fontId="2" fillId="2" borderId="43" xfId="0" applyNumberFormat="1" applyFont="1" applyFill="1" applyBorder="1"/>
    <xf numFmtId="174" fontId="2" fillId="2" borderId="43" xfId="0" applyNumberFormat="1" applyFont="1" applyFill="1" applyBorder="1"/>
    <xf numFmtId="0" fontId="2" fillId="2" borderId="43" xfId="0" applyFont="1" applyFill="1" applyBorder="1"/>
    <xf numFmtId="0" fontId="6" fillId="2" borderId="43" xfId="0" applyFont="1" applyFill="1" applyBorder="1"/>
    <xf numFmtId="0" fontId="13" fillId="2" borderId="43" xfId="0" applyFont="1" applyFill="1" applyBorder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17" fontId="6" fillId="2" borderId="0" xfId="0" applyNumberFormat="1" applyFont="1" applyFill="1"/>
    <xf numFmtId="0" fontId="1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/>
    <xf numFmtId="0" fontId="14" fillId="2" borderId="0" xfId="0" applyFont="1" applyFill="1"/>
    <xf numFmtId="177" fontId="2" fillId="2" borderId="0" xfId="0" applyNumberFormat="1" applyFont="1" applyFill="1" applyAlignment="1">
      <alignment horizontal="center"/>
    </xf>
    <xf numFmtId="0" fontId="5" fillId="2" borderId="0" xfId="0" applyFont="1" applyFill="1"/>
    <xf numFmtId="2" fontId="8" fillId="0" borderId="14" xfId="0" applyNumberFormat="1" applyFont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6" fillId="0" borderId="44" xfId="0" applyNumberFormat="1" applyFont="1" applyBorder="1" applyAlignment="1">
      <alignment horizontal="center"/>
    </xf>
    <xf numFmtId="4" fontId="6" fillId="0" borderId="16" xfId="0" applyNumberFormat="1" applyFont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4" fontId="6" fillId="0" borderId="23" xfId="0" applyNumberFormat="1" applyFont="1" applyBorder="1" applyAlignment="1" applyProtection="1">
      <alignment horizontal="center"/>
      <protection locked="0"/>
    </xf>
    <xf numFmtId="4" fontId="6" fillId="0" borderId="45" xfId="0" applyNumberFormat="1" applyFont="1" applyBorder="1" applyAlignment="1" applyProtection="1">
      <alignment horizontal="center"/>
      <protection locked="0"/>
    </xf>
    <xf numFmtId="4" fontId="6" fillId="0" borderId="22" xfId="0" applyNumberFormat="1" applyFont="1" applyBorder="1" applyAlignment="1" applyProtection="1">
      <alignment horizontal="center"/>
      <protection locked="0"/>
    </xf>
    <xf numFmtId="164" fontId="1" fillId="0" borderId="4" xfId="0" applyNumberFormat="1" applyFont="1" applyBorder="1"/>
    <xf numFmtId="0" fontId="0" fillId="0" borderId="44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TradingOperations\LMEPrice\Monthly%20Averages\LME%20Website%20Av\2025\MayME25%20(no%20Steel&amp;Molybdenum).xlsx" TargetMode="External"/><Relationship Id="rId1" Type="http://schemas.openxmlformats.org/officeDocument/2006/relationships/externalLinkPath" Target="/TradingOperations/LMEPrice/Monthly%20Averages/LME%20Website%20Av/2025/MayME25%20(no%20Steel&amp;Molybdenum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erages Inc. Euro Eq"/>
    </sheetNames>
    <sheetDataSet>
      <sheetData sheetId="0">
        <row r="66">
          <cell r="F66">
            <v>1.3363</v>
          </cell>
        </row>
        <row r="67">
          <cell r="F67">
            <v>144.78</v>
          </cell>
        </row>
        <row r="68">
          <cell r="F68">
            <v>1.1274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32</v>
      </c>
    </row>
    <row r="6" spans="1:25" ht="13.5" thickBot="1" x14ac:dyDescent="0.25">
      <c r="B6" s="1">
        <v>45778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45778</v>
      </c>
      <c r="C9" s="44">
        <v>9193</v>
      </c>
      <c r="D9" s="43">
        <v>9195</v>
      </c>
      <c r="E9" s="42">
        <f t="shared" ref="E9:E28" si="0">AVERAGE(C9:D9)</f>
        <v>9194</v>
      </c>
      <c r="F9" s="44">
        <v>9184</v>
      </c>
      <c r="G9" s="43">
        <v>9185</v>
      </c>
      <c r="H9" s="42">
        <f t="shared" ref="H9:H28" si="1">AVERAGE(F9:G9)</f>
        <v>9184.5</v>
      </c>
      <c r="I9" s="44">
        <v>9150</v>
      </c>
      <c r="J9" s="43">
        <v>9160</v>
      </c>
      <c r="K9" s="42">
        <f t="shared" ref="K9:K28" si="2">AVERAGE(I9:J9)</f>
        <v>9155</v>
      </c>
      <c r="L9" s="44">
        <v>9215</v>
      </c>
      <c r="M9" s="43">
        <v>9225</v>
      </c>
      <c r="N9" s="42">
        <f t="shared" ref="N9:N28" si="3">AVERAGE(L9:M9)</f>
        <v>9220</v>
      </c>
      <c r="O9" s="44">
        <v>9260</v>
      </c>
      <c r="P9" s="43">
        <v>9270</v>
      </c>
      <c r="Q9" s="42">
        <f t="shared" ref="Q9:Q28" si="4">AVERAGE(O9:P9)</f>
        <v>9265</v>
      </c>
      <c r="R9" s="50">
        <v>9195</v>
      </c>
      <c r="S9" s="49">
        <v>1.3325</v>
      </c>
      <c r="T9" s="51">
        <v>1.1321000000000001</v>
      </c>
      <c r="U9" s="48">
        <v>144.49</v>
      </c>
      <c r="V9" s="41">
        <v>6900.56</v>
      </c>
      <c r="W9" s="41">
        <v>6890.47</v>
      </c>
      <c r="X9" s="47">
        <f t="shared" ref="X9:X28" si="5">R9/T9</f>
        <v>8122.0740217295288</v>
      </c>
      <c r="Y9" s="46">
        <v>1.333</v>
      </c>
    </row>
    <row r="10" spans="1:25" x14ac:dyDescent="0.2">
      <c r="B10" s="45">
        <v>45779</v>
      </c>
      <c r="C10" s="44">
        <v>9375</v>
      </c>
      <c r="D10" s="43">
        <v>9376</v>
      </c>
      <c r="E10" s="42">
        <f t="shared" si="0"/>
        <v>9375.5</v>
      </c>
      <c r="F10" s="44">
        <v>9357</v>
      </c>
      <c r="G10" s="43">
        <v>9359</v>
      </c>
      <c r="H10" s="42">
        <f t="shared" si="1"/>
        <v>9358</v>
      </c>
      <c r="I10" s="44">
        <v>9250</v>
      </c>
      <c r="J10" s="43">
        <v>9260</v>
      </c>
      <c r="K10" s="42">
        <f t="shared" si="2"/>
        <v>9255</v>
      </c>
      <c r="L10" s="44">
        <v>9295</v>
      </c>
      <c r="M10" s="43">
        <v>9305</v>
      </c>
      <c r="N10" s="42">
        <f t="shared" si="3"/>
        <v>9300</v>
      </c>
      <c r="O10" s="44">
        <v>9335</v>
      </c>
      <c r="P10" s="43">
        <v>9345</v>
      </c>
      <c r="Q10" s="42">
        <f t="shared" si="4"/>
        <v>9340</v>
      </c>
      <c r="R10" s="50">
        <v>9376</v>
      </c>
      <c r="S10" s="49">
        <v>1.3293999999999999</v>
      </c>
      <c r="T10" s="49">
        <v>1.1347</v>
      </c>
      <c r="U10" s="48">
        <v>144.56</v>
      </c>
      <c r="V10" s="41">
        <v>7052.81</v>
      </c>
      <c r="W10" s="41">
        <v>7037.37</v>
      </c>
      <c r="X10" s="47">
        <f t="shared" si="5"/>
        <v>8262.9769983255483</v>
      </c>
      <c r="Y10" s="46">
        <v>1.3299000000000001</v>
      </c>
    </row>
    <row r="11" spans="1:25" x14ac:dyDescent="0.2">
      <c r="B11" s="45">
        <v>45783</v>
      </c>
      <c r="C11" s="44">
        <v>9499</v>
      </c>
      <c r="D11" s="43">
        <v>9500</v>
      </c>
      <c r="E11" s="42">
        <f t="shared" si="0"/>
        <v>9499.5</v>
      </c>
      <c r="F11" s="44">
        <v>9470</v>
      </c>
      <c r="G11" s="43">
        <v>9475</v>
      </c>
      <c r="H11" s="42">
        <f t="shared" si="1"/>
        <v>9472.5</v>
      </c>
      <c r="I11" s="44">
        <v>9355</v>
      </c>
      <c r="J11" s="43">
        <v>9365</v>
      </c>
      <c r="K11" s="42">
        <f t="shared" si="2"/>
        <v>9360</v>
      </c>
      <c r="L11" s="44">
        <v>9405</v>
      </c>
      <c r="M11" s="43">
        <v>9415</v>
      </c>
      <c r="N11" s="42">
        <f t="shared" si="3"/>
        <v>9410</v>
      </c>
      <c r="O11" s="44">
        <v>9445</v>
      </c>
      <c r="P11" s="43">
        <v>9455</v>
      </c>
      <c r="Q11" s="42">
        <f t="shared" si="4"/>
        <v>9450</v>
      </c>
      <c r="R11" s="50">
        <v>9500</v>
      </c>
      <c r="S11" s="49">
        <v>1.3371</v>
      </c>
      <c r="T11" s="49">
        <v>1.1329</v>
      </c>
      <c r="U11" s="48">
        <v>142.78</v>
      </c>
      <c r="V11" s="41">
        <v>7104.93</v>
      </c>
      <c r="W11" s="41">
        <v>7082.52</v>
      </c>
      <c r="X11" s="47">
        <f t="shared" si="5"/>
        <v>8385.5591843940329</v>
      </c>
      <c r="Y11" s="46">
        <v>1.3378000000000001</v>
      </c>
    </row>
    <row r="12" spans="1:25" x14ac:dyDescent="0.2">
      <c r="B12" s="45">
        <v>45784</v>
      </c>
      <c r="C12" s="44">
        <v>9485</v>
      </c>
      <c r="D12" s="43">
        <v>9486</v>
      </c>
      <c r="E12" s="42">
        <f t="shared" si="0"/>
        <v>9485.5</v>
      </c>
      <c r="F12" s="44">
        <v>9462</v>
      </c>
      <c r="G12" s="43">
        <v>9462.5</v>
      </c>
      <c r="H12" s="42">
        <f t="shared" si="1"/>
        <v>9462.25</v>
      </c>
      <c r="I12" s="44">
        <v>9330</v>
      </c>
      <c r="J12" s="43">
        <v>9340</v>
      </c>
      <c r="K12" s="42">
        <f t="shared" si="2"/>
        <v>9335</v>
      </c>
      <c r="L12" s="44">
        <v>9380</v>
      </c>
      <c r="M12" s="43">
        <v>9390</v>
      </c>
      <c r="N12" s="42">
        <f t="shared" si="3"/>
        <v>9385</v>
      </c>
      <c r="O12" s="44">
        <v>9415</v>
      </c>
      <c r="P12" s="43">
        <v>9425</v>
      </c>
      <c r="Q12" s="42">
        <f t="shared" si="4"/>
        <v>9420</v>
      </c>
      <c r="R12" s="50">
        <v>9486</v>
      </c>
      <c r="S12" s="49">
        <v>1.3348</v>
      </c>
      <c r="T12" s="49">
        <v>1.1357999999999999</v>
      </c>
      <c r="U12" s="48">
        <v>143.4</v>
      </c>
      <c r="V12" s="41">
        <v>7106.68</v>
      </c>
      <c r="W12" s="41">
        <v>7085.36</v>
      </c>
      <c r="X12" s="47">
        <f t="shared" si="5"/>
        <v>8351.8225039619665</v>
      </c>
      <c r="Y12" s="46">
        <v>1.3354999999999999</v>
      </c>
    </row>
    <row r="13" spans="1:25" x14ac:dyDescent="0.2">
      <c r="B13" s="45">
        <v>45785</v>
      </c>
      <c r="C13" s="44">
        <v>9411</v>
      </c>
      <c r="D13" s="43">
        <v>9413</v>
      </c>
      <c r="E13" s="42">
        <f t="shared" si="0"/>
        <v>9412</v>
      </c>
      <c r="F13" s="44">
        <v>9390</v>
      </c>
      <c r="G13" s="43">
        <v>9395</v>
      </c>
      <c r="H13" s="42">
        <f t="shared" si="1"/>
        <v>9392.5</v>
      </c>
      <c r="I13" s="44">
        <v>9285</v>
      </c>
      <c r="J13" s="43">
        <v>9295</v>
      </c>
      <c r="K13" s="42">
        <f t="shared" si="2"/>
        <v>9290</v>
      </c>
      <c r="L13" s="44">
        <v>9335</v>
      </c>
      <c r="M13" s="43">
        <v>9345</v>
      </c>
      <c r="N13" s="42">
        <f t="shared" si="3"/>
        <v>9340</v>
      </c>
      <c r="O13" s="44">
        <v>9370</v>
      </c>
      <c r="P13" s="43">
        <v>9380</v>
      </c>
      <c r="Q13" s="42">
        <f t="shared" si="4"/>
        <v>9375</v>
      </c>
      <c r="R13" s="50">
        <v>9413</v>
      </c>
      <c r="S13" s="49">
        <v>1.3327</v>
      </c>
      <c r="T13" s="49">
        <v>1.1295999999999999</v>
      </c>
      <c r="U13" s="48">
        <v>144.65</v>
      </c>
      <c r="V13" s="41">
        <v>7063.1</v>
      </c>
      <c r="W13" s="41">
        <v>7046.95</v>
      </c>
      <c r="X13" s="47">
        <f t="shared" si="5"/>
        <v>8333.0382436260625</v>
      </c>
      <c r="Y13" s="46">
        <v>1.3331999999999999</v>
      </c>
    </row>
    <row r="14" spans="1:25" x14ac:dyDescent="0.2">
      <c r="B14" s="45">
        <v>45786</v>
      </c>
      <c r="C14" s="44">
        <v>9485</v>
      </c>
      <c r="D14" s="43">
        <v>9485.5</v>
      </c>
      <c r="E14" s="42">
        <f t="shared" si="0"/>
        <v>9485.25</v>
      </c>
      <c r="F14" s="44">
        <v>9432</v>
      </c>
      <c r="G14" s="43">
        <v>9432.5</v>
      </c>
      <c r="H14" s="42">
        <f t="shared" si="1"/>
        <v>9432.25</v>
      </c>
      <c r="I14" s="44">
        <v>9280</v>
      </c>
      <c r="J14" s="43">
        <v>9290</v>
      </c>
      <c r="K14" s="42">
        <f t="shared" si="2"/>
        <v>9285</v>
      </c>
      <c r="L14" s="44">
        <v>9350</v>
      </c>
      <c r="M14" s="43">
        <v>9360</v>
      </c>
      <c r="N14" s="42">
        <f t="shared" si="3"/>
        <v>9355</v>
      </c>
      <c r="O14" s="44">
        <v>9385</v>
      </c>
      <c r="P14" s="43">
        <v>9395</v>
      </c>
      <c r="Q14" s="42">
        <f t="shared" si="4"/>
        <v>9390</v>
      </c>
      <c r="R14" s="50">
        <v>9485.5</v>
      </c>
      <c r="S14" s="49">
        <v>1.3277000000000001</v>
      </c>
      <c r="T14" s="49">
        <v>1.1254999999999999</v>
      </c>
      <c r="U14" s="48">
        <v>145.13</v>
      </c>
      <c r="V14" s="41">
        <v>7144.31</v>
      </c>
      <c r="W14" s="41">
        <v>7101.72</v>
      </c>
      <c r="X14" s="47">
        <f t="shared" si="5"/>
        <v>8427.8098622834295</v>
      </c>
      <c r="Y14" s="46">
        <v>1.3282</v>
      </c>
    </row>
    <row r="15" spans="1:25" x14ac:dyDescent="0.2">
      <c r="B15" s="45">
        <v>45789</v>
      </c>
      <c r="C15" s="44">
        <v>9585</v>
      </c>
      <c r="D15" s="43">
        <v>9590</v>
      </c>
      <c r="E15" s="42">
        <f t="shared" si="0"/>
        <v>9587.5</v>
      </c>
      <c r="F15" s="44">
        <v>9546</v>
      </c>
      <c r="G15" s="43">
        <v>9547</v>
      </c>
      <c r="H15" s="42">
        <f t="shared" si="1"/>
        <v>9546.5</v>
      </c>
      <c r="I15" s="44">
        <v>9405</v>
      </c>
      <c r="J15" s="43">
        <v>9415</v>
      </c>
      <c r="K15" s="42">
        <f t="shared" si="2"/>
        <v>9410</v>
      </c>
      <c r="L15" s="44">
        <v>9455</v>
      </c>
      <c r="M15" s="43">
        <v>9465</v>
      </c>
      <c r="N15" s="42">
        <f t="shared" si="3"/>
        <v>9460</v>
      </c>
      <c r="O15" s="44">
        <v>9490</v>
      </c>
      <c r="P15" s="43">
        <v>9500</v>
      </c>
      <c r="Q15" s="42">
        <f t="shared" si="4"/>
        <v>9495</v>
      </c>
      <c r="R15" s="50">
        <v>9590</v>
      </c>
      <c r="S15" s="49">
        <v>1.3178000000000001</v>
      </c>
      <c r="T15" s="49">
        <v>1.1112</v>
      </c>
      <c r="U15" s="48">
        <v>147.87</v>
      </c>
      <c r="V15" s="41">
        <v>7277.28</v>
      </c>
      <c r="W15" s="41">
        <v>7241.9</v>
      </c>
      <c r="X15" s="47">
        <f t="shared" si="5"/>
        <v>8630.3095752339814</v>
      </c>
      <c r="Y15" s="46">
        <v>1.3183</v>
      </c>
    </row>
    <row r="16" spans="1:25" x14ac:dyDescent="0.2">
      <c r="B16" s="45">
        <v>45790</v>
      </c>
      <c r="C16" s="44">
        <v>9533</v>
      </c>
      <c r="D16" s="43">
        <v>9534</v>
      </c>
      <c r="E16" s="42">
        <f t="shared" si="0"/>
        <v>9533.5</v>
      </c>
      <c r="F16" s="44">
        <v>9543</v>
      </c>
      <c r="G16" s="43">
        <v>9548</v>
      </c>
      <c r="H16" s="42">
        <f t="shared" si="1"/>
        <v>9545.5</v>
      </c>
      <c r="I16" s="44">
        <v>9430</v>
      </c>
      <c r="J16" s="43">
        <v>9440</v>
      </c>
      <c r="K16" s="42">
        <f t="shared" si="2"/>
        <v>9435</v>
      </c>
      <c r="L16" s="44">
        <v>9480</v>
      </c>
      <c r="M16" s="43">
        <v>9490</v>
      </c>
      <c r="N16" s="42">
        <f t="shared" si="3"/>
        <v>9485</v>
      </c>
      <c r="O16" s="44">
        <v>9520</v>
      </c>
      <c r="P16" s="43">
        <v>9530</v>
      </c>
      <c r="Q16" s="42">
        <f t="shared" si="4"/>
        <v>9525</v>
      </c>
      <c r="R16" s="50">
        <v>9534</v>
      </c>
      <c r="S16" s="49">
        <v>1.3213999999999999</v>
      </c>
      <c r="T16" s="49">
        <v>1.1107</v>
      </c>
      <c r="U16" s="48">
        <v>148.12</v>
      </c>
      <c r="V16" s="41">
        <v>7215.07</v>
      </c>
      <c r="W16" s="41">
        <v>7222.94</v>
      </c>
      <c r="X16" s="47">
        <f t="shared" si="5"/>
        <v>8583.7759971189334</v>
      </c>
      <c r="Y16" s="46">
        <v>1.3219000000000001</v>
      </c>
    </row>
    <row r="17" spans="2:25" x14ac:dyDescent="0.2">
      <c r="B17" s="45">
        <v>45791</v>
      </c>
      <c r="C17" s="44">
        <v>9648.5</v>
      </c>
      <c r="D17" s="43">
        <v>9649.5</v>
      </c>
      <c r="E17" s="42">
        <f t="shared" si="0"/>
        <v>9649</v>
      </c>
      <c r="F17" s="44">
        <v>9621</v>
      </c>
      <c r="G17" s="43">
        <v>9622</v>
      </c>
      <c r="H17" s="42">
        <f t="shared" si="1"/>
        <v>9621.5</v>
      </c>
      <c r="I17" s="44">
        <v>9490</v>
      </c>
      <c r="J17" s="43">
        <v>9500</v>
      </c>
      <c r="K17" s="42">
        <f t="shared" si="2"/>
        <v>9495</v>
      </c>
      <c r="L17" s="44">
        <v>9525</v>
      </c>
      <c r="M17" s="43">
        <v>9535</v>
      </c>
      <c r="N17" s="42">
        <f t="shared" si="3"/>
        <v>9530</v>
      </c>
      <c r="O17" s="44">
        <v>9560</v>
      </c>
      <c r="P17" s="43">
        <v>9570</v>
      </c>
      <c r="Q17" s="42">
        <f t="shared" si="4"/>
        <v>9565</v>
      </c>
      <c r="R17" s="50">
        <v>9649.5</v>
      </c>
      <c r="S17" s="49">
        <v>1.3333999999999999</v>
      </c>
      <c r="T17" s="49">
        <v>1.1217999999999999</v>
      </c>
      <c r="U17" s="48">
        <v>146.18</v>
      </c>
      <c r="V17" s="41">
        <v>7236.76</v>
      </c>
      <c r="W17" s="41">
        <v>7212.89</v>
      </c>
      <c r="X17" s="47">
        <f t="shared" si="5"/>
        <v>8601.8006774826172</v>
      </c>
      <c r="Y17" s="46">
        <v>1.3340000000000001</v>
      </c>
    </row>
    <row r="18" spans="2:25" x14ac:dyDescent="0.2">
      <c r="B18" s="45">
        <v>45792</v>
      </c>
      <c r="C18" s="44">
        <v>9537</v>
      </c>
      <c r="D18" s="43">
        <v>9537.5</v>
      </c>
      <c r="E18" s="42">
        <f t="shared" si="0"/>
        <v>9537.25</v>
      </c>
      <c r="F18" s="44">
        <v>9523</v>
      </c>
      <c r="G18" s="43">
        <v>9528</v>
      </c>
      <c r="H18" s="42">
        <f t="shared" si="1"/>
        <v>9525.5</v>
      </c>
      <c r="I18" s="44">
        <v>9410</v>
      </c>
      <c r="J18" s="43">
        <v>9420</v>
      </c>
      <c r="K18" s="42">
        <f t="shared" si="2"/>
        <v>9415</v>
      </c>
      <c r="L18" s="44">
        <v>9445</v>
      </c>
      <c r="M18" s="43">
        <v>9455</v>
      </c>
      <c r="N18" s="42">
        <f t="shared" si="3"/>
        <v>9450</v>
      </c>
      <c r="O18" s="44">
        <v>9480</v>
      </c>
      <c r="P18" s="43">
        <v>9490</v>
      </c>
      <c r="Q18" s="42">
        <f t="shared" si="4"/>
        <v>9485</v>
      </c>
      <c r="R18" s="50">
        <v>9537.5</v>
      </c>
      <c r="S18" s="49">
        <v>1.327</v>
      </c>
      <c r="T18" s="49">
        <v>1.1183000000000001</v>
      </c>
      <c r="U18" s="48">
        <v>146.09</v>
      </c>
      <c r="V18" s="41">
        <v>7187.26</v>
      </c>
      <c r="W18" s="41">
        <v>7176.86</v>
      </c>
      <c r="X18" s="47">
        <f t="shared" si="5"/>
        <v>8528.5701511222378</v>
      </c>
      <c r="Y18" s="46">
        <v>1.3275999999999999</v>
      </c>
    </row>
    <row r="19" spans="2:25" x14ac:dyDescent="0.2">
      <c r="B19" s="45">
        <v>45793</v>
      </c>
      <c r="C19" s="44">
        <v>9533</v>
      </c>
      <c r="D19" s="43">
        <v>9534</v>
      </c>
      <c r="E19" s="42">
        <f t="shared" si="0"/>
        <v>9533.5</v>
      </c>
      <c r="F19" s="44">
        <v>9513</v>
      </c>
      <c r="G19" s="43">
        <v>9518</v>
      </c>
      <c r="H19" s="42">
        <f t="shared" si="1"/>
        <v>9515.5</v>
      </c>
      <c r="I19" s="44">
        <v>9365</v>
      </c>
      <c r="J19" s="43">
        <v>9375</v>
      </c>
      <c r="K19" s="42">
        <f t="shared" si="2"/>
        <v>9370</v>
      </c>
      <c r="L19" s="44">
        <v>9370</v>
      </c>
      <c r="M19" s="43">
        <v>9380</v>
      </c>
      <c r="N19" s="42">
        <f t="shared" si="3"/>
        <v>9375</v>
      </c>
      <c r="O19" s="44">
        <v>9405</v>
      </c>
      <c r="P19" s="43">
        <v>9415</v>
      </c>
      <c r="Q19" s="42">
        <f t="shared" si="4"/>
        <v>9410</v>
      </c>
      <c r="R19" s="50">
        <v>9534</v>
      </c>
      <c r="S19" s="49">
        <v>1.3283</v>
      </c>
      <c r="T19" s="49">
        <v>1.1194999999999999</v>
      </c>
      <c r="U19" s="48">
        <v>145.65</v>
      </c>
      <c r="V19" s="41">
        <v>7177.6</v>
      </c>
      <c r="W19" s="41">
        <v>7162.85</v>
      </c>
      <c r="X19" s="47">
        <f t="shared" si="5"/>
        <v>8516.3019205002238</v>
      </c>
      <c r="Y19" s="46">
        <v>1.3288</v>
      </c>
    </row>
    <row r="20" spans="2:25" x14ac:dyDescent="0.2">
      <c r="B20" s="45">
        <v>45796</v>
      </c>
      <c r="C20" s="44">
        <v>9540</v>
      </c>
      <c r="D20" s="43">
        <v>9545</v>
      </c>
      <c r="E20" s="42">
        <f t="shared" si="0"/>
        <v>9542.5</v>
      </c>
      <c r="F20" s="44">
        <v>9515</v>
      </c>
      <c r="G20" s="43">
        <v>9517</v>
      </c>
      <c r="H20" s="42">
        <f t="shared" si="1"/>
        <v>9516</v>
      </c>
      <c r="I20" s="44">
        <v>9370</v>
      </c>
      <c r="J20" s="43">
        <v>9380</v>
      </c>
      <c r="K20" s="42">
        <f t="shared" si="2"/>
        <v>9375</v>
      </c>
      <c r="L20" s="44">
        <v>9380</v>
      </c>
      <c r="M20" s="43">
        <v>9390</v>
      </c>
      <c r="N20" s="42">
        <f t="shared" si="3"/>
        <v>9385</v>
      </c>
      <c r="O20" s="44">
        <v>9415</v>
      </c>
      <c r="P20" s="43">
        <v>9425</v>
      </c>
      <c r="Q20" s="42">
        <f t="shared" si="4"/>
        <v>9420</v>
      </c>
      <c r="R20" s="50">
        <v>9545</v>
      </c>
      <c r="S20" s="49">
        <v>1.3382000000000001</v>
      </c>
      <c r="T20" s="49">
        <v>1.1273</v>
      </c>
      <c r="U20" s="48">
        <v>144.9</v>
      </c>
      <c r="V20" s="41">
        <v>7132.72</v>
      </c>
      <c r="W20" s="41">
        <v>7108.6</v>
      </c>
      <c r="X20" s="47">
        <f t="shared" si="5"/>
        <v>8467.1338596646856</v>
      </c>
      <c r="Y20" s="46">
        <v>1.3388</v>
      </c>
    </row>
    <row r="21" spans="2:25" x14ac:dyDescent="0.2">
      <c r="B21" s="45">
        <v>45797</v>
      </c>
      <c r="C21" s="44">
        <v>9528</v>
      </c>
      <c r="D21" s="43">
        <v>9530</v>
      </c>
      <c r="E21" s="42">
        <f t="shared" si="0"/>
        <v>9529</v>
      </c>
      <c r="F21" s="44">
        <v>9519</v>
      </c>
      <c r="G21" s="43">
        <v>9521</v>
      </c>
      <c r="H21" s="42">
        <f t="shared" si="1"/>
        <v>9520</v>
      </c>
      <c r="I21" s="44">
        <v>9390</v>
      </c>
      <c r="J21" s="43">
        <v>9400</v>
      </c>
      <c r="K21" s="42">
        <f t="shared" si="2"/>
        <v>9395</v>
      </c>
      <c r="L21" s="44">
        <v>9405</v>
      </c>
      <c r="M21" s="43">
        <v>9415</v>
      </c>
      <c r="N21" s="42">
        <f t="shared" si="3"/>
        <v>9410</v>
      </c>
      <c r="O21" s="44">
        <v>9440</v>
      </c>
      <c r="P21" s="43">
        <v>9450</v>
      </c>
      <c r="Q21" s="42">
        <f t="shared" si="4"/>
        <v>9445</v>
      </c>
      <c r="R21" s="50">
        <v>9530</v>
      </c>
      <c r="S21" s="49">
        <v>1.3362000000000001</v>
      </c>
      <c r="T21" s="49">
        <v>1.1246</v>
      </c>
      <c r="U21" s="48">
        <v>144.6</v>
      </c>
      <c r="V21" s="41">
        <v>7132.17</v>
      </c>
      <c r="W21" s="41">
        <v>7122.23</v>
      </c>
      <c r="X21" s="47">
        <f t="shared" si="5"/>
        <v>8474.1241330250759</v>
      </c>
      <c r="Y21" s="46">
        <v>1.3368</v>
      </c>
    </row>
    <row r="22" spans="2:25" x14ac:dyDescent="0.2">
      <c r="B22" s="45">
        <v>45798</v>
      </c>
      <c r="C22" s="44">
        <v>9532</v>
      </c>
      <c r="D22" s="43">
        <v>9532.5</v>
      </c>
      <c r="E22" s="42">
        <f t="shared" si="0"/>
        <v>9532.25</v>
      </c>
      <c r="F22" s="44">
        <v>9532.5</v>
      </c>
      <c r="G22" s="43">
        <v>9533.5</v>
      </c>
      <c r="H22" s="42">
        <f t="shared" si="1"/>
        <v>9533</v>
      </c>
      <c r="I22" s="44">
        <v>9440</v>
      </c>
      <c r="J22" s="43">
        <v>9450</v>
      </c>
      <c r="K22" s="42">
        <f t="shared" si="2"/>
        <v>9445</v>
      </c>
      <c r="L22" s="44">
        <v>9470</v>
      </c>
      <c r="M22" s="43">
        <v>9480</v>
      </c>
      <c r="N22" s="42">
        <f t="shared" si="3"/>
        <v>9475</v>
      </c>
      <c r="O22" s="44">
        <v>9505</v>
      </c>
      <c r="P22" s="43">
        <v>9515</v>
      </c>
      <c r="Q22" s="42">
        <f t="shared" si="4"/>
        <v>9510</v>
      </c>
      <c r="R22" s="50">
        <v>9532.5</v>
      </c>
      <c r="S22" s="49">
        <v>1.3413999999999999</v>
      </c>
      <c r="T22" s="49">
        <v>1.1324000000000001</v>
      </c>
      <c r="U22" s="48">
        <v>143.75</v>
      </c>
      <c r="V22" s="41">
        <v>7106.38</v>
      </c>
      <c r="W22" s="41">
        <v>7103.95</v>
      </c>
      <c r="X22" s="47">
        <f t="shared" si="5"/>
        <v>8417.9618509360644</v>
      </c>
      <c r="Y22" s="46">
        <v>1.3420000000000001</v>
      </c>
    </row>
    <row r="23" spans="2:25" x14ac:dyDescent="0.2">
      <c r="B23" s="45">
        <v>45799</v>
      </c>
      <c r="C23" s="44">
        <v>9492.5</v>
      </c>
      <c r="D23" s="43">
        <v>9493</v>
      </c>
      <c r="E23" s="42">
        <f t="shared" si="0"/>
        <v>9492.75</v>
      </c>
      <c r="F23" s="44">
        <v>9461</v>
      </c>
      <c r="G23" s="43">
        <v>9461.5</v>
      </c>
      <c r="H23" s="42">
        <f t="shared" si="1"/>
        <v>9461.25</v>
      </c>
      <c r="I23" s="44">
        <v>9375</v>
      </c>
      <c r="J23" s="43">
        <v>9385</v>
      </c>
      <c r="K23" s="42">
        <f t="shared" si="2"/>
        <v>9380</v>
      </c>
      <c r="L23" s="44">
        <v>9415</v>
      </c>
      <c r="M23" s="43">
        <v>9425</v>
      </c>
      <c r="N23" s="42">
        <f t="shared" si="3"/>
        <v>9420</v>
      </c>
      <c r="O23" s="44">
        <v>9450</v>
      </c>
      <c r="P23" s="43">
        <v>9460</v>
      </c>
      <c r="Q23" s="42">
        <f t="shared" si="4"/>
        <v>9455</v>
      </c>
      <c r="R23" s="50">
        <v>9493</v>
      </c>
      <c r="S23" s="49">
        <v>1.3420000000000001</v>
      </c>
      <c r="T23" s="49">
        <v>1.1309</v>
      </c>
      <c r="U23" s="48">
        <v>143.37</v>
      </c>
      <c r="V23" s="41">
        <v>7073.77</v>
      </c>
      <c r="W23" s="41">
        <v>7047.15</v>
      </c>
      <c r="X23" s="47">
        <f t="shared" si="5"/>
        <v>8394.1993102838442</v>
      </c>
      <c r="Y23" s="46">
        <v>1.3426</v>
      </c>
    </row>
    <row r="24" spans="2:25" x14ac:dyDescent="0.2">
      <c r="B24" s="45">
        <v>45800</v>
      </c>
      <c r="C24" s="44">
        <v>9594</v>
      </c>
      <c r="D24" s="43">
        <v>9595</v>
      </c>
      <c r="E24" s="42">
        <f t="shared" si="0"/>
        <v>9594.5</v>
      </c>
      <c r="F24" s="44">
        <v>9565</v>
      </c>
      <c r="G24" s="43">
        <v>9570</v>
      </c>
      <c r="H24" s="42">
        <f t="shared" si="1"/>
        <v>9567.5</v>
      </c>
      <c r="I24" s="44">
        <v>9480</v>
      </c>
      <c r="J24" s="43">
        <v>9490</v>
      </c>
      <c r="K24" s="42">
        <f t="shared" si="2"/>
        <v>9485</v>
      </c>
      <c r="L24" s="44">
        <v>9520</v>
      </c>
      <c r="M24" s="43">
        <v>9530</v>
      </c>
      <c r="N24" s="42">
        <f t="shared" si="3"/>
        <v>9525</v>
      </c>
      <c r="O24" s="44">
        <v>9555</v>
      </c>
      <c r="P24" s="43">
        <v>9565</v>
      </c>
      <c r="Q24" s="42">
        <f t="shared" si="4"/>
        <v>9560</v>
      </c>
      <c r="R24" s="50">
        <v>9595</v>
      </c>
      <c r="S24" s="49">
        <v>1.3489</v>
      </c>
      <c r="T24" s="49">
        <v>1.1322000000000001</v>
      </c>
      <c r="U24" s="48">
        <v>142.63</v>
      </c>
      <c r="V24" s="41">
        <v>7113.2</v>
      </c>
      <c r="W24" s="41">
        <v>7091.52</v>
      </c>
      <c r="X24" s="47">
        <f t="shared" si="5"/>
        <v>8474.6511217099451</v>
      </c>
      <c r="Y24" s="46">
        <v>1.3494999999999999</v>
      </c>
    </row>
    <row r="25" spans="2:25" x14ac:dyDescent="0.2">
      <c r="B25" s="45">
        <v>45804</v>
      </c>
      <c r="C25" s="44">
        <v>9652</v>
      </c>
      <c r="D25" s="43">
        <v>9653</v>
      </c>
      <c r="E25" s="42">
        <f t="shared" si="0"/>
        <v>9652.5</v>
      </c>
      <c r="F25" s="44">
        <v>9609</v>
      </c>
      <c r="G25" s="43">
        <v>9610</v>
      </c>
      <c r="H25" s="42">
        <f t="shared" si="1"/>
        <v>9609.5</v>
      </c>
      <c r="I25" s="44">
        <v>9505</v>
      </c>
      <c r="J25" s="43">
        <v>9515</v>
      </c>
      <c r="K25" s="42">
        <f t="shared" si="2"/>
        <v>9510</v>
      </c>
      <c r="L25" s="44">
        <v>9540</v>
      </c>
      <c r="M25" s="43">
        <v>9550</v>
      </c>
      <c r="N25" s="42">
        <f t="shared" si="3"/>
        <v>9545</v>
      </c>
      <c r="O25" s="44">
        <v>9575</v>
      </c>
      <c r="P25" s="43">
        <v>9585</v>
      </c>
      <c r="Q25" s="42">
        <f t="shared" si="4"/>
        <v>9580</v>
      </c>
      <c r="R25" s="50">
        <v>9653</v>
      </c>
      <c r="S25" s="49">
        <v>1.3548</v>
      </c>
      <c r="T25" s="49">
        <v>1.1352</v>
      </c>
      <c r="U25" s="48">
        <v>144.1</v>
      </c>
      <c r="V25" s="41">
        <v>7125.04</v>
      </c>
      <c r="W25" s="41">
        <v>7090.16</v>
      </c>
      <c r="X25" s="47">
        <f t="shared" si="5"/>
        <v>8503.3474277660316</v>
      </c>
      <c r="Y25" s="46">
        <v>1.3553999999999999</v>
      </c>
    </row>
    <row r="26" spans="2:25" x14ac:dyDescent="0.2">
      <c r="B26" s="45">
        <v>45805</v>
      </c>
      <c r="C26" s="44">
        <v>9680</v>
      </c>
      <c r="D26" s="43">
        <v>9682</v>
      </c>
      <c r="E26" s="42">
        <f t="shared" si="0"/>
        <v>9681</v>
      </c>
      <c r="F26" s="44">
        <v>9633</v>
      </c>
      <c r="G26" s="43">
        <v>9635</v>
      </c>
      <c r="H26" s="42">
        <f t="shared" si="1"/>
        <v>9634</v>
      </c>
      <c r="I26" s="44">
        <v>9525</v>
      </c>
      <c r="J26" s="43">
        <v>9535</v>
      </c>
      <c r="K26" s="42">
        <f t="shared" si="2"/>
        <v>9530</v>
      </c>
      <c r="L26" s="44">
        <v>9560</v>
      </c>
      <c r="M26" s="43">
        <v>9570</v>
      </c>
      <c r="N26" s="42">
        <f t="shared" si="3"/>
        <v>9565</v>
      </c>
      <c r="O26" s="44">
        <v>9595</v>
      </c>
      <c r="P26" s="43">
        <v>9605</v>
      </c>
      <c r="Q26" s="42">
        <f t="shared" si="4"/>
        <v>9600</v>
      </c>
      <c r="R26" s="50">
        <v>9682</v>
      </c>
      <c r="S26" s="49">
        <v>1.3479000000000001</v>
      </c>
      <c r="T26" s="49">
        <v>1.1317999999999999</v>
      </c>
      <c r="U26" s="48">
        <v>144.41999999999999</v>
      </c>
      <c r="V26" s="41">
        <v>7183.03</v>
      </c>
      <c r="W26" s="41">
        <v>7144.98</v>
      </c>
      <c r="X26" s="47">
        <f t="shared" si="5"/>
        <v>8554.5149319667798</v>
      </c>
      <c r="Y26" s="46">
        <v>1.3485</v>
      </c>
    </row>
    <row r="27" spans="2:25" x14ac:dyDescent="0.2">
      <c r="B27" s="45">
        <v>45806</v>
      </c>
      <c r="C27" s="44">
        <v>9641</v>
      </c>
      <c r="D27" s="43">
        <v>9641.5</v>
      </c>
      <c r="E27" s="42">
        <f t="shared" si="0"/>
        <v>9641.25</v>
      </c>
      <c r="F27" s="44">
        <v>9602</v>
      </c>
      <c r="G27" s="43">
        <v>9605</v>
      </c>
      <c r="H27" s="42">
        <f t="shared" si="1"/>
        <v>9603.5</v>
      </c>
      <c r="I27" s="44">
        <v>9505</v>
      </c>
      <c r="J27" s="43">
        <v>9515</v>
      </c>
      <c r="K27" s="42">
        <f t="shared" si="2"/>
        <v>9510</v>
      </c>
      <c r="L27" s="44">
        <v>9540</v>
      </c>
      <c r="M27" s="43">
        <v>9550</v>
      </c>
      <c r="N27" s="42">
        <f t="shared" si="3"/>
        <v>9545</v>
      </c>
      <c r="O27" s="44">
        <v>9575</v>
      </c>
      <c r="P27" s="43">
        <v>9585</v>
      </c>
      <c r="Q27" s="42">
        <f t="shared" si="4"/>
        <v>9580</v>
      </c>
      <c r="R27" s="50">
        <v>9641.5</v>
      </c>
      <c r="S27" s="49">
        <v>1.3461000000000001</v>
      </c>
      <c r="T27" s="49">
        <v>1.1271</v>
      </c>
      <c r="U27" s="48">
        <v>145.09</v>
      </c>
      <c r="V27" s="41">
        <v>7162.54</v>
      </c>
      <c r="W27" s="41">
        <v>7132.25</v>
      </c>
      <c r="X27" s="47">
        <f t="shared" si="5"/>
        <v>8554.2542808978797</v>
      </c>
      <c r="Y27" s="46">
        <v>1.3467</v>
      </c>
    </row>
    <row r="28" spans="2:25" x14ac:dyDescent="0.2">
      <c r="B28" s="45">
        <v>45807</v>
      </c>
      <c r="C28" s="44">
        <v>9622.5</v>
      </c>
      <c r="D28" s="43">
        <v>9623</v>
      </c>
      <c r="E28" s="42">
        <f t="shared" si="0"/>
        <v>9622.75</v>
      </c>
      <c r="F28" s="44">
        <v>9560</v>
      </c>
      <c r="G28" s="43">
        <v>9565</v>
      </c>
      <c r="H28" s="42">
        <f t="shared" si="1"/>
        <v>9562.5</v>
      </c>
      <c r="I28" s="44">
        <v>9470</v>
      </c>
      <c r="J28" s="43">
        <v>9480</v>
      </c>
      <c r="K28" s="42">
        <f t="shared" si="2"/>
        <v>9475</v>
      </c>
      <c r="L28" s="44">
        <v>9505</v>
      </c>
      <c r="M28" s="43">
        <v>9515</v>
      </c>
      <c r="N28" s="42">
        <f t="shared" si="3"/>
        <v>9510</v>
      </c>
      <c r="O28" s="44">
        <v>9540</v>
      </c>
      <c r="P28" s="43">
        <v>9550</v>
      </c>
      <c r="Q28" s="42">
        <f t="shared" si="4"/>
        <v>9545</v>
      </c>
      <c r="R28" s="50">
        <v>9623</v>
      </c>
      <c r="S28" s="49">
        <v>1.3475999999999999</v>
      </c>
      <c r="T28" s="49">
        <v>1.1338999999999999</v>
      </c>
      <c r="U28" s="48">
        <v>143.85</v>
      </c>
      <c r="V28" s="41">
        <v>7140.84</v>
      </c>
      <c r="W28" s="41">
        <v>7094.64</v>
      </c>
      <c r="X28" s="47">
        <f t="shared" si="5"/>
        <v>8486.6390334244643</v>
      </c>
      <c r="Y28" s="46">
        <v>1.3482000000000001</v>
      </c>
    </row>
    <row r="29" spans="2:25" x14ac:dyDescent="0.2">
      <c r="B29" s="40" t="s">
        <v>11</v>
      </c>
      <c r="C29" s="39">
        <f>ROUND(AVERAGE(C9:C28),2)</f>
        <v>9528.33</v>
      </c>
      <c r="D29" s="38">
        <f>ROUND(AVERAGE(D9:D28),2)</f>
        <v>9529.7800000000007</v>
      </c>
      <c r="E29" s="37">
        <f>ROUND(AVERAGE(C29:D29),2)</f>
        <v>9529.06</v>
      </c>
      <c r="F29" s="39">
        <f>ROUND(AVERAGE(F9:F28),2)</f>
        <v>9501.8799999999992</v>
      </c>
      <c r="G29" s="38">
        <f>ROUND(AVERAGE(G9:G28),2)</f>
        <v>9504.5</v>
      </c>
      <c r="H29" s="37">
        <f>ROUND(AVERAGE(F29:G29),2)</f>
        <v>9503.19</v>
      </c>
      <c r="I29" s="39">
        <f>ROUND(AVERAGE(I9:I28),2)</f>
        <v>9390.5</v>
      </c>
      <c r="J29" s="38">
        <f>ROUND(AVERAGE(J9:J28),2)</f>
        <v>9400.5</v>
      </c>
      <c r="K29" s="37">
        <f>ROUND(AVERAGE(I29:J29),2)</f>
        <v>9395.5</v>
      </c>
      <c r="L29" s="39">
        <f>ROUND(AVERAGE(L9:L28),2)</f>
        <v>9429.5</v>
      </c>
      <c r="M29" s="38">
        <f>ROUND(AVERAGE(M9:M28),2)</f>
        <v>9439.5</v>
      </c>
      <c r="N29" s="37">
        <f>ROUND(AVERAGE(L29:M29),2)</f>
        <v>9434.5</v>
      </c>
      <c r="O29" s="39">
        <f>ROUND(AVERAGE(O9:O28),2)</f>
        <v>9465.75</v>
      </c>
      <c r="P29" s="38">
        <f>ROUND(AVERAGE(P9:P28),2)</f>
        <v>9475.75</v>
      </c>
      <c r="Q29" s="37">
        <f>ROUND(AVERAGE(O29:P29),2)</f>
        <v>9470.75</v>
      </c>
      <c r="R29" s="36">
        <f>ROUND(AVERAGE(R9:R28),2)</f>
        <v>9529.7800000000007</v>
      </c>
      <c r="S29" s="35">
        <f>ROUND(AVERAGE(S9:S28),4)</f>
        <v>1.3363</v>
      </c>
      <c r="T29" s="34">
        <f>ROUND(AVERAGE(T9:T28),4)</f>
        <v>1.1274</v>
      </c>
      <c r="U29" s="167">
        <f>ROUND(AVERAGE(U9:U28),2)</f>
        <v>144.78</v>
      </c>
      <c r="V29" s="33">
        <f>AVERAGE(V9:V28)</f>
        <v>7131.8024999999998</v>
      </c>
      <c r="W29" s="33">
        <f>AVERAGE(W9:W28)</f>
        <v>7109.8654999999999</v>
      </c>
      <c r="X29" s="33">
        <f>AVERAGE(X9:X28)</f>
        <v>8453.5432542726667</v>
      </c>
      <c r="Y29" s="32">
        <f>AVERAGE(Y9:Y28)</f>
        <v>1.3368349999999998</v>
      </c>
    </row>
    <row r="30" spans="2:25" x14ac:dyDescent="0.2">
      <c r="B30" s="31" t="s">
        <v>12</v>
      </c>
      <c r="C30" s="30">
        <f t="shared" ref="C30:Y30" si="6">MAX(C9:C28)</f>
        <v>9680</v>
      </c>
      <c r="D30" s="29">
        <f t="shared" si="6"/>
        <v>9682</v>
      </c>
      <c r="E30" s="28">
        <f t="shared" si="6"/>
        <v>9681</v>
      </c>
      <c r="F30" s="30">
        <f t="shared" si="6"/>
        <v>9633</v>
      </c>
      <c r="G30" s="29">
        <f t="shared" si="6"/>
        <v>9635</v>
      </c>
      <c r="H30" s="28">
        <f t="shared" si="6"/>
        <v>9634</v>
      </c>
      <c r="I30" s="30">
        <f t="shared" si="6"/>
        <v>9525</v>
      </c>
      <c r="J30" s="29">
        <f t="shared" si="6"/>
        <v>9535</v>
      </c>
      <c r="K30" s="28">
        <f t="shared" si="6"/>
        <v>9530</v>
      </c>
      <c r="L30" s="30">
        <f t="shared" si="6"/>
        <v>9560</v>
      </c>
      <c r="M30" s="29">
        <f t="shared" si="6"/>
        <v>9570</v>
      </c>
      <c r="N30" s="28">
        <f t="shared" si="6"/>
        <v>9565</v>
      </c>
      <c r="O30" s="30">
        <f t="shared" si="6"/>
        <v>9595</v>
      </c>
      <c r="P30" s="29">
        <f t="shared" si="6"/>
        <v>9605</v>
      </c>
      <c r="Q30" s="28">
        <f t="shared" si="6"/>
        <v>9600</v>
      </c>
      <c r="R30" s="27">
        <f t="shared" si="6"/>
        <v>9682</v>
      </c>
      <c r="S30" s="26">
        <f t="shared" si="6"/>
        <v>1.3548</v>
      </c>
      <c r="T30" s="25">
        <f t="shared" si="6"/>
        <v>1.1357999999999999</v>
      </c>
      <c r="U30" s="24">
        <f t="shared" si="6"/>
        <v>148.12</v>
      </c>
      <c r="V30" s="23">
        <f t="shared" si="6"/>
        <v>7277.28</v>
      </c>
      <c r="W30" s="23">
        <f t="shared" si="6"/>
        <v>7241.9</v>
      </c>
      <c r="X30" s="23">
        <f t="shared" si="6"/>
        <v>8630.3095752339814</v>
      </c>
      <c r="Y30" s="22">
        <f t="shared" si="6"/>
        <v>1.3553999999999999</v>
      </c>
    </row>
    <row r="31" spans="2:25" ht="13.5" thickBot="1" x14ac:dyDescent="0.25">
      <c r="B31" s="21" t="s">
        <v>13</v>
      </c>
      <c r="C31" s="20">
        <f t="shared" ref="C31:Y31" si="7">MIN(C9:C28)</f>
        <v>9193</v>
      </c>
      <c r="D31" s="19">
        <f t="shared" si="7"/>
        <v>9195</v>
      </c>
      <c r="E31" s="18">
        <f t="shared" si="7"/>
        <v>9194</v>
      </c>
      <c r="F31" s="20">
        <f t="shared" si="7"/>
        <v>9184</v>
      </c>
      <c r="G31" s="19">
        <f t="shared" si="7"/>
        <v>9185</v>
      </c>
      <c r="H31" s="18">
        <f t="shared" si="7"/>
        <v>9184.5</v>
      </c>
      <c r="I31" s="20">
        <f t="shared" si="7"/>
        <v>9150</v>
      </c>
      <c r="J31" s="19">
        <f t="shared" si="7"/>
        <v>9160</v>
      </c>
      <c r="K31" s="18">
        <f t="shared" si="7"/>
        <v>9155</v>
      </c>
      <c r="L31" s="20">
        <f t="shared" si="7"/>
        <v>9215</v>
      </c>
      <c r="M31" s="19">
        <f t="shared" si="7"/>
        <v>9225</v>
      </c>
      <c r="N31" s="18">
        <f t="shared" si="7"/>
        <v>9220</v>
      </c>
      <c r="O31" s="20">
        <f t="shared" si="7"/>
        <v>9260</v>
      </c>
      <c r="P31" s="19">
        <f t="shared" si="7"/>
        <v>9270</v>
      </c>
      <c r="Q31" s="18">
        <f t="shared" si="7"/>
        <v>9265</v>
      </c>
      <c r="R31" s="17">
        <f t="shared" si="7"/>
        <v>9195</v>
      </c>
      <c r="S31" s="16">
        <f t="shared" si="7"/>
        <v>1.3178000000000001</v>
      </c>
      <c r="T31" s="15">
        <f t="shared" si="7"/>
        <v>1.1107</v>
      </c>
      <c r="U31" s="14">
        <f t="shared" si="7"/>
        <v>142.63</v>
      </c>
      <c r="V31" s="13">
        <f t="shared" si="7"/>
        <v>6900.56</v>
      </c>
      <c r="W31" s="13">
        <f t="shared" si="7"/>
        <v>6890.47</v>
      </c>
      <c r="X31" s="13">
        <f t="shared" si="7"/>
        <v>8122.0740217295288</v>
      </c>
      <c r="Y31" s="12">
        <f t="shared" si="7"/>
        <v>1.3183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4"/>
  <sheetViews>
    <sheetView tabSelected="1" workbookViewId="0">
      <pane ySplit="8" topLeftCell="A9" activePane="bottomLeft" state="frozen"/>
      <selection activeCell="C46" sqref="C46"/>
      <selection pane="bottomLeft" activeCell="Q23" sqref="Q23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31</v>
      </c>
    </row>
    <row r="6" spans="1:19" ht="13.5" thickBot="1" x14ac:dyDescent="0.25">
      <c r="B6" s="1">
        <v>45778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45778</v>
      </c>
      <c r="C9" s="44">
        <v>2499</v>
      </c>
      <c r="D9" s="43">
        <v>2509</v>
      </c>
      <c r="E9" s="42">
        <f t="shared" ref="E9:E28" si="0">AVERAGE(C9:D9)</f>
        <v>2504</v>
      </c>
      <c r="F9" s="44">
        <v>2499</v>
      </c>
      <c r="G9" s="43">
        <v>2509</v>
      </c>
      <c r="H9" s="42">
        <f t="shared" ref="H9:H28" si="1">AVERAGE(F9:G9)</f>
        <v>2504</v>
      </c>
      <c r="I9" s="44">
        <v>2500</v>
      </c>
      <c r="J9" s="43">
        <v>2510</v>
      </c>
      <c r="K9" s="42">
        <f t="shared" ref="K9:K28" si="2">AVERAGE(I9:J9)</f>
        <v>2505</v>
      </c>
      <c r="L9" s="50">
        <v>2509</v>
      </c>
      <c r="M9" s="49">
        <v>1.3325</v>
      </c>
      <c r="N9" s="51">
        <v>1.1321000000000001</v>
      </c>
      <c r="O9" s="48">
        <v>144.49</v>
      </c>
      <c r="P9" s="41">
        <f>L9/M9</f>
        <v>1882.9268292682927</v>
      </c>
      <c r="Q9" s="41">
        <f>G9/M9</f>
        <v>1882.9268292682927</v>
      </c>
      <c r="R9" s="47">
        <f t="shared" ref="R9:R28" si="3">L9/N9</f>
        <v>2216.2353149015103</v>
      </c>
      <c r="S9" s="46">
        <v>1.333</v>
      </c>
    </row>
    <row r="10" spans="1:19" x14ac:dyDescent="0.2">
      <c r="B10" s="45">
        <v>45779</v>
      </c>
      <c r="C10" s="44">
        <v>2499</v>
      </c>
      <c r="D10" s="43">
        <v>2509</v>
      </c>
      <c r="E10" s="42">
        <f t="shared" si="0"/>
        <v>2504</v>
      </c>
      <c r="F10" s="44">
        <v>2499</v>
      </c>
      <c r="G10" s="43">
        <v>2509</v>
      </c>
      <c r="H10" s="42">
        <f t="shared" si="1"/>
        <v>2504</v>
      </c>
      <c r="I10" s="44">
        <v>2500</v>
      </c>
      <c r="J10" s="43">
        <v>2510</v>
      </c>
      <c r="K10" s="42">
        <f t="shared" si="2"/>
        <v>2505</v>
      </c>
      <c r="L10" s="50">
        <v>2509</v>
      </c>
      <c r="M10" s="49">
        <v>1.3293999999999999</v>
      </c>
      <c r="N10" s="49">
        <v>1.1347</v>
      </c>
      <c r="O10" s="48">
        <v>144.56</v>
      </c>
      <c r="P10" s="41">
        <f t="shared" ref="P10:P28" si="4">L10/M10</f>
        <v>1887.3175868813</v>
      </c>
      <c r="Q10" s="41">
        <f t="shared" ref="Q10:Q28" si="5">G10/M10</f>
        <v>1887.3175868813</v>
      </c>
      <c r="R10" s="47">
        <f t="shared" si="3"/>
        <v>2211.1571340442406</v>
      </c>
      <c r="S10" s="46">
        <v>1.3299000000000001</v>
      </c>
    </row>
    <row r="11" spans="1:19" x14ac:dyDescent="0.2">
      <c r="B11" s="45">
        <v>45783</v>
      </c>
      <c r="C11" s="44">
        <v>2499</v>
      </c>
      <c r="D11" s="43">
        <v>2509</v>
      </c>
      <c r="E11" s="42">
        <f t="shared" si="0"/>
        <v>2504</v>
      </c>
      <c r="F11" s="44">
        <v>2499</v>
      </c>
      <c r="G11" s="43">
        <v>2509</v>
      </c>
      <c r="H11" s="42">
        <f t="shared" si="1"/>
        <v>2504</v>
      </c>
      <c r="I11" s="44">
        <v>2500</v>
      </c>
      <c r="J11" s="43">
        <v>2510</v>
      </c>
      <c r="K11" s="42">
        <f t="shared" si="2"/>
        <v>2505</v>
      </c>
      <c r="L11" s="50">
        <v>2509</v>
      </c>
      <c r="M11" s="49">
        <v>1.3371</v>
      </c>
      <c r="N11" s="49">
        <v>1.1329</v>
      </c>
      <c r="O11" s="48">
        <v>142.78</v>
      </c>
      <c r="P11" s="41">
        <f t="shared" si="4"/>
        <v>1876.449031486052</v>
      </c>
      <c r="Q11" s="41">
        <f t="shared" si="5"/>
        <v>1876.449031486052</v>
      </c>
      <c r="R11" s="47">
        <f t="shared" si="3"/>
        <v>2214.6703151204874</v>
      </c>
      <c r="S11" s="46">
        <v>1.3378000000000001</v>
      </c>
    </row>
    <row r="12" spans="1:19" x14ac:dyDescent="0.2">
      <c r="B12" s="45">
        <v>45784</v>
      </c>
      <c r="C12" s="44">
        <v>2499</v>
      </c>
      <c r="D12" s="43">
        <v>2509</v>
      </c>
      <c r="E12" s="42">
        <f t="shared" si="0"/>
        <v>2504</v>
      </c>
      <c r="F12" s="44">
        <v>2499</v>
      </c>
      <c r="G12" s="43">
        <v>2509</v>
      </c>
      <c r="H12" s="42">
        <f t="shared" si="1"/>
        <v>2504</v>
      </c>
      <c r="I12" s="44">
        <v>2500</v>
      </c>
      <c r="J12" s="43">
        <v>2510</v>
      </c>
      <c r="K12" s="42">
        <f t="shared" si="2"/>
        <v>2505</v>
      </c>
      <c r="L12" s="50">
        <v>2509</v>
      </c>
      <c r="M12" s="49">
        <v>1.3348</v>
      </c>
      <c r="N12" s="49">
        <v>1.1357999999999999</v>
      </c>
      <c r="O12" s="48">
        <v>143.4</v>
      </c>
      <c r="P12" s="41">
        <f t="shared" si="4"/>
        <v>1879.6823494156429</v>
      </c>
      <c r="Q12" s="41">
        <f t="shared" si="5"/>
        <v>1879.6823494156429</v>
      </c>
      <c r="R12" s="47">
        <f t="shared" si="3"/>
        <v>2209.0156717731998</v>
      </c>
      <c r="S12" s="46">
        <v>1.3354999999999999</v>
      </c>
    </row>
    <row r="13" spans="1:19" x14ac:dyDescent="0.2">
      <c r="B13" s="45">
        <v>45785</v>
      </c>
      <c r="C13" s="44">
        <v>2499</v>
      </c>
      <c r="D13" s="43">
        <v>2509</v>
      </c>
      <c r="E13" s="42">
        <f t="shared" si="0"/>
        <v>2504</v>
      </c>
      <c r="F13" s="44">
        <v>2499</v>
      </c>
      <c r="G13" s="43">
        <v>2509</v>
      </c>
      <c r="H13" s="42">
        <f t="shared" si="1"/>
        <v>2504</v>
      </c>
      <c r="I13" s="44">
        <v>2500</v>
      </c>
      <c r="J13" s="43">
        <v>2510</v>
      </c>
      <c r="K13" s="42">
        <f t="shared" si="2"/>
        <v>2505</v>
      </c>
      <c r="L13" s="50">
        <v>2509</v>
      </c>
      <c r="M13" s="49">
        <v>1.3327</v>
      </c>
      <c r="N13" s="49">
        <v>1.1295999999999999</v>
      </c>
      <c r="O13" s="48">
        <v>144.65</v>
      </c>
      <c r="P13" s="41">
        <f>L13/M13</f>
        <v>1882.6442560216103</v>
      </c>
      <c r="Q13" s="41">
        <f t="shared" si="5"/>
        <v>1882.6442560216103</v>
      </c>
      <c r="R13" s="47">
        <f t="shared" si="3"/>
        <v>2221.1402266288951</v>
      </c>
      <c r="S13" s="46">
        <v>1.3331999999999999</v>
      </c>
    </row>
    <row r="14" spans="1:19" x14ac:dyDescent="0.2">
      <c r="B14" s="45">
        <v>45786</v>
      </c>
      <c r="C14" s="44">
        <v>2499</v>
      </c>
      <c r="D14" s="43">
        <v>2509</v>
      </c>
      <c r="E14" s="42">
        <f t="shared" si="0"/>
        <v>2504</v>
      </c>
      <c r="F14" s="44">
        <v>2499</v>
      </c>
      <c r="G14" s="43">
        <v>2509</v>
      </c>
      <c r="H14" s="42">
        <f t="shared" si="1"/>
        <v>2504</v>
      </c>
      <c r="I14" s="44">
        <v>2500</v>
      </c>
      <c r="J14" s="43">
        <v>2510</v>
      </c>
      <c r="K14" s="42">
        <f t="shared" si="2"/>
        <v>2505</v>
      </c>
      <c r="L14" s="50">
        <v>2509</v>
      </c>
      <c r="M14" s="49">
        <v>1.3277000000000001</v>
      </c>
      <c r="N14" s="49">
        <v>1.1254999999999999</v>
      </c>
      <c r="O14" s="48">
        <v>145.13</v>
      </c>
      <c r="P14" s="41">
        <f t="shared" si="4"/>
        <v>1889.734126685245</v>
      </c>
      <c r="Q14" s="41">
        <f t="shared" si="5"/>
        <v>1889.734126685245</v>
      </c>
      <c r="R14" s="47">
        <f t="shared" si="3"/>
        <v>2229.2314526876944</v>
      </c>
      <c r="S14" s="46">
        <v>1.3282</v>
      </c>
    </row>
    <row r="15" spans="1:19" x14ac:dyDescent="0.2">
      <c r="B15" s="45">
        <v>45789</v>
      </c>
      <c r="C15" s="44">
        <v>2499</v>
      </c>
      <c r="D15" s="43">
        <v>2509</v>
      </c>
      <c r="E15" s="42">
        <f t="shared" si="0"/>
        <v>2504</v>
      </c>
      <c r="F15" s="44">
        <v>2499</v>
      </c>
      <c r="G15" s="43">
        <v>2509</v>
      </c>
      <c r="H15" s="42">
        <f t="shared" si="1"/>
        <v>2504</v>
      </c>
      <c r="I15" s="44">
        <v>2500</v>
      </c>
      <c r="J15" s="43">
        <v>2510</v>
      </c>
      <c r="K15" s="42">
        <f t="shared" si="2"/>
        <v>2505</v>
      </c>
      <c r="L15" s="50">
        <v>2509</v>
      </c>
      <c r="M15" s="49">
        <v>1.3178000000000001</v>
      </c>
      <c r="N15" s="49">
        <v>1.1112</v>
      </c>
      <c r="O15" s="48">
        <v>147.87</v>
      </c>
      <c r="P15" s="41">
        <f t="shared" si="4"/>
        <v>1903.9307937471542</v>
      </c>
      <c r="Q15" s="41">
        <f t="shared" si="5"/>
        <v>1903.9307937471542</v>
      </c>
      <c r="R15" s="47">
        <f t="shared" si="3"/>
        <v>2257.9193664506838</v>
      </c>
      <c r="S15" s="46">
        <v>1.3183</v>
      </c>
    </row>
    <row r="16" spans="1:19" x14ac:dyDescent="0.2">
      <c r="B16" s="45">
        <v>45790</v>
      </c>
      <c r="C16" s="44">
        <v>2499</v>
      </c>
      <c r="D16" s="43">
        <v>2509</v>
      </c>
      <c r="E16" s="42">
        <f t="shared" si="0"/>
        <v>2504</v>
      </c>
      <c r="F16" s="44">
        <v>2499</v>
      </c>
      <c r="G16" s="43">
        <v>2509</v>
      </c>
      <c r="H16" s="42">
        <f t="shared" si="1"/>
        <v>2504</v>
      </c>
      <c r="I16" s="44">
        <v>2500</v>
      </c>
      <c r="J16" s="43">
        <v>2510</v>
      </c>
      <c r="K16" s="42">
        <f t="shared" si="2"/>
        <v>2505</v>
      </c>
      <c r="L16" s="50">
        <v>2509</v>
      </c>
      <c r="M16" s="49">
        <v>1.3213999999999999</v>
      </c>
      <c r="N16" s="49">
        <v>1.1107</v>
      </c>
      <c r="O16" s="48">
        <v>148.12</v>
      </c>
      <c r="P16" s="41">
        <f t="shared" si="4"/>
        <v>1898.743756621765</v>
      </c>
      <c r="Q16" s="41">
        <f t="shared" si="5"/>
        <v>1898.743756621765</v>
      </c>
      <c r="R16" s="47">
        <f t="shared" si="3"/>
        <v>2258.935806248312</v>
      </c>
      <c r="S16" s="46">
        <v>1.3219000000000001</v>
      </c>
    </row>
    <row r="17" spans="2:19" x14ac:dyDescent="0.2">
      <c r="B17" s="45">
        <v>45791</v>
      </c>
      <c r="C17" s="44">
        <v>2499</v>
      </c>
      <c r="D17" s="43">
        <v>2509</v>
      </c>
      <c r="E17" s="42">
        <f t="shared" si="0"/>
        <v>2504</v>
      </c>
      <c r="F17" s="44">
        <v>2499</v>
      </c>
      <c r="G17" s="43">
        <v>2509</v>
      </c>
      <c r="H17" s="42">
        <f t="shared" si="1"/>
        <v>2504</v>
      </c>
      <c r="I17" s="44">
        <v>2500</v>
      </c>
      <c r="J17" s="43">
        <v>2510</v>
      </c>
      <c r="K17" s="42">
        <f t="shared" si="2"/>
        <v>2505</v>
      </c>
      <c r="L17" s="50">
        <v>2509</v>
      </c>
      <c r="M17" s="49">
        <v>1.3333999999999999</v>
      </c>
      <c r="N17" s="49">
        <v>1.1217999999999999</v>
      </c>
      <c r="O17" s="48">
        <v>146.18</v>
      </c>
      <c r="P17" s="41">
        <f t="shared" si="4"/>
        <v>1881.65591720414</v>
      </c>
      <c r="Q17" s="41">
        <f t="shared" si="5"/>
        <v>1881.65591720414</v>
      </c>
      <c r="R17" s="47">
        <f t="shared" si="3"/>
        <v>2236.5840613300056</v>
      </c>
      <c r="S17" s="46">
        <v>1.3340000000000001</v>
      </c>
    </row>
    <row r="18" spans="2:19" x14ac:dyDescent="0.2">
      <c r="B18" s="45">
        <v>45792</v>
      </c>
      <c r="C18" s="44">
        <v>2499</v>
      </c>
      <c r="D18" s="43">
        <v>2509</v>
      </c>
      <c r="E18" s="42">
        <f t="shared" si="0"/>
        <v>2504</v>
      </c>
      <c r="F18" s="44">
        <v>2499</v>
      </c>
      <c r="G18" s="43">
        <v>2509</v>
      </c>
      <c r="H18" s="42">
        <f t="shared" si="1"/>
        <v>2504</v>
      </c>
      <c r="I18" s="44">
        <v>2500</v>
      </c>
      <c r="J18" s="43">
        <v>2510</v>
      </c>
      <c r="K18" s="42">
        <f t="shared" si="2"/>
        <v>2505</v>
      </c>
      <c r="L18" s="50">
        <v>2509</v>
      </c>
      <c r="M18" s="49">
        <v>1.327</v>
      </c>
      <c r="N18" s="49">
        <v>1.1183000000000001</v>
      </c>
      <c r="O18" s="48">
        <v>146.09</v>
      </c>
      <c r="P18" s="41">
        <f t="shared" si="4"/>
        <v>1890.7309721175584</v>
      </c>
      <c r="Q18" s="41">
        <f t="shared" si="5"/>
        <v>1890.7309721175584</v>
      </c>
      <c r="R18" s="47">
        <f t="shared" si="3"/>
        <v>2243.5840114459447</v>
      </c>
      <c r="S18" s="46">
        <v>1.3275999999999999</v>
      </c>
    </row>
    <row r="19" spans="2:19" x14ac:dyDescent="0.2">
      <c r="B19" s="45">
        <v>45793</v>
      </c>
      <c r="C19" s="44">
        <v>2499</v>
      </c>
      <c r="D19" s="43">
        <v>2509</v>
      </c>
      <c r="E19" s="42">
        <f t="shared" si="0"/>
        <v>2504</v>
      </c>
      <c r="F19" s="44">
        <v>2499</v>
      </c>
      <c r="G19" s="43">
        <v>2509</v>
      </c>
      <c r="H19" s="42">
        <f t="shared" si="1"/>
        <v>2504</v>
      </c>
      <c r="I19" s="44">
        <v>2500</v>
      </c>
      <c r="J19" s="43">
        <v>2510</v>
      </c>
      <c r="K19" s="42">
        <f t="shared" si="2"/>
        <v>2505</v>
      </c>
      <c r="L19" s="50">
        <v>2509</v>
      </c>
      <c r="M19" s="49">
        <v>1.3283</v>
      </c>
      <c r="N19" s="49">
        <v>1.1194999999999999</v>
      </c>
      <c r="O19" s="48">
        <v>145.65</v>
      </c>
      <c r="P19" s="41">
        <f t="shared" si="4"/>
        <v>1888.880523978017</v>
      </c>
      <c r="Q19" s="41">
        <f t="shared" si="5"/>
        <v>1888.880523978017</v>
      </c>
      <c r="R19" s="47">
        <f t="shared" si="3"/>
        <v>2241.1790978115232</v>
      </c>
      <c r="S19" s="46">
        <v>1.3288</v>
      </c>
    </row>
    <row r="20" spans="2:19" x14ac:dyDescent="0.2">
      <c r="B20" s="45">
        <v>45796</v>
      </c>
      <c r="C20" s="44">
        <v>2499</v>
      </c>
      <c r="D20" s="43">
        <v>2509</v>
      </c>
      <c r="E20" s="42">
        <f t="shared" si="0"/>
        <v>2504</v>
      </c>
      <c r="F20" s="44">
        <v>2499</v>
      </c>
      <c r="G20" s="43">
        <v>2509</v>
      </c>
      <c r="H20" s="42">
        <f t="shared" si="1"/>
        <v>2504</v>
      </c>
      <c r="I20" s="44">
        <v>2500</v>
      </c>
      <c r="J20" s="43">
        <v>2510</v>
      </c>
      <c r="K20" s="42">
        <f t="shared" si="2"/>
        <v>2505</v>
      </c>
      <c r="L20" s="50">
        <v>2509</v>
      </c>
      <c r="M20" s="49">
        <v>1.3382000000000001</v>
      </c>
      <c r="N20" s="49">
        <v>1.1273</v>
      </c>
      <c r="O20" s="48">
        <v>144.9</v>
      </c>
      <c r="P20" s="41">
        <f t="shared" si="4"/>
        <v>1874.9065909430578</v>
      </c>
      <c r="Q20" s="41">
        <f t="shared" si="5"/>
        <v>1874.9065909430578</v>
      </c>
      <c r="R20" s="47">
        <f t="shared" si="3"/>
        <v>2225.671959549366</v>
      </c>
      <c r="S20" s="46">
        <v>1.3388</v>
      </c>
    </row>
    <row r="21" spans="2:19" x14ac:dyDescent="0.2">
      <c r="B21" s="45">
        <v>45797</v>
      </c>
      <c r="C21" s="44">
        <v>2499</v>
      </c>
      <c r="D21" s="43">
        <v>2509</v>
      </c>
      <c r="E21" s="42">
        <f t="shared" si="0"/>
        <v>2504</v>
      </c>
      <c r="F21" s="44">
        <v>2499</v>
      </c>
      <c r="G21" s="43">
        <v>2509</v>
      </c>
      <c r="H21" s="42">
        <f t="shared" si="1"/>
        <v>2504</v>
      </c>
      <c r="I21" s="44">
        <v>2500</v>
      </c>
      <c r="J21" s="43">
        <v>2510</v>
      </c>
      <c r="K21" s="42">
        <f t="shared" si="2"/>
        <v>2505</v>
      </c>
      <c r="L21" s="50">
        <v>2509</v>
      </c>
      <c r="M21" s="49">
        <v>1.3362000000000001</v>
      </c>
      <c r="N21" s="49">
        <v>1.1246</v>
      </c>
      <c r="O21" s="48">
        <v>144.6</v>
      </c>
      <c r="P21" s="41">
        <f t="shared" si="4"/>
        <v>1877.7129172279599</v>
      </c>
      <c r="Q21" s="41">
        <f t="shared" si="5"/>
        <v>1877.7129172279599</v>
      </c>
      <c r="R21" s="47">
        <f t="shared" si="3"/>
        <v>2231.0154721678819</v>
      </c>
      <c r="S21" s="46">
        <v>1.3368</v>
      </c>
    </row>
    <row r="22" spans="2:19" x14ac:dyDescent="0.2">
      <c r="B22" s="45">
        <v>45798</v>
      </c>
      <c r="C22" s="44">
        <v>2499</v>
      </c>
      <c r="D22" s="43">
        <v>2509</v>
      </c>
      <c r="E22" s="42">
        <f t="shared" si="0"/>
        <v>2504</v>
      </c>
      <c r="F22" s="44">
        <v>2499</v>
      </c>
      <c r="G22" s="43">
        <v>2509</v>
      </c>
      <c r="H22" s="42">
        <f t="shared" si="1"/>
        <v>2504</v>
      </c>
      <c r="I22" s="44">
        <v>2500</v>
      </c>
      <c r="J22" s="43">
        <v>2510</v>
      </c>
      <c r="K22" s="42">
        <f t="shared" si="2"/>
        <v>2505</v>
      </c>
      <c r="L22" s="50">
        <v>2509</v>
      </c>
      <c r="M22" s="49">
        <v>1.3413999999999999</v>
      </c>
      <c r="N22" s="49">
        <v>1.1324000000000001</v>
      </c>
      <c r="O22" s="48">
        <v>143.75</v>
      </c>
      <c r="P22" s="41">
        <f t="shared" si="4"/>
        <v>1870.4338750559118</v>
      </c>
      <c r="Q22" s="41">
        <f>G22/M22</f>
        <v>1870.4338750559118</v>
      </c>
      <c r="R22" s="47">
        <f t="shared" si="3"/>
        <v>2215.6481808548215</v>
      </c>
      <c r="S22" s="46">
        <v>1.3420000000000001</v>
      </c>
    </row>
    <row r="23" spans="2:19" x14ac:dyDescent="0.2">
      <c r="B23" s="45">
        <v>45799</v>
      </c>
      <c r="C23" s="44">
        <v>2499</v>
      </c>
      <c r="D23" s="43">
        <v>2509</v>
      </c>
      <c r="E23" s="42">
        <f t="shared" si="0"/>
        <v>2504</v>
      </c>
      <c r="F23" s="44">
        <v>2499</v>
      </c>
      <c r="G23" s="43">
        <v>2509</v>
      </c>
      <c r="H23" s="42">
        <f t="shared" si="1"/>
        <v>2504</v>
      </c>
      <c r="I23" s="44">
        <v>2500</v>
      </c>
      <c r="J23" s="43">
        <v>2510</v>
      </c>
      <c r="K23" s="42">
        <f t="shared" si="2"/>
        <v>2505</v>
      </c>
      <c r="L23" s="50">
        <v>2509</v>
      </c>
      <c r="M23" s="49">
        <v>1.3420000000000001</v>
      </c>
      <c r="N23" s="49">
        <v>1.1309</v>
      </c>
      <c r="O23" s="48">
        <v>143.37</v>
      </c>
      <c r="P23" s="41">
        <f t="shared" si="4"/>
        <v>1869.5976154992547</v>
      </c>
      <c r="Q23" s="41">
        <f t="shared" si="5"/>
        <v>1869.5976154992547</v>
      </c>
      <c r="R23" s="47">
        <f t="shared" si="3"/>
        <v>2218.5869661331681</v>
      </c>
      <c r="S23" s="46">
        <v>1.3426</v>
      </c>
    </row>
    <row r="24" spans="2:19" x14ac:dyDescent="0.2">
      <c r="B24" s="45">
        <v>45800</v>
      </c>
      <c r="C24" s="44">
        <v>2499</v>
      </c>
      <c r="D24" s="43">
        <v>2509</v>
      </c>
      <c r="E24" s="42">
        <f t="shared" si="0"/>
        <v>2504</v>
      </c>
      <c r="F24" s="44">
        <v>2499</v>
      </c>
      <c r="G24" s="43">
        <v>2509</v>
      </c>
      <c r="H24" s="42">
        <f t="shared" si="1"/>
        <v>2504</v>
      </c>
      <c r="I24" s="44">
        <v>2500</v>
      </c>
      <c r="J24" s="43">
        <v>2510</v>
      </c>
      <c r="K24" s="42">
        <f t="shared" si="2"/>
        <v>2505</v>
      </c>
      <c r="L24" s="50">
        <v>2509</v>
      </c>
      <c r="M24" s="49">
        <v>1.3489</v>
      </c>
      <c r="N24" s="49">
        <v>1.1322000000000001</v>
      </c>
      <c r="O24" s="48">
        <v>142.63</v>
      </c>
      <c r="P24" s="41">
        <f t="shared" si="4"/>
        <v>1860.0341018607755</v>
      </c>
      <c r="Q24" s="41">
        <f t="shared" si="5"/>
        <v>1860.0341018607755</v>
      </c>
      <c r="R24" s="47">
        <f t="shared" si="3"/>
        <v>2216.0395689807451</v>
      </c>
      <c r="S24" s="46">
        <v>1.3494999999999999</v>
      </c>
    </row>
    <row r="25" spans="2:19" x14ac:dyDescent="0.2">
      <c r="B25" s="45">
        <v>45804</v>
      </c>
      <c r="C25" s="44">
        <v>2499</v>
      </c>
      <c r="D25" s="43">
        <v>2509</v>
      </c>
      <c r="E25" s="42">
        <f t="shared" si="0"/>
        <v>2504</v>
      </c>
      <c r="F25" s="44">
        <v>2499</v>
      </c>
      <c r="G25" s="43">
        <v>2509</v>
      </c>
      <c r="H25" s="42">
        <f t="shared" si="1"/>
        <v>2504</v>
      </c>
      <c r="I25" s="44">
        <v>2500</v>
      </c>
      <c r="J25" s="43">
        <v>2510</v>
      </c>
      <c r="K25" s="42">
        <f t="shared" si="2"/>
        <v>2505</v>
      </c>
      <c r="L25" s="50">
        <v>2509</v>
      </c>
      <c r="M25" s="49">
        <v>1.3548</v>
      </c>
      <c r="N25" s="49">
        <v>1.1352</v>
      </c>
      <c r="O25" s="48">
        <v>144.1</v>
      </c>
      <c r="P25" s="41">
        <f t="shared" si="4"/>
        <v>1851.933864777089</v>
      </c>
      <c r="Q25" s="41">
        <f t="shared" si="5"/>
        <v>1851.933864777089</v>
      </c>
      <c r="R25" s="47">
        <f t="shared" si="3"/>
        <v>2210.183227625088</v>
      </c>
      <c r="S25" s="46">
        <v>1.3553999999999999</v>
      </c>
    </row>
    <row r="26" spans="2:19" x14ac:dyDescent="0.2">
      <c r="B26" s="45">
        <v>45805</v>
      </c>
      <c r="C26" s="44">
        <v>2499</v>
      </c>
      <c r="D26" s="43">
        <v>2509</v>
      </c>
      <c r="E26" s="42">
        <f t="shared" si="0"/>
        <v>2504</v>
      </c>
      <c r="F26" s="44">
        <v>2499</v>
      </c>
      <c r="G26" s="43">
        <v>2509</v>
      </c>
      <c r="H26" s="42">
        <f t="shared" si="1"/>
        <v>2504</v>
      </c>
      <c r="I26" s="44">
        <v>2500</v>
      </c>
      <c r="J26" s="43">
        <v>2510</v>
      </c>
      <c r="K26" s="42">
        <f t="shared" si="2"/>
        <v>2505</v>
      </c>
      <c r="L26" s="50">
        <v>2509</v>
      </c>
      <c r="M26" s="49">
        <v>1.3479000000000001</v>
      </c>
      <c r="N26" s="49">
        <v>1.1317999999999999</v>
      </c>
      <c r="O26" s="48">
        <v>144.41999999999999</v>
      </c>
      <c r="P26" s="41">
        <f t="shared" si="4"/>
        <v>1861.4140514874989</v>
      </c>
      <c r="Q26" s="41">
        <f t="shared" si="5"/>
        <v>1861.4140514874989</v>
      </c>
      <c r="R26" s="47">
        <f t="shared" si="3"/>
        <v>2216.8227602049833</v>
      </c>
      <c r="S26" s="46">
        <v>1.3485</v>
      </c>
    </row>
    <row r="27" spans="2:19" x14ac:dyDescent="0.2">
      <c r="B27" s="45">
        <v>45806</v>
      </c>
      <c r="C27" s="44">
        <v>2499</v>
      </c>
      <c r="D27" s="43">
        <v>2509</v>
      </c>
      <c r="E27" s="42">
        <f t="shared" si="0"/>
        <v>2504</v>
      </c>
      <c r="F27" s="44">
        <v>2499</v>
      </c>
      <c r="G27" s="43">
        <v>2509</v>
      </c>
      <c r="H27" s="42">
        <f t="shared" si="1"/>
        <v>2504</v>
      </c>
      <c r="I27" s="44">
        <v>2500</v>
      </c>
      <c r="J27" s="43">
        <v>2510</v>
      </c>
      <c r="K27" s="42">
        <f t="shared" si="2"/>
        <v>2505</v>
      </c>
      <c r="L27" s="50">
        <v>2509</v>
      </c>
      <c r="M27" s="49">
        <v>1.3461000000000001</v>
      </c>
      <c r="N27" s="49">
        <v>1.1271</v>
      </c>
      <c r="O27" s="48">
        <v>145.09</v>
      </c>
      <c r="P27" s="41">
        <f t="shared" si="4"/>
        <v>1863.9031275536736</v>
      </c>
      <c r="Q27" s="41">
        <f t="shared" si="5"/>
        <v>1863.9031275536736</v>
      </c>
      <c r="R27" s="47">
        <f t="shared" si="3"/>
        <v>2226.0668973471743</v>
      </c>
      <c r="S27" s="46">
        <v>1.3467</v>
      </c>
    </row>
    <row r="28" spans="2:19" x14ac:dyDescent="0.2">
      <c r="B28" s="45">
        <v>45807</v>
      </c>
      <c r="C28" s="44">
        <v>2499</v>
      </c>
      <c r="D28" s="43">
        <v>2509</v>
      </c>
      <c r="E28" s="42">
        <f t="shared" si="0"/>
        <v>2504</v>
      </c>
      <c r="F28" s="44">
        <v>2499</v>
      </c>
      <c r="G28" s="43">
        <v>2509</v>
      </c>
      <c r="H28" s="42">
        <f t="shared" si="1"/>
        <v>2504</v>
      </c>
      <c r="I28" s="44">
        <v>2500</v>
      </c>
      <c r="J28" s="43">
        <v>2510</v>
      </c>
      <c r="K28" s="42">
        <f t="shared" si="2"/>
        <v>2505</v>
      </c>
      <c r="L28" s="50">
        <v>2509</v>
      </c>
      <c r="M28" s="49">
        <v>1.3475999999999999</v>
      </c>
      <c r="N28" s="49">
        <v>1.1338999999999999</v>
      </c>
      <c r="O28" s="48">
        <v>143.85</v>
      </c>
      <c r="P28" s="41">
        <f t="shared" si="4"/>
        <v>1861.8284357376078</v>
      </c>
      <c r="Q28" s="41">
        <f t="shared" si="5"/>
        <v>1861.8284357376078</v>
      </c>
      <c r="R28" s="47">
        <f t="shared" si="3"/>
        <v>2212.7171708263518</v>
      </c>
      <c r="S28" s="46">
        <v>1.3482000000000001</v>
      </c>
    </row>
    <row r="29" spans="2:19" x14ac:dyDescent="0.2">
      <c r="B29" s="40" t="s">
        <v>11</v>
      </c>
      <c r="C29" s="39">
        <f>ROUND(AVERAGE(C9:C28),2)</f>
        <v>2499</v>
      </c>
      <c r="D29" s="38">
        <f>ROUND(AVERAGE(D9:D28),2)</f>
        <v>2509</v>
      </c>
      <c r="E29" s="37">
        <f>ROUND(AVERAGE(C29:D29),2)</f>
        <v>2504</v>
      </c>
      <c r="F29" s="39">
        <f>ROUND(AVERAGE(F9:F28),2)</f>
        <v>2499</v>
      </c>
      <c r="G29" s="38">
        <f>ROUND(AVERAGE(G9:G28),2)</f>
        <v>2509</v>
      </c>
      <c r="H29" s="37">
        <f>ROUND(AVERAGE(F29:G29),2)</f>
        <v>2504</v>
      </c>
      <c r="I29" s="39">
        <f>ROUND(AVERAGE(I9:I28),2)</f>
        <v>2500</v>
      </c>
      <c r="J29" s="38">
        <f>ROUND(AVERAGE(J9:J28),2)</f>
        <v>2510</v>
      </c>
      <c r="K29" s="37">
        <f>ROUND(AVERAGE(I29:J29),2)</f>
        <v>2505</v>
      </c>
      <c r="L29" s="36">
        <f>ROUND(AVERAGE(L9:L28),2)</f>
        <v>2509</v>
      </c>
      <c r="M29" s="35">
        <f>ROUND(AVERAGE(M9:M28),4)</f>
        <v>1.3363</v>
      </c>
      <c r="N29" s="34">
        <f>ROUND(AVERAGE(N9:N28),4)</f>
        <v>1.1274</v>
      </c>
      <c r="O29" s="167">
        <f>ROUND(AVERAGE(O9:O28),2)</f>
        <v>144.78</v>
      </c>
      <c r="P29" s="33">
        <f>AVERAGE(P9:P28)</f>
        <v>1877.7230361784805</v>
      </c>
      <c r="Q29" s="33">
        <f>AVERAGE(Q9:Q28)</f>
        <v>1877.7230361784805</v>
      </c>
      <c r="R29" s="33">
        <f>AVERAGE(R9:R28)</f>
        <v>2225.6202331066038</v>
      </c>
      <c r="S29" s="32">
        <f>AVERAGE(S9:S28)</f>
        <v>1.3368349999999998</v>
      </c>
    </row>
    <row r="30" spans="2:19" x14ac:dyDescent="0.2">
      <c r="B30" s="31" t="s">
        <v>12</v>
      </c>
      <c r="C30" s="30">
        <f t="shared" ref="C30:S30" si="6">MAX(C9:C28)</f>
        <v>2499</v>
      </c>
      <c r="D30" s="29">
        <f t="shared" si="6"/>
        <v>2509</v>
      </c>
      <c r="E30" s="28">
        <f t="shared" si="6"/>
        <v>2504</v>
      </c>
      <c r="F30" s="30">
        <f t="shared" si="6"/>
        <v>2499</v>
      </c>
      <c r="G30" s="29">
        <f t="shared" si="6"/>
        <v>2509</v>
      </c>
      <c r="H30" s="28">
        <f t="shared" si="6"/>
        <v>2504</v>
      </c>
      <c r="I30" s="30">
        <f t="shared" si="6"/>
        <v>2500</v>
      </c>
      <c r="J30" s="29">
        <f t="shared" si="6"/>
        <v>2510</v>
      </c>
      <c r="K30" s="28">
        <f t="shared" si="6"/>
        <v>2505</v>
      </c>
      <c r="L30" s="27">
        <f t="shared" si="6"/>
        <v>2509</v>
      </c>
      <c r="M30" s="26">
        <f t="shared" si="6"/>
        <v>1.3548</v>
      </c>
      <c r="N30" s="25">
        <f t="shared" si="6"/>
        <v>1.1357999999999999</v>
      </c>
      <c r="O30" s="24">
        <f t="shared" si="6"/>
        <v>148.12</v>
      </c>
      <c r="P30" s="23">
        <f t="shared" si="6"/>
        <v>1903.9307937471542</v>
      </c>
      <c r="Q30" s="23">
        <f t="shared" si="6"/>
        <v>1903.9307937471542</v>
      </c>
      <c r="R30" s="23">
        <f t="shared" si="6"/>
        <v>2258.935806248312</v>
      </c>
      <c r="S30" s="22">
        <f t="shared" si="6"/>
        <v>1.3553999999999999</v>
      </c>
    </row>
    <row r="31" spans="2:19" ht="13.5" thickBot="1" x14ac:dyDescent="0.25">
      <c r="B31" s="21" t="s">
        <v>13</v>
      </c>
      <c r="C31" s="20">
        <f t="shared" ref="C31:S31" si="7">MIN(C9:C28)</f>
        <v>2499</v>
      </c>
      <c r="D31" s="19">
        <f t="shared" si="7"/>
        <v>2509</v>
      </c>
      <c r="E31" s="18">
        <f t="shared" si="7"/>
        <v>2504</v>
      </c>
      <c r="F31" s="20">
        <f t="shared" si="7"/>
        <v>2499</v>
      </c>
      <c r="G31" s="19">
        <f t="shared" si="7"/>
        <v>2509</v>
      </c>
      <c r="H31" s="18">
        <f t="shared" si="7"/>
        <v>2504</v>
      </c>
      <c r="I31" s="20">
        <f t="shared" si="7"/>
        <v>2500</v>
      </c>
      <c r="J31" s="19">
        <f t="shared" si="7"/>
        <v>2510</v>
      </c>
      <c r="K31" s="18">
        <f t="shared" si="7"/>
        <v>2505</v>
      </c>
      <c r="L31" s="17">
        <f t="shared" si="7"/>
        <v>2509</v>
      </c>
      <c r="M31" s="16">
        <f t="shared" si="7"/>
        <v>1.3178000000000001</v>
      </c>
      <c r="N31" s="15">
        <f t="shared" si="7"/>
        <v>1.1107</v>
      </c>
      <c r="O31" s="14">
        <f t="shared" si="7"/>
        <v>142.63</v>
      </c>
      <c r="P31" s="13">
        <f t="shared" si="7"/>
        <v>1851.933864777089</v>
      </c>
      <c r="Q31" s="13">
        <f t="shared" si="7"/>
        <v>1851.933864777089</v>
      </c>
      <c r="R31" s="13">
        <f t="shared" si="7"/>
        <v>2209.0156717731998</v>
      </c>
      <c r="S31" s="12">
        <f t="shared" si="7"/>
        <v>1.3183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Q23" sqref="Q23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30</v>
      </c>
    </row>
    <row r="6" spans="1:19" ht="13.5" thickBot="1" x14ac:dyDescent="0.25">
      <c r="B6" s="1">
        <v>45778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45778</v>
      </c>
      <c r="C9" s="44">
        <v>2390</v>
      </c>
      <c r="D9" s="43">
        <v>2400</v>
      </c>
      <c r="E9" s="42">
        <f t="shared" ref="E9:E28" si="0">AVERAGE(C9:D9)</f>
        <v>2395</v>
      </c>
      <c r="F9" s="44">
        <v>2390</v>
      </c>
      <c r="G9" s="43">
        <v>2400</v>
      </c>
      <c r="H9" s="42">
        <f t="shared" ref="H9:H28" si="1">AVERAGE(F9:G9)</f>
        <v>2395</v>
      </c>
      <c r="I9" s="44">
        <v>2390</v>
      </c>
      <c r="J9" s="43">
        <v>2400</v>
      </c>
      <c r="K9" s="42">
        <f t="shared" ref="K9:K28" si="2">AVERAGE(I9:J9)</f>
        <v>2395</v>
      </c>
      <c r="L9" s="50">
        <v>2400</v>
      </c>
      <c r="M9" s="49">
        <v>1.3325</v>
      </c>
      <c r="N9" s="51">
        <v>1.1321000000000001</v>
      </c>
      <c r="O9" s="48">
        <v>144.49</v>
      </c>
      <c r="P9" s="41">
        <f>L9/M9</f>
        <v>1801.1257035647279</v>
      </c>
      <c r="Q9" s="41">
        <f>G9/M9</f>
        <v>1801.1257035647279</v>
      </c>
      <c r="R9" s="47">
        <f t="shared" ref="R9:R28" si="3">L9/N9</f>
        <v>2119.9540676618672</v>
      </c>
      <c r="S9" s="46">
        <v>1.333</v>
      </c>
    </row>
    <row r="10" spans="1:19" x14ac:dyDescent="0.2">
      <c r="B10" s="45">
        <v>45779</v>
      </c>
      <c r="C10" s="44">
        <v>2390</v>
      </c>
      <c r="D10" s="43">
        <v>2400</v>
      </c>
      <c r="E10" s="42">
        <f t="shared" si="0"/>
        <v>2395</v>
      </c>
      <c r="F10" s="44">
        <v>2390</v>
      </c>
      <c r="G10" s="43">
        <v>2400</v>
      </c>
      <c r="H10" s="42">
        <f t="shared" si="1"/>
        <v>2395</v>
      </c>
      <c r="I10" s="44">
        <v>2390</v>
      </c>
      <c r="J10" s="43">
        <v>2400</v>
      </c>
      <c r="K10" s="42">
        <f t="shared" si="2"/>
        <v>2395</v>
      </c>
      <c r="L10" s="50">
        <v>2400</v>
      </c>
      <c r="M10" s="49">
        <v>1.3293999999999999</v>
      </c>
      <c r="N10" s="49">
        <v>1.1347</v>
      </c>
      <c r="O10" s="48">
        <v>144.56</v>
      </c>
      <c r="P10" s="41">
        <f t="shared" ref="P10:P28" si="4">L10/M10</f>
        <v>1805.3257108469988</v>
      </c>
      <c r="Q10" s="41">
        <f t="shared" ref="Q10:Q28" si="5">G10/M10</f>
        <v>1805.3257108469988</v>
      </c>
      <c r="R10" s="47">
        <f t="shared" si="3"/>
        <v>2115.0965012778706</v>
      </c>
      <c r="S10" s="46">
        <v>1.3299000000000001</v>
      </c>
    </row>
    <row r="11" spans="1:19" x14ac:dyDescent="0.2">
      <c r="B11" s="45">
        <v>45783</v>
      </c>
      <c r="C11" s="44">
        <v>2390</v>
      </c>
      <c r="D11" s="43">
        <v>2400</v>
      </c>
      <c r="E11" s="42">
        <f t="shared" si="0"/>
        <v>2395</v>
      </c>
      <c r="F11" s="44">
        <v>2390</v>
      </c>
      <c r="G11" s="43">
        <v>2400</v>
      </c>
      <c r="H11" s="42">
        <f t="shared" si="1"/>
        <v>2395</v>
      </c>
      <c r="I11" s="44">
        <v>2390</v>
      </c>
      <c r="J11" s="43">
        <v>2400</v>
      </c>
      <c r="K11" s="42">
        <f t="shared" si="2"/>
        <v>2395</v>
      </c>
      <c r="L11" s="50">
        <v>2400</v>
      </c>
      <c r="M11" s="49">
        <v>1.3371</v>
      </c>
      <c r="N11" s="49">
        <v>1.1329</v>
      </c>
      <c r="O11" s="48">
        <v>142.78</v>
      </c>
      <c r="P11" s="41">
        <f t="shared" si="4"/>
        <v>1794.9293246578416</v>
      </c>
      <c r="Q11" s="41">
        <f t="shared" si="5"/>
        <v>1794.9293246578416</v>
      </c>
      <c r="R11" s="47">
        <f t="shared" si="3"/>
        <v>2118.4570571100717</v>
      </c>
      <c r="S11" s="46">
        <v>1.3378000000000001</v>
      </c>
    </row>
    <row r="12" spans="1:19" x14ac:dyDescent="0.2">
      <c r="B12" s="45">
        <v>45784</v>
      </c>
      <c r="C12" s="44">
        <v>2390</v>
      </c>
      <c r="D12" s="43">
        <v>2400</v>
      </c>
      <c r="E12" s="42">
        <f t="shared" si="0"/>
        <v>2395</v>
      </c>
      <c r="F12" s="44">
        <v>2390</v>
      </c>
      <c r="G12" s="43">
        <v>2400</v>
      </c>
      <c r="H12" s="42">
        <f t="shared" si="1"/>
        <v>2395</v>
      </c>
      <c r="I12" s="44">
        <v>2390</v>
      </c>
      <c r="J12" s="43">
        <v>2400</v>
      </c>
      <c r="K12" s="42">
        <f t="shared" si="2"/>
        <v>2395</v>
      </c>
      <c r="L12" s="50">
        <v>2400</v>
      </c>
      <c r="M12" s="49">
        <v>1.3348</v>
      </c>
      <c r="N12" s="49">
        <v>1.1357999999999999</v>
      </c>
      <c r="O12" s="48">
        <v>143.4</v>
      </c>
      <c r="P12" s="41">
        <f t="shared" si="4"/>
        <v>1798.0221756068324</v>
      </c>
      <c r="Q12" s="41">
        <f t="shared" si="5"/>
        <v>1798.0221756068324</v>
      </c>
      <c r="R12" s="47">
        <f t="shared" si="3"/>
        <v>2113.0480718436347</v>
      </c>
      <c r="S12" s="46">
        <v>1.3354999999999999</v>
      </c>
    </row>
    <row r="13" spans="1:19" x14ac:dyDescent="0.2">
      <c r="B13" s="45">
        <v>45785</v>
      </c>
      <c r="C13" s="44">
        <v>2390</v>
      </c>
      <c r="D13" s="43">
        <v>2400</v>
      </c>
      <c r="E13" s="42">
        <f t="shared" si="0"/>
        <v>2395</v>
      </c>
      <c r="F13" s="44">
        <v>2390</v>
      </c>
      <c r="G13" s="43">
        <v>2400</v>
      </c>
      <c r="H13" s="42">
        <f t="shared" si="1"/>
        <v>2395</v>
      </c>
      <c r="I13" s="44">
        <v>2390</v>
      </c>
      <c r="J13" s="43">
        <v>2400</v>
      </c>
      <c r="K13" s="42">
        <f t="shared" si="2"/>
        <v>2395</v>
      </c>
      <c r="L13" s="50">
        <v>2400</v>
      </c>
      <c r="M13" s="49">
        <v>1.3327</v>
      </c>
      <c r="N13" s="49">
        <v>1.1295999999999999</v>
      </c>
      <c r="O13" s="48">
        <v>144.65</v>
      </c>
      <c r="P13" s="41">
        <f t="shared" si="4"/>
        <v>1800.8554063180011</v>
      </c>
      <c r="Q13" s="41">
        <f t="shared" si="5"/>
        <v>1800.8554063180011</v>
      </c>
      <c r="R13" s="47">
        <f t="shared" si="3"/>
        <v>2124.6458923512751</v>
      </c>
      <c r="S13" s="46">
        <v>1.3331999999999999</v>
      </c>
    </row>
    <row r="14" spans="1:19" x14ac:dyDescent="0.2">
      <c r="B14" s="45">
        <v>45786</v>
      </c>
      <c r="C14" s="44">
        <v>2390</v>
      </c>
      <c r="D14" s="43">
        <v>2400</v>
      </c>
      <c r="E14" s="42">
        <f t="shared" si="0"/>
        <v>2395</v>
      </c>
      <c r="F14" s="44">
        <v>2390</v>
      </c>
      <c r="G14" s="43">
        <v>2400</v>
      </c>
      <c r="H14" s="42">
        <f t="shared" si="1"/>
        <v>2395</v>
      </c>
      <c r="I14" s="44">
        <v>2390</v>
      </c>
      <c r="J14" s="43">
        <v>2400</v>
      </c>
      <c r="K14" s="42">
        <f t="shared" si="2"/>
        <v>2395</v>
      </c>
      <c r="L14" s="50">
        <v>2400</v>
      </c>
      <c r="M14" s="49">
        <v>1.3277000000000001</v>
      </c>
      <c r="N14" s="49">
        <v>1.1254999999999999</v>
      </c>
      <c r="O14" s="48">
        <v>145.13</v>
      </c>
      <c r="P14" s="41">
        <f>L14/M14</f>
        <v>1807.6372674549973</v>
      </c>
      <c r="Q14" s="41">
        <f t="shared" si="5"/>
        <v>1807.6372674549973</v>
      </c>
      <c r="R14" s="47">
        <f t="shared" si="3"/>
        <v>2132.3856063971571</v>
      </c>
      <c r="S14" s="46">
        <v>1.3282</v>
      </c>
    </row>
    <row r="15" spans="1:19" x14ac:dyDescent="0.2">
      <c r="B15" s="45">
        <v>45789</v>
      </c>
      <c r="C15" s="44">
        <v>2390</v>
      </c>
      <c r="D15" s="43">
        <v>2400</v>
      </c>
      <c r="E15" s="42">
        <f t="shared" si="0"/>
        <v>2395</v>
      </c>
      <c r="F15" s="44">
        <v>2390</v>
      </c>
      <c r="G15" s="43">
        <v>2400</v>
      </c>
      <c r="H15" s="42">
        <f t="shared" si="1"/>
        <v>2395</v>
      </c>
      <c r="I15" s="44">
        <v>2390</v>
      </c>
      <c r="J15" s="43">
        <v>2400</v>
      </c>
      <c r="K15" s="42">
        <f t="shared" si="2"/>
        <v>2395</v>
      </c>
      <c r="L15" s="50">
        <v>2400</v>
      </c>
      <c r="M15" s="49">
        <v>1.3178000000000001</v>
      </c>
      <c r="N15" s="49">
        <v>1.1112</v>
      </c>
      <c r="O15" s="48">
        <v>147.87</v>
      </c>
      <c r="P15" s="41">
        <f t="shared" si="4"/>
        <v>1821.2171801487327</v>
      </c>
      <c r="Q15" s="41">
        <f t="shared" si="5"/>
        <v>1821.2171801487327</v>
      </c>
      <c r="R15" s="47">
        <f t="shared" si="3"/>
        <v>2159.827213822894</v>
      </c>
      <c r="S15" s="46">
        <v>1.3183</v>
      </c>
    </row>
    <row r="16" spans="1:19" x14ac:dyDescent="0.2">
      <c r="B16" s="45">
        <v>45790</v>
      </c>
      <c r="C16" s="44">
        <v>2390</v>
      </c>
      <c r="D16" s="43">
        <v>2400</v>
      </c>
      <c r="E16" s="42">
        <f t="shared" si="0"/>
        <v>2395</v>
      </c>
      <c r="F16" s="44">
        <v>2390</v>
      </c>
      <c r="G16" s="43">
        <v>2400</v>
      </c>
      <c r="H16" s="42">
        <f t="shared" si="1"/>
        <v>2395</v>
      </c>
      <c r="I16" s="44">
        <v>2390</v>
      </c>
      <c r="J16" s="43">
        <v>2400</v>
      </c>
      <c r="K16" s="42">
        <f t="shared" si="2"/>
        <v>2395</v>
      </c>
      <c r="L16" s="50">
        <v>2400</v>
      </c>
      <c r="M16" s="49">
        <v>1.3213999999999999</v>
      </c>
      <c r="N16" s="49">
        <v>1.1107</v>
      </c>
      <c r="O16" s="48">
        <v>148.12</v>
      </c>
      <c r="P16" s="41">
        <f t="shared" si="4"/>
        <v>1816.2554866051159</v>
      </c>
      <c r="Q16" s="41">
        <f t="shared" si="5"/>
        <v>1816.2554866051159</v>
      </c>
      <c r="R16" s="47">
        <f t="shared" si="3"/>
        <v>2160.7994958134509</v>
      </c>
      <c r="S16" s="46">
        <v>1.3219000000000001</v>
      </c>
    </row>
    <row r="17" spans="2:19" x14ac:dyDescent="0.2">
      <c r="B17" s="45">
        <v>45791</v>
      </c>
      <c r="C17" s="44">
        <v>2390</v>
      </c>
      <c r="D17" s="43">
        <v>2400</v>
      </c>
      <c r="E17" s="42">
        <f t="shared" si="0"/>
        <v>2395</v>
      </c>
      <c r="F17" s="44">
        <v>2390</v>
      </c>
      <c r="G17" s="43">
        <v>2400</v>
      </c>
      <c r="H17" s="42">
        <f t="shared" si="1"/>
        <v>2395</v>
      </c>
      <c r="I17" s="44">
        <v>2390</v>
      </c>
      <c r="J17" s="43">
        <v>2400</v>
      </c>
      <c r="K17" s="42">
        <f t="shared" si="2"/>
        <v>2395</v>
      </c>
      <c r="L17" s="50">
        <v>2400</v>
      </c>
      <c r="M17" s="49">
        <v>1.3333999999999999</v>
      </c>
      <c r="N17" s="49">
        <v>1.1217999999999999</v>
      </c>
      <c r="O17" s="48">
        <v>146.18</v>
      </c>
      <c r="P17" s="41">
        <f t="shared" si="4"/>
        <v>1799.9100044997751</v>
      </c>
      <c r="Q17" s="41">
        <f t="shared" si="5"/>
        <v>1799.9100044997751</v>
      </c>
      <c r="R17" s="47">
        <f t="shared" si="3"/>
        <v>2139.4187912283833</v>
      </c>
      <c r="S17" s="46">
        <v>1.3340000000000001</v>
      </c>
    </row>
    <row r="18" spans="2:19" x14ac:dyDescent="0.2">
      <c r="B18" s="45">
        <v>45792</v>
      </c>
      <c r="C18" s="44">
        <v>2390</v>
      </c>
      <c r="D18" s="43">
        <v>2400</v>
      </c>
      <c r="E18" s="42">
        <f t="shared" si="0"/>
        <v>2395</v>
      </c>
      <c r="F18" s="44">
        <v>2390</v>
      </c>
      <c r="G18" s="43">
        <v>2400</v>
      </c>
      <c r="H18" s="42">
        <f t="shared" si="1"/>
        <v>2395</v>
      </c>
      <c r="I18" s="44">
        <v>2390</v>
      </c>
      <c r="J18" s="43">
        <v>2400</v>
      </c>
      <c r="K18" s="42">
        <f t="shared" si="2"/>
        <v>2395</v>
      </c>
      <c r="L18" s="50">
        <v>2400</v>
      </c>
      <c r="M18" s="49">
        <v>1.327</v>
      </c>
      <c r="N18" s="49">
        <v>1.1183000000000001</v>
      </c>
      <c r="O18" s="48">
        <v>146.09</v>
      </c>
      <c r="P18" s="41">
        <f t="shared" si="4"/>
        <v>1808.5908063300678</v>
      </c>
      <c r="Q18" s="41">
        <f t="shared" si="5"/>
        <v>1808.5908063300678</v>
      </c>
      <c r="R18" s="47">
        <f t="shared" si="3"/>
        <v>2146.1146382902621</v>
      </c>
      <c r="S18" s="46">
        <v>1.3275999999999999</v>
      </c>
    </row>
    <row r="19" spans="2:19" x14ac:dyDescent="0.2">
      <c r="B19" s="45">
        <v>45793</v>
      </c>
      <c r="C19" s="44">
        <v>2390</v>
      </c>
      <c r="D19" s="43">
        <v>2400</v>
      </c>
      <c r="E19" s="42">
        <f t="shared" si="0"/>
        <v>2395</v>
      </c>
      <c r="F19" s="44">
        <v>2390</v>
      </c>
      <c r="G19" s="43">
        <v>2400</v>
      </c>
      <c r="H19" s="42">
        <f t="shared" si="1"/>
        <v>2395</v>
      </c>
      <c r="I19" s="44">
        <v>2390</v>
      </c>
      <c r="J19" s="43">
        <v>2400</v>
      </c>
      <c r="K19" s="42">
        <f t="shared" si="2"/>
        <v>2395</v>
      </c>
      <c r="L19" s="50">
        <v>2400</v>
      </c>
      <c r="M19" s="49">
        <v>1.3283</v>
      </c>
      <c r="N19" s="49">
        <v>1.1194999999999999</v>
      </c>
      <c r="O19" s="48">
        <v>145.65</v>
      </c>
      <c r="P19" s="41">
        <f t="shared" si="4"/>
        <v>1806.8207483249266</v>
      </c>
      <c r="Q19" s="41">
        <f t="shared" si="5"/>
        <v>1806.8207483249266</v>
      </c>
      <c r="R19" s="47">
        <f t="shared" si="3"/>
        <v>2143.8142027690933</v>
      </c>
      <c r="S19" s="46">
        <v>1.3288</v>
      </c>
    </row>
    <row r="20" spans="2:19" x14ac:dyDescent="0.2">
      <c r="B20" s="45">
        <v>45796</v>
      </c>
      <c r="C20" s="44">
        <v>2390</v>
      </c>
      <c r="D20" s="43">
        <v>2400</v>
      </c>
      <c r="E20" s="42">
        <f t="shared" si="0"/>
        <v>2395</v>
      </c>
      <c r="F20" s="44">
        <v>2390</v>
      </c>
      <c r="G20" s="43">
        <v>2400</v>
      </c>
      <c r="H20" s="42">
        <f t="shared" si="1"/>
        <v>2395</v>
      </c>
      <c r="I20" s="44">
        <v>2390</v>
      </c>
      <c r="J20" s="43">
        <v>2400</v>
      </c>
      <c r="K20" s="42">
        <f t="shared" si="2"/>
        <v>2395</v>
      </c>
      <c r="L20" s="50">
        <v>2400</v>
      </c>
      <c r="M20" s="49">
        <v>1.3382000000000001</v>
      </c>
      <c r="N20" s="49">
        <v>1.1273</v>
      </c>
      <c r="O20" s="48">
        <v>144.9</v>
      </c>
      <c r="P20" s="41">
        <f t="shared" si="4"/>
        <v>1793.4538932894932</v>
      </c>
      <c r="Q20" s="41">
        <f t="shared" si="5"/>
        <v>1793.4538932894932</v>
      </c>
      <c r="R20" s="47">
        <f t="shared" si="3"/>
        <v>2128.9807504657147</v>
      </c>
      <c r="S20" s="46">
        <v>1.3388</v>
      </c>
    </row>
    <row r="21" spans="2:19" x14ac:dyDescent="0.2">
      <c r="B21" s="45">
        <v>45797</v>
      </c>
      <c r="C21" s="44">
        <v>2390</v>
      </c>
      <c r="D21" s="43">
        <v>2400</v>
      </c>
      <c r="E21" s="42">
        <f t="shared" si="0"/>
        <v>2395</v>
      </c>
      <c r="F21" s="44">
        <v>2390</v>
      </c>
      <c r="G21" s="43">
        <v>2400</v>
      </c>
      <c r="H21" s="42">
        <f t="shared" si="1"/>
        <v>2395</v>
      </c>
      <c r="I21" s="44">
        <v>2390</v>
      </c>
      <c r="J21" s="43">
        <v>2400</v>
      </c>
      <c r="K21" s="42">
        <f t="shared" si="2"/>
        <v>2395</v>
      </c>
      <c r="L21" s="50">
        <v>2400</v>
      </c>
      <c r="M21" s="49">
        <v>1.3362000000000001</v>
      </c>
      <c r="N21" s="49">
        <v>1.1246</v>
      </c>
      <c r="O21" s="48">
        <v>144.6</v>
      </c>
      <c r="P21" s="41">
        <f t="shared" si="4"/>
        <v>1796.138302649304</v>
      </c>
      <c r="Q21" s="41">
        <f t="shared" si="5"/>
        <v>1796.138302649304</v>
      </c>
      <c r="R21" s="47">
        <f t="shared" si="3"/>
        <v>2134.0921216432507</v>
      </c>
      <c r="S21" s="46">
        <v>1.3368</v>
      </c>
    </row>
    <row r="22" spans="2:19" x14ac:dyDescent="0.2">
      <c r="B22" s="45">
        <v>45798</v>
      </c>
      <c r="C22" s="44">
        <v>2390</v>
      </c>
      <c r="D22" s="43">
        <v>2400</v>
      </c>
      <c r="E22" s="42">
        <f t="shared" si="0"/>
        <v>2395</v>
      </c>
      <c r="F22" s="44">
        <v>2390</v>
      </c>
      <c r="G22" s="43">
        <v>2400</v>
      </c>
      <c r="H22" s="42">
        <f t="shared" si="1"/>
        <v>2395</v>
      </c>
      <c r="I22" s="44">
        <v>2390</v>
      </c>
      <c r="J22" s="43">
        <v>2400</v>
      </c>
      <c r="K22" s="42">
        <f t="shared" si="2"/>
        <v>2395</v>
      </c>
      <c r="L22" s="50">
        <v>2400</v>
      </c>
      <c r="M22" s="49">
        <v>1.3413999999999999</v>
      </c>
      <c r="N22" s="49">
        <v>1.1324000000000001</v>
      </c>
      <c r="O22" s="48">
        <v>143.75</v>
      </c>
      <c r="P22" s="41">
        <f t="shared" si="4"/>
        <v>1789.1754882958105</v>
      </c>
      <c r="Q22" s="41">
        <f>G22/M22</f>
        <v>1789.1754882958105</v>
      </c>
      <c r="R22" s="47">
        <f t="shared" si="3"/>
        <v>2119.3924408336275</v>
      </c>
      <c r="S22" s="46">
        <v>1.3420000000000001</v>
      </c>
    </row>
    <row r="23" spans="2:19" x14ac:dyDescent="0.2">
      <c r="B23" s="45">
        <v>45799</v>
      </c>
      <c r="C23" s="44">
        <v>2390</v>
      </c>
      <c r="D23" s="43">
        <v>2400</v>
      </c>
      <c r="E23" s="42">
        <f t="shared" si="0"/>
        <v>2395</v>
      </c>
      <c r="F23" s="44">
        <v>2390</v>
      </c>
      <c r="G23" s="43">
        <v>2400</v>
      </c>
      <c r="H23" s="42">
        <f t="shared" si="1"/>
        <v>2395</v>
      </c>
      <c r="I23" s="44">
        <v>2390</v>
      </c>
      <c r="J23" s="43">
        <v>2400</v>
      </c>
      <c r="K23" s="42">
        <f t="shared" si="2"/>
        <v>2395</v>
      </c>
      <c r="L23" s="50">
        <v>2400</v>
      </c>
      <c r="M23" s="49">
        <v>1.3420000000000001</v>
      </c>
      <c r="N23" s="49">
        <v>1.1309</v>
      </c>
      <c r="O23" s="48">
        <v>143.37</v>
      </c>
      <c r="P23" s="41">
        <f t="shared" si="4"/>
        <v>1788.3755588673621</v>
      </c>
      <c r="Q23" s="41">
        <f t="shared" si="5"/>
        <v>1788.3755588673621</v>
      </c>
      <c r="R23" s="47">
        <f t="shared" si="3"/>
        <v>2122.2035546909542</v>
      </c>
      <c r="S23" s="46">
        <v>1.3426</v>
      </c>
    </row>
    <row r="24" spans="2:19" x14ac:dyDescent="0.2">
      <c r="B24" s="45">
        <v>45800</v>
      </c>
      <c r="C24" s="44">
        <v>2390</v>
      </c>
      <c r="D24" s="43">
        <v>2400</v>
      </c>
      <c r="E24" s="42">
        <f t="shared" si="0"/>
        <v>2395</v>
      </c>
      <c r="F24" s="44">
        <v>2390</v>
      </c>
      <c r="G24" s="43">
        <v>2400</v>
      </c>
      <c r="H24" s="42">
        <f t="shared" si="1"/>
        <v>2395</v>
      </c>
      <c r="I24" s="44">
        <v>2390</v>
      </c>
      <c r="J24" s="43">
        <v>2400</v>
      </c>
      <c r="K24" s="42">
        <f t="shared" si="2"/>
        <v>2395</v>
      </c>
      <c r="L24" s="50">
        <v>2400</v>
      </c>
      <c r="M24" s="49">
        <v>1.3489</v>
      </c>
      <c r="N24" s="49">
        <v>1.1322000000000001</v>
      </c>
      <c r="O24" s="48">
        <v>142.63</v>
      </c>
      <c r="P24" s="41">
        <f t="shared" si="4"/>
        <v>1779.2275187189562</v>
      </c>
      <c r="Q24" s="41">
        <f t="shared" si="5"/>
        <v>1779.2275187189562</v>
      </c>
      <c r="R24" s="47">
        <f t="shared" si="3"/>
        <v>2119.7668256491784</v>
      </c>
      <c r="S24" s="46">
        <v>1.3494999999999999</v>
      </c>
    </row>
    <row r="25" spans="2:19" x14ac:dyDescent="0.2">
      <c r="B25" s="45">
        <v>45804</v>
      </c>
      <c r="C25" s="44">
        <v>2390</v>
      </c>
      <c r="D25" s="43">
        <v>2400</v>
      </c>
      <c r="E25" s="42">
        <f t="shared" si="0"/>
        <v>2395</v>
      </c>
      <c r="F25" s="44">
        <v>2390</v>
      </c>
      <c r="G25" s="43">
        <v>2400</v>
      </c>
      <c r="H25" s="42">
        <f t="shared" si="1"/>
        <v>2395</v>
      </c>
      <c r="I25" s="44">
        <v>2390</v>
      </c>
      <c r="J25" s="43">
        <v>2400</v>
      </c>
      <c r="K25" s="42">
        <f t="shared" si="2"/>
        <v>2395</v>
      </c>
      <c r="L25" s="50">
        <v>2400</v>
      </c>
      <c r="M25" s="49">
        <v>1.3548</v>
      </c>
      <c r="N25" s="49">
        <v>1.1352</v>
      </c>
      <c r="O25" s="48">
        <v>144.1</v>
      </c>
      <c r="P25" s="41">
        <f t="shared" si="4"/>
        <v>1771.4791851195748</v>
      </c>
      <c r="Q25" s="41">
        <f t="shared" si="5"/>
        <v>1771.4791851195748</v>
      </c>
      <c r="R25" s="47">
        <f t="shared" si="3"/>
        <v>2114.1649048625795</v>
      </c>
      <c r="S25" s="46">
        <v>1.3553999999999999</v>
      </c>
    </row>
    <row r="26" spans="2:19" x14ac:dyDescent="0.2">
      <c r="B26" s="45">
        <v>45805</v>
      </c>
      <c r="C26" s="44">
        <v>2390</v>
      </c>
      <c r="D26" s="43">
        <v>2400</v>
      </c>
      <c r="E26" s="42">
        <f t="shared" si="0"/>
        <v>2395</v>
      </c>
      <c r="F26" s="44">
        <v>2390</v>
      </c>
      <c r="G26" s="43">
        <v>2400</v>
      </c>
      <c r="H26" s="42">
        <f t="shared" si="1"/>
        <v>2395</v>
      </c>
      <c r="I26" s="44">
        <v>2390</v>
      </c>
      <c r="J26" s="43">
        <v>2400</v>
      </c>
      <c r="K26" s="42">
        <f t="shared" si="2"/>
        <v>2395</v>
      </c>
      <c r="L26" s="50">
        <v>2400</v>
      </c>
      <c r="M26" s="49">
        <v>1.3479000000000001</v>
      </c>
      <c r="N26" s="49">
        <v>1.1317999999999999</v>
      </c>
      <c r="O26" s="48">
        <v>144.41999999999999</v>
      </c>
      <c r="P26" s="41">
        <f t="shared" si="4"/>
        <v>1780.5475183618962</v>
      </c>
      <c r="Q26" s="41">
        <f t="shared" si="5"/>
        <v>1780.5475183618962</v>
      </c>
      <c r="R26" s="47">
        <f t="shared" si="3"/>
        <v>2120.5159922247749</v>
      </c>
      <c r="S26" s="46">
        <v>1.3485</v>
      </c>
    </row>
    <row r="27" spans="2:19" x14ac:dyDescent="0.2">
      <c r="B27" s="45">
        <v>45806</v>
      </c>
      <c r="C27" s="44">
        <v>2390</v>
      </c>
      <c r="D27" s="43">
        <v>2400</v>
      </c>
      <c r="E27" s="42">
        <f t="shared" si="0"/>
        <v>2395</v>
      </c>
      <c r="F27" s="44">
        <v>2390</v>
      </c>
      <c r="G27" s="43">
        <v>2400</v>
      </c>
      <c r="H27" s="42">
        <f t="shared" si="1"/>
        <v>2395</v>
      </c>
      <c r="I27" s="44">
        <v>2390</v>
      </c>
      <c r="J27" s="43">
        <v>2400</v>
      </c>
      <c r="K27" s="42">
        <f t="shared" si="2"/>
        <v>2395</v>
      </c>
      <c r="L27" s="50">
        <v>2400</v>
      </c>
      <c r="M27" s="49">
        <v>1.3461000000000001</v>
      </c>
      <c r="N27" s="49">
        <v>1.1271</v>
      </c>
      <c r="O27" s="48">
        <v>145.09</v>
      </c>
      <c r="P27" s="41">
        <f t="shared" si="4"/>
        <v>1782.9284599955427</v>
      </c>
      <c r="Q27" s="41">
        <f t="shared" si="5"/>
        <v>1782.9284599955427</v>
      </c>
      <c r="R27" s="47">
        <f t="shared" si="3"/>
        <v>2129.3585307426138</v>
      </c>
      <c r="S27" s="46">
        <v>1.3467</v>
      </c>
    </row>
    <row r="28" spans="2:19" x14ac:dyDescent="0.2">
      <c r="B28" s="45">
        <v>45807</v>
      </c>
      <c r="C28" s="44">
        <v>2390</v>
      </c>
      <c r="D28" s="43">
        <v>2400</v>
      </c>
      <c r="E28" s="42">
        <f t="shared" si="0"/>
        <v>2395</v>
      </c>
      <c r="F28" s="44">
        <v>2390</v>
      </c>
      <c r="G28" s="43">
        <v>2400</v>
      </c>
      <c r="H28" s="42">
        <f t="shared" si="1"/>
        <v>2395</v>
      </c>
      <c r="I28" s="44">
        <v>2390</v>
      </c>
      <c r="J28" s="43">
        <v>2400</v>
      </c>
      <c r="K28" s="42">
        <f t="shared" si="2"/>
        <v>2395</v>
      </c>
      <c r="L28" s="50">
        <v>2400</v>
      </c>
      <c r="M28" s="49">
        <v>1.3475999999999999</v>
      </c>
      <c r="N28" s="49">
        <v>1.1338999999999999</v>
      </c>
      <c r="O28" s="48">
        <v>143.85</v>
      </c>
      <c r="P28" s="41">
        <f t="shared" si="4"/>
        <v>1780.9439002671418</v>
      </c>
      <c r="Q28" s="41">
        <f t="shared" si="5"/>
        <v>1780.9439002671418</v>
      </c>
      <c r="R28" s="47">
        <f t="shared" si="3"/>
        <v>2116.5887644413087</v>
      </c>
      <c r="S28" s="46">
        <v>1.3482000000000001</v>
      </c>
    </row>
    <row r="29" spans="2:19" x14ac:dyDescent="0.2">
      <c r="B29" s="40" t="s">
        <v>11</v>
      </c>
      <c r="C29" s="39">
        <f>ROUND(AVERAGE(C9:C28),2)</f>
        <v>2390</v>
      </c>
      <c r="D29" s="38">
        <f>ROUND(AVERAGE(D9:D28),2)</f>
        <v>2400</v>
      </c>
      <c r="E29" s="37">
        <f>ROUND(AVERAGE(C29:D29),2)</f>
        <v>2395</v>
      </c>
      <c r="F29" s="39">
        <f>ROUND(AVERAGE(F9:F28),2)</f>
        <v>2390</v>
      </c>
      <c r="G29" s="38">
        <f>ROUND(AVERAGE(G9:G28),2)</f>
        <v>2400</v>
      </c>
      <c r="H29" s="37">
        <f>ROUND(AVERAGE(F29:G29),2)</f>
        <v>2395</v>
      </c>
      <c r="I29" s="39">
        <f>ROUND(AVERAGE(I9:I28),2)</f>
        <v>2390</v>
      </c>
      <c r="J29" s="38">
        <f>ROUND(AVERAGE(J9:J28),2)</f>
        <v>2400</v>
      </c>
      <c r="K29" s="37">
        <f>ROUND(AVERAGE(I29:J29),2)</f>
        <v>2395</v>
      </c>
      <c r="L29" s="36">
        <f>ROUND(AVERAGE(L9:L28),2)</f>
        <v>2400</v>
      </c>
      <c r="M29" s="35">
        <f>ROUND(AVERAGE(M9:M28),4)</f>
        <v>1.3363</v>
      </c>
      <c r="N29" s="34">
        <f>ROUND(AVERAGE(N9:N28),4)</f>
        <v>1.1274</v>
      </c>
      <c r="O29" s="167">
        <f>ROUND(AVERAGE(O9:O28),2)</f>
        <v>144.78</v>
      </c>
      <c r="P29" s="33">
        <f>AVERAGE(P9:P28)</f>
        <v>1796.1479819961551</v>
      </c>
      <c r="Q29" s="33">
        <f>AVERAGE(Q9:Q28)</f>
        <v>1796.1479819961551</v>
      </c>
      <c r="R29" s="33">
        <f>AVERAGE(R9:R28)</f>
        <v>2128.9312712059977</v>
      </c>
      <c r="S29" s="32">
        <f>AVERAGE(S9:S28)</f>
        <v>1.3368349999999998</v>
      </c>
    </row>
    <row r="30" spans="2:19" x14ac:dyDescent="0.2">
      <c r="B30" s="31" t="s">
        <v>12</v>
      </c>
      <c r="C30" s="30">
        <f t="shared" ref="C30:S30" si="6">MAX(C9:C28)</f>
        <v>2390</v>
      </c>
      <c r="D30" s="29">
        <f t="shared" si="6"/>
        <v>2400</v>
      </c>
      <c r="E30" s="28">
        <f t="shared" si="6"/>
        <v>2395</v>
      </c>
      <c r="F30" s="30">
        <f t="shared" si="6"/>
        <v>2390</v>
      </c>
      <c r="G30" s="29">
        <f t="shared" si="6"/>
        <v>2400</v>
      </c>
      <c r="H30" s="28">
        <f t="shared" si="6"/>
        <v>2395</v>
      </c>
      <c r="I30" s="30">
        <f t="shared" si="6"/>
        <v>2390</v>
      </c>
      <c r="J30" s="29">
        <f t="shared" si="6"/>
        <v>2400</v>
      </c>
      <c r="K30" s="28">
        <f t="shared" si="6"/>
        <v>2395</v>
      </c>
      <c r="L30" s="27">
        <f t="shared" si="6"/>
        <v>2400</v>
      </c>
      <c r="M30" s="26">
        <f t="shared" si="6"/>
        <v>1.3548</v>
      </c>
      <c r="N30" s="25">
        <f t="shared" si="6"/>
        <v>1.1357999999999999</v>
      </c>
      <c r="O30" s="24">
        <f t="shared" si="6"/>
        <v>148.12</v>
      </c>
      <c r="P30" s="23">
        <f t="shared" si="6"/>
        <v>1821.2171801487327</v>
      </c>
      <c r="Q30" s="23">
        <f t="shared" si="6"/>
        <v>1821.2171801487327</v>
      </c>
      <c r="R30" s="23">
        <f t="shared" si="6"/>
        <v>2160.7994958134509</v>
      </c>
      <c r="S30" s="22">
        <f t="shared" si="6"/>
        <v>1.3553999999999999</v>
      </c>
    </row>
    <row r="31" spans="2:19" ht="13.5" thickBot="1" x14ac:dyDescent="0.25">
      <c r="B31" s="21" t="s">
        <v>13</v>
      </c>
      <c r="C31" s="20">
        <f t="shared" ref="C31:S31" si="7">MIN(C9:C28)</f>
        <v>2390</v>
      </c>
      <c r="D31" s="19">
        <f t="shared" si="7"/>
        <v>2400</v>
      </c>
      <c r="E31" s="18">
        <f t="shared" si="7"/>
        <v>2395</v>
      </c>
      <c r="F31" s="20">
        <f t="shared" si="7"/>
        <v>2390</v>
      </c>
      <c r="G31" s="19">
        <f t="shared" si="7"/>
        <v>2400</v>
      </c>
      <c r="H31" s="18">
        <f t="shared" si="7"/>
        <v>2395</v>
      </c>
      <c r="I31" s="20">
        <f t="shared" si="7"/>
        <v>2390</v>
      </c>
      <c r="J31" s="19">
        <f t="shared" si="7"/>
        <v>2400</v>
      </c>
      <c r="K31" s="18">
        <f t="shared" si="7"/>
        <v>2395</v>
      </c>
      <c r="L31" s="17">
        <f t="shared" si="7"/>
        <v>2400</v>
      </c>
      <c r="M31" s="16">
        <f t="shared" si="7"/>
        <v>1.3178000000000001</v>
      </c>
      <c r="N31" s="15">
        <f t="shared" si="7"/>
        <v>1.1107</v>
      </c>
      <c r="O31" s="14">
        <f t="shared" si="7"/>
        <v>142.63</v>
      </c>
      <c r="P31" s="13">
        <f t="shared" si="7"/>
        <v>1771.4791851195748</v>
      </c>
      <c r="Q31" s="13">
        <f t="shared" si="7"/>
        <v>1771.4791851195748</v>
      </c>
      <c r="R31" s="13">
        <f t="shared" si="7"/>
        <v>2113.0480718436347</v>
      </c>
      <c r="S31" s="12">
        <f t="shared" si="7"/>
        <v>1.3183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W22" sqref="W2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26</v>
      </c>
    </row>
    <row r="6" spans="1:25" ht="13.5" thickBot="1" x14ac:dyDescent="0.25">
      <c r="B6" s="1">
        <v>45778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45778</v>
      </c>
      <c r="C9" s="44">
        <v>2377</v>
      </c>
      <c r="D9" s="43">
        <v>2377.5</v>
      </c>
      <c r="E9" s="42">
        <f t="shared" ref="E9:E28" si="0">AVERAGE(C9:D9)</f>
        <v>2377.25</v>
      </c>
      <c r="F9" s="44">
        <v>2404</v>
      </c>
      <c r="G9" s="43">
        <v>2405</v>
      </c>
      <c r="H9" s="42">
        <f t="shared" ref="H9:H28" si="1">AVERAGE(F9:G9)</f>
        <v>2404.5</v>
      </c>
      <c r="I9" s="44">
        <v>2490</v>
      </c>
      <c r="J9" s="43">
        <v>2495</v>
      </c>
      <c r="K9" s="42">
        <f t="shared" ref="K9:K28" si="2">AVERAGE(I9:J9)</f>
        <v>2492.5</v>
      </c>
      <c r="L9" s="44">
        <v>2545</v>
      </c>
      <c r="M9" s="43">
        <v>2550</v>
      </c>
      <c r="N9" s="42">
        <f t="shared" ref="N9:N28" si="3">AVERAGE(L9:M9)</f>
        <v>2547.5</v>
      </c>
      <c r="O9" s="44">
        <v>2572</v>
      </c>
      <c r="P9" s="43">
        <v>2577</v>
      </c>
      <c r="Q9" s="42">
        <f t="shared" ref="Q9:Q28" si="4">AVERAGE(O9:P9)</f>
        <v>2574.5</v>
      </c>
      <c r="R9" s="50">
        <v>2377.5</v>
      </c>
      <c r="S9" s="49">
        <v>1.3325</v>
      </c>
      <c r="T9" s="51">
        <v>1.1321000000000001</v>
      </c>
      <c r="U9" s="48">
        <v>144.49</v>
      </c>
      <c r="V9" s="41">
        <f>R9/S9</f>
        <v>1784.2401500938086</v>
      </c>
      <c r="W9" s="41">
        <f>G9/S9</f>
        <v>1804.8780487804877</v>
      </c>
      <c r="X9" s="47">
        <f t="shared" ref="X9:X28" si="5">R9/T9</f>
        <v>2100.0794982775369</v>
      </c>
      <c r="Y9" s="46">
        <v>1.333</v>
      </c>
    </row>
    <row r="10" spans="1:25" x14ac:dyDescent="0.2">
      <c r="B10" s="45">
        <v>45779</v>
      </c>
      <c r="C10" s="44">
        <v>2401</v>
      </c>
      <c r="D10" s="43">
        <v>2401.5</v>
      </c>
      <c r="E10" s="42">
        <f t="shared" si="0"/>
        <v>2401.25</v>
      </c>
      <c r="F10" s="44">
        <v>2423</v>
      </c>
      <c r="G10" s="43">
        <v>2424</v>
      </c>
      <c r="H10" s="42">
        <f t="shared" si="1"/>
        <v>2423.5</v>
      </c>
      <c r="I10" s="44">
        <v>2508</v>
      </c>
      <c r="J10" s="43">
        <v>2513</v>
      </c>
      <c r="K10" s="42">
        <f t="shared" si="2"/>
        <v>2510.5</v>
      </c>
      <c r="L10" s="44">
        <v>2563</v>
      </c>
      <c r="M10" s="43">
        <v>2568</v>
      </c>
      <c r="N10" s="42">
        <f t="shared" si="3"/>
        <v>2565.5</v>
      </c>
      <c r="O10" s="44">
        <v>2592</v>
      </c>
      <c r="P10" s="43">
        <v>2597</v>
      </c>
      <c r="Q10" s="42">
        <f t="shared" si="4"/>
        <v>2594.5</v>
      </c>
      <c r="R10" s="50">
        <v>2401.5</v>
      </c>
      <c r="S10" s="49">
        <v>1.3293999999999999</v>
      </c>
      <c r="T10" s="49">
        <v>1.1347</v>
      </c>
      <c r="U10" s="48">
        <v>144.56</v>
      </c>
      <c r="V10" s="41">
        <f t="shared" ref="V10:V28" si="6">R10/S10</f>
        <v>1806.4540394162782</v>
      </c>
      <c r="W10" s="41">
        <f t="shared" ref="W10:W28" si="7">G10/S10</f>
        <v>1823.3789679554689</v>
      </c>
      <c r="X10" s="47">
        <f t="shared" si="5"/>
        <v>2116.4184365911692</v>
      </c>
      <c r="Y10" s="46">
        <v>1.3299000000000001</v>
      </c>
    </row>
    <row r="11" spans="1:25" x14ac:dyDescent="0.2">
      <c r="B11" s="45">
        <v>45783</v>
      </c>
      <c r="C11" s="44">
        <v>2402</v>
      </c>
      <c r="D11" s="43">
        <v>2404</v>
      </c>
      <c r="E11" s="42">
        <f t="shared" si="0"/>
        <v>2403</v>
      </c>
      <c r="F11" s="44">
        <v>2423</v>
      </c>
      <c r="G11" s="43">
        <v>2424</v>
      </c>
      <c r="H11" s="42">
        <f t="shared" si="1"/>
        <v>2423.5</v>
      </c>
      <c r="I11" s="44">
        <v>2507</v>
      </c>
      <c r="J11" s="43">
        <v>2512</v>
      </c>
      <c r="K11" s="42">
        <f t="shared" si="2"/>
        <v>2509.5</v>
      </c>
      <c r="L11" s="44">
        <v>2562</v>
      </c>
      <c r="M11" s="43">
        <v>2567</v>
      </c>
      <c r="N11" s="42">
        <f t="shared" si="3"/>
        <v>2564.5</v>
      </c>
      <c r="O11" s="44">
        <v>2590</v>
      </c>
      <c r="P11" s="43">
        <v>2595</v>
      </c>
      <c r="Q11" s="42">
        <f t="shared" si="4"/>
        <v>2592.5</v>
      </c>
      <c r="R11" s="50">
        <v>2404</v>
      </c>
      <c r="S11" s="49">
        <v>1.3371</v>
      </c>
      <c r="T11" s="49">
        <v>1.1329</v>
      </c>
      <c r="U11" s="48">
        <v>142.78</v>
      </c>
      <c r="V11" s="41">
        <f t="shared" si="6"/>
        <v>1797.9208735322713</v>
      </c>
      <c r="W11" s="41">
        <f t="shared" si="7"/>
        <v>1812.87861790442</v>
      </c>
      <c r="X11" s="47">
        <f t="shared" si="5"/>
        <v>2121.9878188719217</v>
      </c>
      <c r="Y11" s="46">
        <v>1.3378000000000001</v>
      </c>
    </row>
    <row r="12" spans="1:25" x14ac:dyDescent="0.2">
      <c r="B12" s="45">
        <v>45784</v>
      </c>
      <c r="C12" s="44">
        <v>2363</v>
      </c>
      <c r="D12" s="43">
        <v>2363.5</v>
      </c>
      <c r="E12" s="42">
        <f t="shared" si="0"/>
        <v>2363.25</v>
      </c>
      <c r="F12" s="44">
        <v>2390</v>
      </c>
      <c r="G12" s="43">
        <v>2391</v>
      </c>
      <c r="H12" s="42">
        <f t="shared" si="1"/>
        <v>2390.5</v>
      </c>
      <c r="I12" s="44">
        <v>2475</v>
      </c>
      <c r="J12" s="43">
        <v>2480</v>
      </c>
      <c r="K12" s="42">
        <f t="shared" si="2"/>
        <v>2477.5</v>
      </c>
      <c r="L12" s="44">
        <v>2525</v>
      </c>
      <c r="M12" s="43">
        <v>2530</v>
      </c>
      <c r="N12" s="42">
        <f t="shared" si="3"/>
        <v>2527.5</v>
      </c>
      <c r="O12" s="44">
        <v>2553</v>
      </c>
      <c r="P12" s="43">
        <v>2558</v>
      </c>
      <c r="Q12" s="42">
        <f t="shared" si="4"/>
        <v>2555.5</v>
      </c>
      <c r="R12" s="50">
        <v>2363.5</v>
      </c>
      <c r="S12" s="49">
        <v>1.3348</v>
      </c>
      <c r="T12" s="49">
        <v>1.1357999999999999</v>
      </c>
      <c r="U12" s="48">
        <v>143.4</v>
      </c>
      <c r="V12" s="41">
        <f>R12/S12</f>
        <v>1770.6772550194785</v>
      </c>
      <c r="W12" s="41">
        <f t="shared" si="7"/>
        <v>1791.2795924483069</v>
      </c>
      <c r="X12" s="47">
        <f t="shared" si="5"/>
        <v>2080.9121324176795</v>
      </c>
      <c r="Y12" s="46">
        <v>1.3354999999999999</v>
      </c>
    </row>
    <row r="13" spans="1:25" x14ac:dyDescent="0.2">
      <c r="B13" s="45">
        <v>45785</v>
      </c>
      <c r="C13" s="44">
        <v>2363</v>
      </c>
      <c r="D13" s="43">
        <v>2363.5</v>
      </c>
      <c r="E13" s="42">
        <f t="shared" si="0"/>
        <v>2363.25</v>
      </c>
      <c r="F13" s="44">
        <v>2388</v>
      </c>
      <c r="G13" s="43">
        <v>2389</v>
      </c>
      <c r="H13" s="42">
        <f t="shared" si="1"/>
        <v>2388.5</v>
      </c>
      <c r="I13" s="44">
        <v>2473</v>
      </c>
      <c r="J13" s="43">
        <v>2478</v>
      </c>
      <c r="K13" s="42">
        <f t="shared" si="2"/>
        <v>2475.5</v>
      </c>
      <c r="L13" s="44">
        <v>2532</v>
      </c>
      <c r="M13" s="43">
        <v>2537</v>
      </c>
      <c r="N13" s="42">
        <f t="shared" si="3"/>
        <v>2534.5</v>
      </c>
      <c r="O13" s="44">
        <v>2572</v>
      </c>
      <c r="P13" s="43">
        <v>2577</v>
      </c>
      <c r="Q13" s="42">
        <f t="shared" si="4"/>
        <v>2574.5</v>
      </c>
      <c r="R13" s="50">
        <v>2363.5</v>
      </c>
      <c r="S13" s="49">
        <v>1.3327</v>
      </c>
      <c r="T13" s="49">
        <v>1.1295999999999999</v>
      </c>
      <c r="U13" s="48">
        <v>144.65</v>
      </c>
      <c r="V13" s="41">
        <f t="shared" si="6"/>
        <v>1773.4673970135814</v>
      </c>
      <c r="W13" s="41">
        <f t="shared" si="7"/>
        <v>1792.6014857057103</v>
      </c>
      <c r="X13" s="47">
        <f t="shared" si="5"/>
        <v>2092.3335694050993</v>
      </c>
      <c r="Y13" s="46">
        <v>1.3331999999999999</v>
      </c>
    </row>
    <row r="14" spans="1:25" x14ac:dyDescent="0.2">
      <c r="B14" s="45">
        <v>45786</v>
      </c>
      <c r="C14" s="44">
        <v>2400.5</v>
      </c>
      <c r="D14" s="43">
        <v>2401</v>
      </c>
      <c r="E14" s="42">
        <f t="shared" si="0"/>
        <v>2400.75</v>
      </c>
      <c r="F14" s="44">
        <v>2412</v>
      </c>
      <c r="G14" s="43">
        <v>2413</v>
      </c>
      <c r="H14" s="42">
        <f t="shared" si="1"/>
        <v>2412.5</v>
      </c>
      <c r="I14" s="44">
        <v>2477</v>
      </c>
      <c r="J14" s="43">
        <v>2482</v>
      </c>
      <c r="K14" s="42">
        <f t="shared" si="2"/>
        <v>2479.5</v>
      </c>
      <c r="L14" s="44">
        <v>2518</v>
      </c>
      <c r="M14" s="43">
        <v>2523</v>
      </c>
      <c r="N14" s="42">
        <f t="shared" si="3"/>
        <v>2520.5</v>
      </c>
      <c r="O14" s="44">
        <v>2543</v>
      </c>
      <c r="P14" s="43">
        <v>2548</v>
      </c>
      <c r="Q14" s="42">
        <f t="shared" si="4"/>
        <v>2545.5</v>
      </c>
      <c r="R14" s="50">
        <v>2401</v>
      </c>
      <c r="S14" s="49">
        <v>1.3277000000000001</v>
      </c>
      <c r="T14" s="49">
        <v>1.1254999999999999</v>
      </c>
      <c r="U14" s="48">
        <v>145.13</v>
      </c>
      <c r="V14" s="41">
        <f t="shared" si="6"/>
        <v>1808.3904496497701</v>
      </c>
      <c r="W14" s="41">
        <f t="shared" si="7"/>
        <v>1817.428635987045</v>
      </c>
      <c r="X14" s="47">
        <f t="shared" si="5"/>
        <v>2133.2741003998226</v>
      </c>
      <c r="Y14" s="46">
        <v>1.3282</v>
      </c>
    </row>
    <row r="15" spans="1:25" x14ac:dyDescent="0.2">
      <c r="B15" s="45">
        <v>45789</v>
      </c>
      <c r="C15" s="44">
        <v>2468</v>
      </c>
      <c r="D15" s="43">
        <v>2468.5</v>
      </c>
      <c r="E15" s="42">
        <f t="shared" si="0"/>
        <v>2468.25</v>
      </c>
      <c r="F15" s="44">
        <v>2478</v>
      </c>
      <c r="G15" s="43">
        <v>2480</v>
      </c>
      <c r="H15" s="42">
        <f t="shared" si="1"/>
        <v>2479</v>
      </c>
      <c r="I15" s="44">
        <v>2540</v>
      </c>
      <c r="J15" s="43">
        <v>2545</v>
      </c>
      <c r="K15" s="42">
        <f t="shared" si="2"/>
        <v>2542.5</v>
      </c>
      <c r="L15" s="44">
        <v>2582</v>
      </c>
      <c r="M15" s="43">
        <v>2587</v>
      </c>
      <c r="N15" s="42">
        <f t="shared" si="3"/>
        <v>2584.5</v>
      </c>
      <c r="O15" s="44">
        <v>2612</v>
      </c>
      <c r="P15" s="43">
        <v>2617</v>
      </c>
      <c r="Q15" s="42">
        <f t="shared" si="4"/>
        <v>2614.5</v>
      </c>
      <c r="R15" s="50">
        <v>2468.5</v>
      </c>
      <c r="S15" s="49">
        <v>1.3178000000000001</v>
      </c>
      <c r="T15" s="49">
        <v>1.1112</v>
      </c>
      <c r="U15" s="48">
        <v>147.87</v>
      </c>
      <c r="V15" s="41">
        <f t="shared" si="6"/>
        <v>1873.1977538321444</v>
      </c>
      <c r="W15" s="41">
        <f t="shared" si="7"/>
        <v>1881.9244194870237</v>
      </c>
      <c r="X15" s="47">
        <f t="shared" si="5"/>
        <v>2221.4722822174226</v>
      </c>
      <c r="Y15" s="46">
        <v>1.3183</v>
      </c>
    </row>
    <row r="16" spans="1:25" x14ac:dyDescent="0.2">
      <c r="B16" s="45">
        <v>45790</v>
      </c>
      <c r="C16" s="44">
        <v>2468</v>
      </c>
      <c r="D16" s="43">
        <v>2470</v>
      </c>
      <c r="E16" s="42">
        <f t="shared" si="0"/>
        <v>2469</v>
      </c>
      <c r="F16" s="44">
        <v>2471</v>
      </c>
      <c r="G16" s="43">
        <v>2472</v>
      </c>
      <c r="H16" s="42">
        <f t="shared" si="1"/>
        <v>2471.5</v>
      </c>
      <c r="I16" s="44">
        <v>2533</v>
      </c>
      <c r="J16" s="43">
        <v>2538</v>
      </c>
      <c r="K16" s="42">
        <f t="shared" si="2"/>
        <v>2535.5</v>
      </c>
      <c r="L16" s="44">
        <v>2568</v>
      </c>
      <c r="M16" s="43">
        <v>2573</v>
      </c>
      <c r="N16" s="42">
        <f t="shared" si="3"/>
        <v>2570.5</v>
      </c>
      <c r="O16" s="44">
        <v>2603</v>
      </c>
      <c r="P16" s="43">
        <v>2608</v>
      </c>
      <c r="Q16" s="42">
        <f t="shared" si="4"/>
        <v>2605.5</v>
      </c>
      <c r="R16" s="50">
        <v>2470</v>
      </c>
      <c r="S16" s="49">
        <v>1.3213999999999999</v>
      </c>
      <c r="T16" s="49">
        <v>1.1107</v>
      </c>
      <c r="U16" s="48">
        <v>148.12</v>
      </c>
      <c r="V16" s="41">
        <f t="shared" si="6"/>
        <v>1869.2296049644317</v>
      </c>
      <c r="W16" s="41">
        <f t="shared" si="7"/>
        <v>1870.7431512032695</v>
      </c>
      <c r="X16" s="47">
        <f t="shared" si="5"/>
        <v>2223.8228144413433</v>
      </c>
      <c r="Y16" s="46">
        <v>1.3219000000000001</v>
      </c>
    </row>
    <row r="17" spans="2:25" x14ac:dyDescent="0.2">
      <c r="B17" s="45">
        <v>45791</v>
      </c>
      <c r="C17" s="44">
        <v>2529.5</v>
      </c>
      <c r="D17" s="43">
        <v>2530</v>
      </c>
      <c r="E17" s="42">
        <f t="shared" si="0"/>
        <v>2529.75</v>
      </c>
      <c r="F17" s="44">
        <v>2525</v>
      </c>
      <c r="G17" s="43">
        <v>2526</v>
      </c>
      <c r="H17" s="42">
        <f t="shared" si="1"/>
        <v>2525.5</v>
      </c>
      <c r="I17" s="44">
        <v>2582</v>
      </c>
      <c r="J17" s="43">
        <v>2587</v>
      </c>
      <c r="K17" s="42">
        <f t="shared" si="2"/>
        <v>2584.5</v>
      </c>
      <c r="L17" s="44">
        <v>2617</v>
      </c>
      <c r="M17" s="43">
        <v>2622</v>
      </c>
      <c r="N17" s="42">
        <f t="shared" si="3"/>
        <v>2619.5</v>
      </c>
      <c r="O17" s="44">
        <v>2650</v>
      </c>
      <c r="P17" s="43">
        <v>2655</v>
      </c>
      <c r="Q17" s="42">
        <f t="shared" si="4"/>
        <v>2652.5</v>
      </c>
      <c r="R17" s="50">
        <v>2530</v>
      </c>
      <c r="S17" s="49">
        <v>1.3333999999999999</v>
      </c>
      <c r="T17" s="49">
        <v>1.1217999999999999</v>
      </c>
      <c r="U17" s="48">
        <v>146.18</v>
      </c>
      <c r="V17" s="41">
        <f t="shared" si="6"/>
        <v>1897.405129743513</v>
      </c>
      <c r="W17" s="41">
        <f t="shared" si="7"/>
        <v>1894.4052797360134</v>
      </c>
      <c r="X17" s="47">
        <f t="shared" si="5"/>
        <v>2255.3039757532538</v>
      </c>
      <c r="Y17" s="46">
        <v>1.3340000000000001</v>
      </c>
    </row>
    <row r="18" spans="2:25" x14ac:dyDescent="0.2">
      <c r="B18" s="45">
        <v>45792</v>
      </c>
      <c r="C18" s="44">
        <v>2480</v>
      </c>
      <c r="D18" s="43">
        <v>2480.5</v>
      </c>
      <c r="E18" s="42">
        <f t="shared" si="0"/>
        <v>2480.25</v>
      </c>
      <c r="F18" s="44">
        <v>2482</v>
      </c>
      <c r="G18" s="43">
        <v>2482.5</v>
      </c>
      <c r="H18" s="42">
        <f t="shared" si="1"/>
        <v>2482.25</v>
      </c>
      <c r="I18" s="44">
        <v>2548</v>
      </c>
      <c r="J18" s="43">
        <v>2553</v>
      </c>
      <c r="K18" s="42">
        <f t="shared" si="2"/>
        <v>2550.5</v>
      </c>
      <c r="L18" s="44">
        <v>2578</v>
      </c>
      <c r="M18" s="43">
        <v>2583</v>
      </c>
      <c r="N18" s="42">
        <f t="shared" si="3"/>
        <v>2580.5</v>
      </c>
      <c r="O18" s="44">
        <v>2608</v>
      </c>
      <c r="P18" s="43">
        <v>2613</v>
      </c>
      <c r="Q18" s="42">
        <f t="shared" si="4"/>
        <v>2610.5</v>
      </c>
      <c r="R18" s="50">
        <v>2480.5</v>
      </c>
      <c r="S18" s="49">
        <v>1.327</v>
      </c>
      <c r="T18" s="49">
        <v>1.1183000000000001</v>
      </c>
      <c r="U18" s="48">
        <v>146.09</v>
      </c>
      <c r="V18" s="41">
        <f t="shared" si="6"/>
        <v>1869.2539562923889</v>
      </c>
      <c r="W18" s="41">
        <f t="shared" si="7"/>
        <v>1870.761115297664</v>
      </c>
      <c r="X18" s="47">
        <f t="shared" si="5"/>
        <v>2218.0989001162479</v>
      </c>
      <c r="Y18" s="46">
        <v>1.3275999999999999</v>
      </c>
    </row>
    <row r="19" spans="2:25" x14ac:dyDescent="0.2">
      <c r="B19" s="45">
        <v>45793</v>
      </c>
      <c r="C19" s="44">
        <v>2473</v>
      </c>
      <c r="D19" s="43">
        <v>2473.5</v>
      </c>
      <c r="E19" s="42">
        <f t="shared" si="0"/>
        <v>2473.25</v>
      </c>
      <c r="F19" s="44">
        <v>2468.5</v>
      </c>
      <c r="G19" s="43">
        <v>2469</v>
      </c>
      <c r="H19" s="42">
        <f t="shared" si="1"/>
        <v>2468.75</v>
      </c>
      <c r="I19" s="44">
        <v>2528</v>
      </c>
      <c r="J19" s="43">
        <v>2533</v>
      </c>
      <c r="K19" s="42">
        <f t="shared" si="2"/>
        <v>2530.5</v>
      </c>
      <c r="L19" s="44">
        <v>2567</v>
      </c>
      <c r="M19" s="43">
        <v>2572</v>
      </c>
      <c r="N19" s="42">
        <f t="shared" si="3"/>
        <v>2569.5</v>
      </c>
      <c r="O19" s="44">
        <v>2598</v>
      </c>
      <c r="P19" s="43">
        <v>2603</v>
      </c>
      <c r="Q19" s="42">
        <f t="shared" si="4"/>
        <v>2600.5</v>
      </c>
      <c r="R19" s="50">
        <v>2473.5</v>
      </c>
      <c r="S19" s="49">
        <v>1.3283</v>
      </c>
      <c r="T19" s="49">
        <v>1.1194999999999999</v>
      </c>
      <c r="U19" s="48">
        <v>145.65</v>
      </c>
      <c r="V19" s="41">
        <f t="shared" si="6"/>
        <v>1862.1546337423774</v>
      </c>
      <c r="W19" s="41">
        <f t="shared" si="7"/>
        <v>1858.7668448392683</v>
      </c>
      <c r="X19" s="47">
        <f t="shared" si="5"/>
        <v>2209.4685127288972</v>
      </c>
      <c r="Y19" s="46">
        <v>1.3288</v>
      </c>
    </row>
    <row r="20" spans="2:25" x14ac:dyDescent="0.2">
      <c r="B20" s="45">
        <v>45796</v>
      </c>
      <c r="C20" s="44">
        <v>2450</v>
      </c>
      <c r="D20" s="43">
        <v>2450.5</v>
      </c>
      <c r="E20" s="42">
        <f t="shared" si="0"/>
        <v>2450.25</v>
      </c>
      <c r="F20" s="44">
        <v>2452</v>
      </c>
      <c r="G20" s="43">
        <v>2452.5</v>
      </c>
      <c r="H20" s="42">
        <f t="shared" si="1"/>
        <v>2452.25</v>
      </c>
      <c r="I20" s="44">
        <v>2513</v>
      </c>
      <c r="J20" s="43">
        <v>2518</v>
      </c>
      <c r="K20" s="42">
        <f t="shared" si="2"/>
        <v>2515.5</v>
      </c>
      <c r="L20" s="44">
        <v>2550</v>
      </c>
      <c r="M20" s="43">
        <v>2555</v>
      </c>
      <c r="N20" s="42">
        <f t="shared" si="3"/>
        <v>2552.5</v>
      </c>
      <c r="O20" s="44">
        <v>2575</v>
      </c>
      <c r="P20" s="43">
        <v>2580</v>
      </c>
      <c r="Q20" s="42">
        <f t="shared" si="4"/>
        <v>2577.5</v>
      </c>
      <c r="R20" s="50">
        <v>2450.5</v>
      </c>
      <c r="S20" s="49">
        <v>1.3382000000000001</v>
      </c>
      <c r="T20" s="49">
        <v>1.1273</v>
      </c>
      <c r="U20" s="48">
        <v>144.9</v>
      </c>
      <c r="V20" s="41">
        <f t="shared" si="6"/>
        <v>1831.1911522941264</v>
      </c>
      <c r="W20" s="41">
        <f t="shared" si="7"/>
        <v>1832.685697205201</v>
      </c>
      <c r="X20" s="47">
        <f t="shared" si="5"/>
        <v>2173.7780537567642</v>
      </c>
      <c r="Y20" s="46">
        <v>1.3388</v>
      </c>
    </row>
    <row r="21" spans="2:25" x14ac:dyDescent="0.2">
      <c r="B21" s="45">
        <v>45797</v>
      </c>
      <c r="C21" s="44">
        <v>2458</v>
      </c>
      <c r="D21" s="43">
        <v>2458.5</v>
      </c>
      <c r="E21" s="42">
        <f t="shared" si="0"/>
        <v>2458.25</v>
      </c>
      <c r="F21" s="44">
        <v>2459.5</v>
      </c>
      <c r="G21" s="43">
        <v>2460</v>
      </c>
      <c r="H21" s="42">
        <f t="shared" si="1"/>
        <v>2459.75</v>
      </c>
      <c r="I21" s="44">
        <v>2523</v>
      </c>
      <c r="J21" s="43">
        <v>2528</v>
      </c>
      <c r="K21" s="42">
        <f t="shared" si="2"/>
        <v>2525.5</v>
      </c>
      <c r="L21" s="44">
        <v>2565</v>
      </c>
      <c r="M21" s="43">
        <v>2570</v>
      </c>
      <c r="N21" s="42">
        <f t="shared" si="3"/>
        <v>2567.5</v>
      </c>
      <c r="O21" s="44">
        <v>2585</v>
      </c>
      <c r="P21" s="43">
        <v>2590</v>
      </c>
      <c r="Q21" s="42">
        <f t="shared" si="4"/>
        <v>2587.5</v>
      </c>
      <c r="R21" s="50">
        <v>2458.5</v>
      </c>
      <c r="S21" s="49">
        <v>1.3362000000000001</v>
      </c>
      <c r="T21" s="49">
        <v>1.1246</v>
      </c>
      <c r="U21" s="48">
        <v>144.6</v>
      </c>
      <c r="V21" s="41">
        <f t="shared" si="6"/>
        <v>1839.9191737763806</v>
      </c>
      <c r="W21" s="41">
        <f>G21/S21</f>
        <v>1841.0417602155364</v>
      </c>
      <c r="X21" s="47">
        <f t="shared" si="5"/>
        <v>2186.1106171083052</v>
      </c>
      <c r="Y21" s="46">
        <v>1.3368</v>
      </c>
    </row>
    <row r="22" spans="2:25" x14ac:dyDescent="0.2">
      <c r="B22" s="45">
        <v>45798</v>
      </c>
      <c r="C22" s="44">
        <v>2460</v>
      </c>
      <c r="D22" s="43">
        <v>2460.5</v>
      </c>
      <c r="E22" s="42">
        <f t="shared" si="0"/>
        <v>2460.25</v>
      </c>
      <c r="F22" s="44">
        <v>2468</v>
      </c>
      <c r="G22" s="43">
        <v>2469</v>
      </c>
      <c r="H22" s="42">
        <f t="shared" si="1"/>
        <v>2468.5</v>
      </c>
      <c r="I22" s="44">
        <v>2532</v>
      </c>
      <c r="J22" s="43">
        <v>2537</v>
      </c>
      <c r="K22" s="42">
        <f t="shared" si="2"/>
        <v>2534.5</v>
      </c>
      <c r="L22" s="44">
        <v>2573</v>
      </c>
      <c r="M22" s="43">
        <v>2578</v>
      </c>
      <c r="N22" s="42">
        <f t="shared" si="3"/>
        <v>2575.5</v>
      </c>
      <c r="O22" s="44">
        <v>2593</v>
      </c>
      <c r="P22" s="43">
        <v>2598</v>
      </c>
      <c r="Q22" s="42">
        <f t="shared" si="4"/>
        <v>2595.5</v>
      </c>
      <c r="R22" s="50">
        <v>2460.5</v>
      </c>
      <c r="S22" s="49">
        <v>1.3413999999999999</v>
      </c>
      <c r="T22" s="49">
        <v>1.1324000000000001</v>
      </c>
      <c r="U22" s="48">
        <v>143.75</v>
      </c>
      <c r="V22" s="41">
        <f t="shared" si="6"/>
        <v>1834.2776203966007</v>
      </c>
      <c r="W22" s="41">
        <f t="shared" si="7"/>
        <v>1840.614283584315</v>
      </c>
      <c r="X22" s="47">
        <f t="shared" si="5"/>
        <v>2172.8187919463085</v>
      </c>
      <c r="Y22" s="46">
        <v>1.3420000000000001</v>
      </c>
    </row>
    <row r="23" spans="2:25" x14ac:dyDescent="0.2">
      <c r="B23" s="45">
        <v>45799</v>
      </c>
      <c r="C23" s="44">
        <v>2445</v>
      </c>
      <c r="D23" s="43">
        <v>2445.5</v>
      </c>
      <c r="E23" s="42">
        <f t="shared" si="0"/>
        <v>2445.25</v>
      </c>
      <c r="F23" s="44">
        <v>2457</v>
      </c>
      <c r="G23" s="43">
        <v>2459</v>
      </c>
      <c r="H23" s="42">
        <f t="shared" si="1"/>
        <v>2458</v>
      </c>
      <c r="I23" s="44">
        <v>2518</v>
      </c>
      <c r="J23" s="43">
        <v>2523</v>
      </c>
      <c r="K23" s="42">
        <f t="shared" si="2"/>
        <v>2520.5</v>
      </c>
      <c r="L23" s="44">
        <v>2555</v>
      </c>
      <c r="M23" s="43">
        <v>2560</v>
      </c>
      <c r="N23" s="42">
        <f t="shared" si="3"/>
        <v>2557.5</v>
      </c>
      <c r="O23" s="44">
        <v>2568</v>
      </c>
      <c r="P23" s="43">
        <v>2573</v>
      </c>
      <c r="Q23" s="42">
        <f t="shared" si="4"/>
        <v>2570.5</v>
      </c>
      <c r="R23" s="50">
        <v>2445.5</v>
      </c>
      <c r="S23" s="49">
        <v>1.3420000000000001</v>
      </c>
      <c r="T23" s="49">
        <v>1.1309</v>
      </c>
      <c r="U23" s="48">
        <v>143.37</v>
      </c>
      <c r="V23" s="41">
        <f t="shared" si="6"/>
        <v>1822.2801788375557</v>
      </c>
      <c r="W23" s="41">
        <f t="shared" si="7"/>
        <v>1832.3397913561846</v>
      </c>
      <c r="X23" s="47">
        <f t="shared" si="5"/>
        <v>2162.4369970819703</v>
      </c>
      <c r="Y23" s="46">
        <v>1.3426</v>
      </c>
    </row>
    <row r="24" spans="2:25" x14ac:dyDescent="0.2">
      <c r="B24" s="45">
        <v>45800</v>
      </c>
      <c r="C24" s="44">
        <v>2435</v>
      </c>
      <c r="D24" s="43">
        <v>2437</v>
      </c>
      <c r="E24" s="42">
        <f t="shared" si="0"/>
        <v>2436</v>
      </c>
      <c r="F24" s="44">
        <v>2447</v>
      </c>
      <c r="G24" s="43">
        <v>2448</v>
      </c>
      <c r="H24" s="42">
        <f t="shared" si="1"/>
        <v>2447.5</v>
      </c>
      <c r="I24" s="44">
        <v>2508</v>
      </c>
      <c r="J24" s="43">
        <v>2513</v>
      </c>
      <c r="K24" s="42">
        <f t="shared" si="2"/>
        <v>2510.5</v>
      </c>
      <c r="L24" s="44">
        <v>2548</v>
      </c>
      <c r="M24" s="43">
        <v>2553</v>
      </c>
      <c r="N24" s="42">
        <f t="shared" si="3"/>
        <v>2550.5</v>
      </c>
      <c r="O24" s="44">
        <v>2575</v>
      </c>
      <c r="P24" s="43">
        <v>2580</v>
      </c>
      <c r="Q24" s="42">
        <f t="shared" si="4"/>
        <v>2577.5</v>
      </c>
      <c r="R24" s="50">
        <v>2437</v>
      </c>
      <c r="S24" s="49">
        <v>1.3489</v>
      </c>
      <c r="T24" s="49">
        <v>1.1322000000000001</v>
      </c>
      <c r="U24" s="48">
        <v>142.63</v>
      </c>
      <c r="V24" s="41">
        <f t="shared" si="6"/>
        <v>1806.6572762992068</v>
      </c>
      <c r="W24" s="41">
        <f t="shared" si="7"/>
        <v>1814.8120690933354</v>
      </c>
      <c r="X24" s="47">
        <f t="shared" si="5"/>
        <v>2152.44656421127</v>
      </c>
      <c r="Y24" s="46">
        <v>1.3494999999999999</v>
      </c>
    </row>
    <row r="25" spans="2:25" x14ac:dyDescent="0.2">
      <c r="B25" s="45">
        <v>45804</v>
      </c>
      <c r="C25" s="44">
        <v>2470</v>
      </c>
      <c r="D25" s="43">
        <v>2470.5</v>
      </c>
      <c r="E25" s="42">
        <f t="shared" si="0"/>
        <v>2470.25</v>
      </c>
      <c r="F25" s="44">
        <v>2471</v>
      </c>
      <c r="G25" s="43">
        <v>2472</v>
      </c>
      <c r="H25" s="42">
        <f t="shared" si="1"/>
        <v>2471.5</v>
      </c>
      <c r="I25" s="44">
        <v>2530</v>
      </c>
      <c r="J25" s="43">
        <v>2535</v>
      </c>
      <c r="K25" s="42">
        <f t="shared" si="2"/>
        <v>2532.5</v>
      </c>
      <c r="L25" s="44">
        <v>2573</v>
      </c>
      <c r="M25" s="43">
        <v>2578</v>
      </c>
      <c r="N25" s="42">
        <f t="shared" si="3"/>
        <v>2575.5</v>
      </c>
      <c r="O25" s="44">
        <v>2592</v>
      </c>
      <c r="P25" s="43">
        <v>2597</v>
      </c>
      <c r="Q25" s="42">
        <f t="shared" si="4"/>
        <v>2594.5</v>
      </c>
      <c r="R25" s="50">
        <v>2470.5</v>
      </c>
      <c r="S25" s="49">
        <v>1.3548</v>
      </c>
      <c r="T25" s="49">
        <v>1.1352</v>
      </c>
      <c r="U25" s="48">
        <v>144.1</v>
      </c>
      <c r="V25" s="41">
        <f t="shared" si="6"/>
        <v>1823.5163861824624</v>
      </c>
      <c r="W25" s="41">
        <f t="shared" si="7"/>
        <v>1824.623560673162</v>
      </c>
      <c r="X25" s="47">
        <f t="shared" si="5"/>
        <v>2176.2684989429176</v>
      </c>
      <c r="Y25" s="46">
        <v>1.3553999999999999</v>
      </c>
    </row>
    <row r="26" spans="2:25" x14ac:dyDescent="0.2">
      <c r="B26" s="45">
        <v>45805</v>
      </c>
      <c r="C26" s="44">
        <v>2478</v>
      </c>
      <c r="D26" s="43">
        <v>2479</v>
      </c>
      <c r="E26" s="42">
        <f t="shared" si="0"/>
        <v>2478.5</v>
      </c>
      <c r="F26" s="44">
        <v>2478</v>
      </c>
      <c r="G26" s="43">
        <v>2480</v>
      </c>
      <c r="H26" s="42">
        <f t="shared" si="1"/>
        <v>2479</v>
      </c>
      <c r="I26" s="44">
        <v>2535</v>
      </c>
      <c r="J26" s="43">
        <v>2540</v>
      </c>
      <c r="K26" s="42">
        <f t="shared" si="2"/>
        <v>2537.5</v>
      </c>
      <c r="L26" s="44">
        <v>2572</v>
      </c>
      <c r="M26" s="43">
        <v>2577</v>
      </c>
      <c r="N26" s="42">
        <f t="shared" si="3"/>
        <v>2574.5</v>
      </c>
      <c r="O26" s="44">
        <v>2590</v>
      </c>
      <c r="P26" s="43">
        <v>2595</v>
      </c>
      <c r="Q26" s="42">
        <f t="shared" si="4"/>
        <v>2592.5</v>
      </c>
      <c r="R26" s="50">
        <v>2479</v>
      </c>
      <c r="S26" s="49">
        <v>1.3479000000000001</v>
      </c>
      <c r="T26" s="49">
        <v>1.1317999999999999</v>
      </c>
      <c r="U26" s="48">
        <v>144.41999999999999</v>
      </c>
      <c r="V26" s="41">
        <f t="shared" si="6"/>
        <v>1839.1572075079753</v>
      </c>
      <c r="W26" s="41">
        <f t="shared" si="7"/>
        <v>1839.8991023072927</v>
      </c>
      <c r="X26" s="47">
        <f t="shared" si="5"/>
        <v>2190.3163103021739</v>
      </c>
      <c r="Y26" s="46">
        <v>1.3485</v>
      </c>
    </row>
    <row r="27" spans="2:25" x14ac:dyDescent="0.2">
      <c r="B27" s="45">
        <v>45806</v>
      </c>
      <c r="C27" s="44">
        <v>2467</v>
      </c>
      <c r="D27" s="43">
        <v>2468</v>
      </c>
      <c r="E27" s="42">
        <f t="shared" si="0"/>
        <v>2467.5</v>
      </c>
      <c r="F27" s="44">
        <v>2467</v>
      </c>
      <c r="G27" s="43">
        <v>2468</v>
      </c>
      <c r="H27" s="42">
        <f t="shared" si="1"/>
        <v>2467.5</v>
      </c>
      <c r="I27" s="44">
        <v>2530</v>
      </c>
      <c r="J27" s="43">
        <v>2535</v>
      </c>
      <c r="K27" s="42">
        <f t="shared" si="2"/>
        <v>2532.5</v>
      </c>
      <c r="L27" s="44">
        <v>2568</v>
      </c>
      <c r="M27" s="43">
        <v>2573</v>
      </c>
      <c r="N27" s="42">
        <f t="shared" si="3"/>
        <v>2570.5</v>
      </c>
      <c r="O27" s="44">
        <v>2595</v>
      </c>
      <c r="P27" s="43">
        <v>2600</v>
      </c>
      <c r="Q27" s="42">
        <f t="shared" si="4"/>
        <v>2597.5</v>
      </c>
      <c r="R27" s="50">
        <v>2468</v>
      </c>
      <c r="S27" s="49">
        <v>1.3461000000000001</v>
      </c>
      <c r="T27" s="49">
        <v>1.1271</v>
      </c>
      <c r="U27" s="48">
        <v>145.09</v>
      </c>
      <c r="V27" s="41">
        <f t="shared" si="6"/>
        <v>1833.4447663620829</v>
      </c>
      <c r="W27" s="41">
        <f t="shared" si="7"/>
        <v>1833.4447663620829</v>
      </c>
      <c r="X27" s="47">
        <f t="shared" si="5"/>
        <v>2189.6903557803212</v>
      </c>
      <c r="Y27" s="46">
        <v>1.3467</v>
      </c>
    </row>
    <row r="28" spans="2:25" x14ac:dyDescent="0.2">
      <c r="B28" s="45">
        <v>45807</v>
      </c>
      <c r="C28" s="44">
        <v>2443</v>
      </c>
      <c r="D28" s="43">
        <v>2445</v>
      </c>
      <c r="E28" s="42">
        <f t="shared" si="0"/>
        <v>2444</v>
      </c>
      <c r="F28" s="44">
        <v>2447.5</v>
      </c>
      <c r="G28" s="43">
        <v>2448</v>
      </c>
      <c r="H28" s="42">
        <f t="shared" si="1"/>
        <v>2447.75</v>
      </c>
      <c r="I28" s="44">
        <v>2510</v>
      </c>
      <c r="J28" s="43">
        <v>2515</v>
      </c>
      <c r="K28" s="42">
        <f t="shared" si="2"/>
        <v>2512.5</v>
      </c>
      <c r="L28" s="44">
        <v>2550</v>
      </c>
      <c r="M28" s="43">
        <v>2555</v>
      </c>
      <c r="N28" s="42">
        <f t="shared" si="3"/>
        <v>2552.5</v>
      </c>
      <c r="O28" s="44">
        <v>2578</v>
      </c>
      <c r="P28" s="43">
        <v>2583</v>
      </c>
      <c r="Q28" s="42">
        <f t="shared" si="4"/>
        <v>2580.5</v>
      </c>
      <c r="R28" s="50">
        <v>2445</v>
      </c>
      <c r="S28" s="49">
        <v>1.3475999999999999</v>
      </c>
      <c r="T28" s="49">
        <v>1.1338999999999999</v>
      </c>
      <c r="U28" s="48">
        <v>143.85</v>
      </c>
      <c r="V28" s="41">
        <f t="shared" si="6"/>
        <v>1814.3365983971505</v>
      </c>
      <c r="W28" s="41">
        <f t="shared" si="7"/>
        <v>1816.5627782724846</v>
      </c>
      <c r="X28" s="47">
        <f t="shared" si="5"/>
        <v>2156.2748037745837</v>
      </c>
      <c r="Y28" s="46">
        <v>1.3482000000000001</v>
      </c>
    </row>
    <row r="29" spans="2:25" x14ac:dyDescent="0.2">
      <c r="B29" s="40" t="s">
        <v>11</v>
      </c>
      <c r="C29" s="39">
        <f>ROUND(AVERAGE(C9:C28),2)</f>
        <v>2441.5500000000002</v>
      </c>
      <c r="D29" s="38">
        <f>ROUND(AVERAGE(D9:D28),2)</f>
        <v>2442.4</v>
      </c>
      <c r="E29" s="37">
        <f>ROUND(AVERAGE(C29:D29),2)</f>
        <v>2441.98</v>
      </c>
      <c r="F29" s="39">
        <f>ROUND(AVERAGE(F9:F28),2)</f>
        <v>2450.58</v>
      </c>
      <c r="G29" s="38">
        <f>ROUND(AVERAGE(G9:G28),2)</f>
        <v>2451.6</v>
      </c>
      <c r="H29" s="37">
        <f>ROUND(AVERAGE(F29:G29),2)</f>
        <v>2451.09</v>
      </c>
      <c r="I29" s="39">
        <f>ROUND(AVERAGE(I9:I28),2)</f>
        <v>2518</v>
      </c>
      <c r="J29" s="38">
        <f>ROUND(AVERAGE(J9:J28),2)</f>
        <v>2523</v>
      </c>
      <c r="K29" s="37">
        <f>ROUND(AVERAGE(I29:J29),2)</f>
        <v>2520.5</v>
      </c>
      <c r="L29" s="39">
        <f>ROUND(AVERAGE(L9:L28),2)</f>
        <v>2560.5500000000002</v>
      </c>
      <c r="M29" s="38">
        <f>ROUND(AVERAGE(M9:M28),2)</f>
        <v>2565.5500000000002</v>
      </c>
      <c r="N29" s="37">
        <f>ROUND(AVERAGE(L29:M29),2)</f>
        <v>2563.0500000000002</v>
      </c>
      <c r="O29" s="39">
        <f>ROUND(AVERAGE(O9:O28),2)</f>
        <v>2587.1999999999998</v>
      </c>
      <c r="P29" s="38">
        <f>ROUND(AVERAGE(P9:P28),2)</f>
        <v>2592.1999999999998</v>
      </c>
      <c r="Q29" s="37">
        <f>ROUND(AVERAGE(O29:P29),2)</f>
        <v>2589.6999999999998</v>
      </c>
      <c r="R29" s="36">
        <f>ROUND(AVERAGE(R9:R28),2)</f>
        <v>2442.4</v>
      </c>
      <c r="S29" s="35">
        <f>ROUND(AVERAGE(S9:S28),4)</f>
        <v>1.3363</v>
      </c>
      <c r="T29" s="34">
        <f>ROUND(AVERAGE(T9:T28),4)</f>
        <v>1.1274</v>
      </c>
      <c r="U29" s="167">
        <f>ROUND(AVERAGE(U9:U28),2)</f>
        <v>144.78</v>
      </c>
      <c r="V29" s="33">
        <f>AVERAGE(V9:V28)</f>
        <v>1827.8585801676793</v>
      </c>
      <c r="W29" s="33">
        <f>AVERAGE(W9:W28)</f>
        <v>1834.7534984207136</v>
      </c>
      <c r="X29" s="33">
        <f>AVERAGE(X9:X28)</f>
        <v>2166.6656517062506</v>
      </c>
      <c r="Y29" s="32">
        <f>AVERAGE(Y9:Y28)</f>
        <v>1.3368349999999998</v>
      </c>
    </row>
    <row r="30" spans="2:25" x14ac:dyDescent="0.2">
      <c r="B30" s="31" t="s">
        <v>12</v>
      </c>
      <c r="C30" s="30">
        <f t="shared" ref="C30:Y30" si="8">MAX(C9:C28)</f>
        <v>2529.5</v>
      </c>
      <c r="D30" s="29">
        <f t="shared" si="8"/>
        <v>2530</v>
      </c>
      <c r="E30" s="28">
        <f t="shared" si="8"/>
        <v>2529.75</v>
      </c>
      <c r="F30" s="30">
        <f t="shared" si="8"/>
        <v>2525</v>
      </c>
      <c r="G30" s="29">
        <f t="shared" si="8"/>
        <v>2526</v>
      </c>
      <c r="H30" s="28">
        <f t="shared" si="8"/>
        <v>2525.5</v>
      </c>
      <c r="I30" s="30">
        <f t="shared" si="8"/>
        <v>2582</v>
      </c>
      <c r="J30" s="29">
        <f t="shared" si="8"/>
        <v>2587</v>
      </c>
      <c r="K30" s="28">
        <f t="shared" si="8"/>
        <v>2584.5</v>
      </c>
      <c r="L30" s="30">
        <f t="shared" si="8"/>
        <v>2617</v>
      </c>
      <c r="M30" s="29">
        <f t="shared" si="8"/>
        <v>2622</v>
      </c>
      <c r="N30" s="28">
        <f t="shared" si="8"/>
        <v>2619.5</v>
      </c>
      <c r="O30" s="30">
        <f t="shared" si="8"/>
        <v>2650</v>
      </c>
      <c r="P30" s="29">
        <f t="shared" si="8"/>
        <v>2655</v>
      </c>
      <c r="Q30" s="28">
        <f t="shared" si="8"/>
        <v>2652.5</v>
      </c>
      <c r="R30" s="27">
        <f t="shared" si="8"/>
        <v>2530</v>
      </c>
      <c r="S30" s="26">
        <f t="shared" si="8"/>
        <v>1.3548</v>
      </c>
      <c r="T30" s="25">
        <f t="shared" si="8"/>
        <v>1.1357999999999999</v>
      </c>
      <c r="U30" s="24">
        <f t="shared" si="8"/>
        <v>148.12</v>
      </c>
      <c r="V30" s="23">
        <f t="shared" si="8"/>
        <v>1897.405129743513</v>
      </c>
      <c r="W30" s="23">
        <f t="shared" si="8"/>
        <v>1894.4052797360134</v>
      </c>
      <c r="X30" s="23">
        <f t="shared" si="8"/>
        <v>2255.3039757532538</v>
      </c>
      <c r="Y30" s="22">
        <f t="shared" si="8"/>
        <v>1.3553999999999999</v>
      </c>
    </row>
    <row r="31" spans="2:25" ht="13.5" thickBot="1" x14ac:dyDescent="0.25">
      <c r="B31" s="21" t="s">
        <v>13</v>
      </c>
      <c r="C31" s="20">
        <f t="shared" ref="C31:Y31" si="9">MIN(C9:C28)</f>
        <v>2363</v>
      </c>
      <c r="D31" s="19">
        <f t="shared" si="9"/>
        <v>2363.5</v>
      </c>
      <c r="E31" s="18">
        <f t="shared" si="9"/>
        <v>2363.25</v>
      </c>
      <c r="F31" s="20">
        <f t="shared" si="9"/>
        <v>2388</v>
      </c>
      <c r="G31" s="19">
        <f t="shared" si="9"/>
        <v>2389</v>
      </c>
      <c r="H31" s="18">
        <f t="shared" si="9"/>
        <v>2388.5</v>
      </c>
      <c r="I31" s="20">
        <f t="shared" si="9"/>
        <v>2473</v>
      </c>
      <c r="J31" s="19">
        <f t="shared" si="9"/>
        <v>2478</v>
      </c>
      <c r="K31" s="18">
        <f t="shared" si="9"/>
        <v>2475.5</v>
      </c>
      <c r="L31" s="20">
        <f t="shared" si="9"/>
        <v>2518</v>
      </c>
      <c r="M31" s="19">
        <f t="shared" si="9"/>
        <v>2523</v>
      </c>
      <c r="N31" s="18">
        <f t="shared" si="9"/>
        <v>2520.5</v>
      </c>
      <c r="O31" s="20">
        <f t="shared" si="9"/>
        <v>2543</v>
      </c>
      <c r="P31" s="19">
        <f t="shared" si="9"/>
        <v>2548</v>
      </c>
      <c r="Q31" s="18">
        <f t="shared" si="9"/>
        <v>2545.5</v>
      </c>
      <c r="R31" s="17">
        <f t="shared" si="9"/>
        <v>2363.5</v>
      </c>
      <c r="S31" s="16">
        <f t="shared" si="9"/>
        <v>1.3178000000000001</v>
      </c>
      <c r="T31" s="15">
        <f t="shared" si="9"/>
        <v>1.1107</v>
      </c>
      <c r="U31" s="14">
        <f t="shared" si="9"/>
        <v>142.63</v>
      </c>
      <c r="V31" s="13">
        <f t="shared" si="9"/>
        <v>1770.6772550194785</v>
      </c>
      <c r="W31" s="13">
        <f t="shared" si="9"/>
        <v>1791.2795924483069</v>
      </c>
      <c r="X31" s="13">
        <f t="shared" si="9"/>
        <v>2080.9121324176795</v>
      </c>
      <c r="Y31" s="12">
        <f t="shared" si="9"/>
        <v>1.3183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W26" sqref="W26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27</v>
      </c>
    </row>
    <row r="6" spans="1:25" ht="13.5" thickBot="1" x14ac:dyDescent="0.25">
      <c r="B6" s="1">
        <v>45778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45778</v>
      </c>
      <c r="C9" s="44">
        <v>2567</v>
      </c>
      <c r="D9" s="43">
        <v>2567.5</v>
      </c>
      <c r="E9" s="42">
        <f t="shared" ref="E9:E28" si="0">AVERAGE(C9:D9)</f>
        <v>2567.25</v>
      </c>
      <c r="F9" s="44">
        <v>2599</v>
      </c>
      <c r="G9" s="43">
        <v>2600</v>
      </c>
      <c r="H9" s="42">
        <f t="shared" ref="H9:H28" si="1">AVERAGE(F9:G9)</f>
        <v>2599.5</v>
      </c>
      <c r="I9" s="44">
        <v>2622</v>
      </c>
      <c r="J9" s="43">
        <v>2627</v>
      </c>
      <c r="K9" s="42">
        <f t="shared" ref="K9:K28" si="2">AVERAGE(I9:J9)</f>
        <v>2624.5</v>
      </c>
      <c r="L9" s="44">
        <v>2557</v>
      </c>
      <c r="M9" s="43">
        <v>2562</v>
      </c>
      <c r="N9" s="42">
        <f t="shared" ref="N9:N28" si="3">AVERAGE(L9:M9)</f>
        <v>2559.5</v>
      </c>
      <c r="O9" s="44">
        <v>2557</v>
      </c>
      <c r="P9" s="43">
        <v>2562</v>
      </c>
      <c r="Q9" s="42">
        <f t="shared" ref="Q9:Q28" si="4">AVERAGE(O9:P9)</f>
        <v>2559.5</v>
      </c>
      <c r="R9" s="50">
        <v>2567.5</v>
      </c>
      <c r="S9" s="49">
        <v>1.3325</v>
      </c>
      <c r="T9" s="51">
        <v>1.1321000000000001</v>
      </c>
      <c r="U9" s="48">
        <v>144.49</v>
      </c>
      <c r="V9" s="41">
        <f>R9/S9</f>
        <v>1926.8292682926829</v>
      </c>
      <c r="W9" s="41">
        <f>G9/S9</f>
        <v>1951.219512195122</v>
      </c>
      <c r="X9" s="47">
        <f t="shared" ref="X9:X28" si="5">R9/T9</f>
        <v>2267.9091953007683</v>
      </c>
      <c r="Y9" s="46">
        <v>1.333</v>
      </c>
    </row>
    <row r="10" spans="1:25" x14ac:dyDescent="0.2">
      <c r="B10" s="45">
        <v>45779</v>
      </c>
      <c r="C10" s="44">
        <v>2581</v>
      </c>
      <c r="D10" s="43">
        <v>2581.5</v>
      </c>
      <c r="E10" s="42">
        <f t="shared" si="0"/>
        <v>2581.25</v>
      </c>
      <c r="F10" s="44">
        <v>2614</v>
      </c>
      <c r="G10" s="43">
        <v>2615</v>
      </c>
      <c r="H10" s="42">
        <f t="shared" si="1"/>
        <v>2614.5</v>
      </c>
      <c r="I10" s="44">
        <v>2640</v>
      </c>
      <c r="J10" s="43">
        <v>2645</v>
      </c>
      <c r="K10" s="42">
        <f t="shared" si="2"/>
        <v>2642.5</v>
      </c>
      <c r="L10" s="44">
        <v>2575</v>
      </c>
      <c r="M10" s="43">
        <v>2580</v>
      </c>
      <c r="N10" s="42">
        <f t="shared" si="3"/>
        <v>2577.5</v>
      </c>
      <c r="O10" s="44">
        <v>2575</v>
      </c>
      <c r="P10" s="43">
        <v>2580</v>
      </c>
      <c r="Q10" s="42">
        <f t="shared" si="4"/>
        <v>2577.5</v>
      </c>
      <c r="R10" s="50">
        <v>2581.5</v>
      </c>
      <c r="S10" s="49">
        <v>1.3293999999999999</v>
      </c>
      <c r="T10" s="49">
        <v>1.1347</v>
      </c>
      <c r="U10" s="48">
        <v>144.56</v>
      </c>
      <c r="V10" s="41">
        <f t="shared" ref="V10:V28" si="6">R10/S10</f>
        <v>1941.853467729803</v>
      </c>
      <c r="W10" s="41">
        <f t="shared" ref="W10:W28" si="7">G10/S10</f>
        <v>1967.0528057770423</v>
      </c>
      <c r="X10" s="47">
        <f t="shared" si="5"/>
        <v>2275.0506741870099</v>
      </c>
      <c r="Y10" s="46">
        <v>1.3299000000000001</v>
      </c>
    </row>
    <row r="11" spans="1:25" x14ac:dyDescent="0.2">
      <c r="B11" s="45">
        <v>45783</v>
      </c>
      <c r="C11" s="44">
        <v>2583</v>
      </c>
      <c r="D11" s="43">
        <v>2584</v>
      </c>
      <c r="E11" s="42">
        <f t="shared" si="0"/>
        <v>2583.5</v>
      </c>
      <c r="F11" s="44">
        <v>2621</v>
      </c>
      <c r="G11" s="43">
        <v>2622</v>
      </c>
      <c r="H11" s="42">
        <f t="shared" si="1"/>
        <v>2621.5</v>
      </c>
      <c r="I11" s="44">
        <v>2653</v>
      </c>
      <c r="J11" s="43">
        <v>2658</v>
      </c>
      <c r="K11" s="42">
        <f t="shared" si="2"/>
        <v>2655.5</v>
      </c>
      <c r="L11" s="44">
        <v>2588</v>
      </c>
      <c r="M11" s="43">
        <v>2593</v>
      </c>
      <c r="N11" s="42">
        <f t="shared" si="3"/>
        <v>2590.5</v>
      </c>
      <c r="O11" s="44">
        <v>2588</v>
      </c>
      <c r="P11" s="43">
        <v>2593</v>
      </c>
      <c r="Q11" s="42">
        <f t="shared" si="4"/>
        <v>2590.5</v>
      </c>
      <c r="R11" s="50">
        <v>2584</v>
      </c>
      <c r="S11" s="49">
        <v>1.3371</v>
      </c>
      <c r="T11" s="49">
        <v>1.1329</v>
      </c>
      <c r="U11" s="48">
        <v>142.78</v>
      </c>
      <c r="V11" s="41">
        <f t="shared" si="6"/>
        <v>1932.5405728816095</v>
      </c>
      <c r="W11" s="41">
        <f t="shared" si="7"/>
        <v>1960.9602871886921</v>
      </c>
      <c r="X11" s="47">
        <f t="shared" si="5"/>
        <v>2280.8720981551769</v>
      </c>
      <c r="Y11" s="46">
        <v>1.3378000000000001</v>
      </c>
    </row>
    <row r="12" spans="1:25" x14ac:dyDescent="0.2">
      <c r="B12" s="45">
        <v>45784</v>
      </c>
      <c r="C12" s="44">
        <v>2583</v>
      </c>
      <c r="D12" s="43">
        <v>2583.5</v>
      </c>
      <c r="E12" s="42">
        <f t="shared" si="0"/>
        <v>2583.25</v>
      </c>
      <c r="F12" s="44">
        <v>2625</v>
      </c>
      <c r="G12" s="43">
        <v>2626</v>
      </c>
      <c r="H12" s="42">
        <f t="shared" si="1"/>
        <v>2625.5</v>
      </c>
      <c r="I12" s="44">
        <v>2658</v>
      </c>
      <c r="J12" s="43">
        <v>2663</v>
      </c>
      <c r="K12" s="42">
        <f t="shared" si="2"/>
        <v>2660.5</v>
      </c>
      <c r="L12" s="44">
        <v>2593</v>
      </c>
      <c r="M12" s="43">
        <v>2598</v>
      </c>
      <c r="N12" s="42">
        <f t="shared" si="3"/>
        <v>2595.5</v>
      </c>
      <c r="O12" s="44">
        <v>2593</v>
      </c>
      <c r="P12" s="43">
        <v>2598</v>
      </c>
      <c r="Q12" s="42">
        <f t="shared" si="4"/>
        <v>2595.5</v>
      </c>
      <c r="R12" s="50">
        <v>2583.5</v>
      </c>
      <c r="S12" s="49">
        <v>1.3348</v>
      </c>
      <c r="T12" s="49">
        <v>1.1357999999999999</v>
      </c>
      <c r="U12" s="48">
        <v>143.4</v>
      </c>
      <c r="V12" s="41">
        <f t="shared" si="6"/>
        <v>1935.4959544501048</v>
      </c>
      <c r="W12" s="41">
        <f t="shared" si="7"/>
        <v>1967.3359304764758</v>
      </c>
      <c r="X12" s="47">
        <f t="shared" si="5"/>
        <v>2274.6082056700125</v>
      </c>
      <c r="Y12" s="46">
        <v>1.3354999999999999</v>
      </c>
    </row>
    <row r="13" spans="1:25" x14ac:dyDescent="0.2">
      <c r="B13" s="45">
        <v>45785</v>
      </c>
      <c r="C13" s="44">
        <v>2561.5</v>
      </c>
      <c r="D13" s="43">
        <v>2562</v>
      </c>
      <c r="E13" s="42">
        <f t="shared" si="0"/>
        <v>2561.75</v>
      </c>
      <c r="F13" s="44">
        <v>2596</v>
      </c>
      <c r="G13" s="43">
        <v>2597</v>
      </c>
      <c r="H13" s="42">
        <f t="shared" si="1"/>
        <v>2596.5</v>
      </c>
      <c r="I13" s="44">
        <v>2630</v>
      </c>
      <c r="J13" s="43">
        <v>2635</v>
      </c>
      <c r="K13" s="42">
        <f t="shared" si="2"/>
        <v>2632.5</v>
      </c>
      <c r="L13" s="44">
        <v>2565</v>
      </c>
      <c r="M13" s="43">
        <v>2570</v>
      </c>
      <c r="N13" s="42">
        <f t="shared" si="3"/>
        <v>2567.5</v>
      </c>
      <c r="O13" s="44">
        <v>2565</v>
      </c>
      <c r="P13" s="43">
        <v>2570</v>
      </c>
      <c r="Q13" s="42">
        <f t="shared" si="4"/>
        <v>2567.5</v>
      </c>
      <c r="R13" s="50">
        <v>2562</v>
      </c>
      <c r="S13" s="49">
        <v>1.3327</v>
      </c>
      <c r="T13" s="49">
        <v>1.1295999999999999</v>
      </c>
      <c r="U13" s="48">
        <v>144.65</v>
      </c>
      <c r="V13" s="41">
        <f t="shared" si="6"/>
        <v>1922.4131462444661</v>
      </c>
      <c r="W13" s="41">
        <f t="shared" si="7"/>
        <v>1948.675620919937</v>
      </c>
      <c r="X13" s="47">
        <f t="shared" si="5"/>
        <v>2268.059490084986</v>
      </c>
      <c r="Y13" s="46">
        <v>1.3331999999999999</v>
      </c>
    </row>
    <row r="14" spans="1:25" x14ac:dyDescent="0.2">
      <c r="B14" s="45">
        <v>45786</v>
      </c>
      <c r="C14" s="44">
        <v>2620</v>
      </c>
      <c r="D14" s="43">
        <v>2622</v>
      </c>
      <c r="E14" s="42">
        <f t="shared" si="0"/>
        <v>2621</v>
      </c>
      <c r="F14" s="44">
        <v>2645</v>
      </c>
      <c r="G14" s="43">
        <v>2647</v>
      </c>
      <c r="H14" s="42">
        <f t="shared" si="1"/>
        <v>2646</v>
      </c>
      <c r="I14" s="44">
        <v>2678</v>
      </c>
      <c r="J14" s="43">
        <v>2683</v>
      </c>
      <c r="K14" s="42">
        <f t="shared" si="2"/>
        <v>2680.5</v>
      </c>
      <c r="L14" s="44">
        <v>2612</v>
      </c>
      <c r="M14" s="43">
        <v>2617</v>
      </c>
      <c r="N14" s="42">
        <f t="shared" si="3"/>
        <v>2614.5</v>
      </c>
      <c r="O14" s="44">
        <v>2612</v>
      </c>
      <c r="P14" s="43">
        <v>2617</v>
      </c>
      <c r="Q14" s="42">
        <f t="shared" si="4"/>
        <v>2614.5</v>
      </c>
      <c r="R14" s="50">
        <v>2622</v>
      </c>
      <c r="S14" s="49">
        <v>1.3277000000000001</v>
      </c>
      <c r="T14" s="49">
        <v>1.1254999999999999</v>
      </c>
      <c r="U14" s="48">
        <v>145.13</v>
      </c>
      <c r="V14" s="41">
        <f t="shared" si="6"/>
        <v>1974.8437146945844</v>
      </c>
      <c r="W14" s="41">
        <f t="shared" si="7"/>
        <v>1993.6732695639073</v>
      </c>
      <c r="X14" s="47">
        <f t="shared" si="5"/>
        <v>2329.6312749888939</v>
      </c>
      <c r="Y14" s="46">
        <v>1.3282</v>
      </c>
    </row>
    <row r="15" spans="1:25" x14ac:dyDescent="0.2">
      <c r="B15" s="45">
        <v>45789</v>
      </c>
      <c r="C15" s="44">
        <v>2685</v>
      </c>
      <c r="D15" s="43">
        <v>2686</v>
      </c>
      <c r="E15" s="42">
        <f t="shared" si="0"/>
        <v>2685.5</v>
      </c>
      <c r="F15" s="44">
        <v>2718.5</v>
      </c>
      <c r="G15" s="43">
        <v>2719</v>
      </c>
      <c r="H15" s="42">
        <f t="shared" si="1"/>
        <v>2718.75</v>
      </c>
      <c r="I15" s="44">
        <v>2750</v>
      </c>
      <c r="J15" s="43">
        <v>2755</v>
      </c>
      <c r="K15" s="42">
        <f t="shared" si="2"/>
        <v>2752.5</v>
      </c>
      <c r="L15" s="44">
        <v>2685</v>
      </c>
      <c r="M15" s="43">
        <v>2690</v>
      </c>
      <c r="N15" s="42">
        <f t="shared" si="3"/>
        <v>2687.5</v>
      </c>
      <c r="O15" s="44">
        <v>2685</v>
      </c>
      <c r="P15" s="43">
        <v>2690</v>
      </c>
      <c r="Q15" s="42">
        <f t="shared" si="4"/>
        <v>2687.5</v>
      </c>
      <c r="R15" s="50">
        <v>2686</v>
      </c>
      <c r="S15" s="49">
        <v>1.3178000000000001</v>
      </c>
      <c r="T15" s="49">
        <v>1.1112</v>
      </c>
      <c r="U15" s="48">
        <v>147.87</v>
      </c>
      <c r="V15" s="41">
        <f t="shared" si="6"/>
        <v>2038.2455607831232</v>
      </c>
      <c r="W15" s="41">
        <f t="shared" si="7"/>
        <v>2063.2872970101685</v>
      </c>
      <c r="X15" s="47">
        <f t="shared" si="5"/>
        <v>2417.2066234701224</v>
      </c>
      <c r="Y15" s="46">
        <v>1.3183</v>
      </c>
    </row>
    <row r="16" spans="1:25" x14ac:dyDescent="0.2">
      <c r="B16" s="45">
        <v>45790</v>
      </c>
      <c r="C16" s="44">
        <v>2638</v>
      </c>
      <c r="D16" s="43">
        <v>2638.5</v>
      </c>
      <c r="E16" s="42">
        <f t="shared" si="0"/>
        <v>2638.25</v>
      </c>
      <c r="F16" s="44">
        <v>2670</v>
      </c>
      <c r="G16" s="43">
        <v>2670.5</v>
      </c>
      <c r="H16" s="42">
        <f t="shared" si="1"/>
        <v>2670.25</v>
      </c>
      <c r="I16" s="44">
        <v>2698</v>
      </c>
      <c r="J16" s="43">
        <v>2703</v>
      </c>
      <c r="K16" s="42">
        <f t="shared" si="2"/>
        <v>2700.5</v>
      </c>
      <c r="L16" s="44">
        <v>2633</v>
      </c>
      <c r="M16" s="43">
        <v>2638</v>
      </c>
      <c r="N16" s="42">
        <f t="shared" si="3"/>
        <v>2635.5</v>
      </c>
      <c r="O16" s="44">
        <v>2633</v>
      </c>
      <c r="P16" s="43">
        <v>2638</v>
      </c>
      <c r="Q16" s="42">
        <f t="shared" si="4"/>
        <v>2635.5</v>
      </c>
      <c r="R16" s="50">
        <v>2638.5</v>
      </c>
      <c r="S16" s="49">
        <v>1.3213999999999999</v>
      </c>
      <c r="T16" s="49">
        <v>1.1107</v>
      </c>
      <c r="U16" s="48">
        <v>148.12</v>
      </c>
      <c r="V16" s="41">
        <f t="shared" si="6"/>
        <v>1996.7458755864993</v>
      </c>
      <c r="W16" s="41">
        <f t="shared" si="7"/>
        <v>2020.9626154079008</v>
      </c>
      <c r="X16" s="47">
        <f t="shared" si="5"/>
        <v>2375.5289457099125</v>
      </c>
      <c r="Y16" s="46">
        <v>1.3219000000000001</v>
      </c>
    </row>
    <row r="17" spans="2:25" x14ac:dyDescent="0.2">
      <c r="B17" s="45">
        <v>45791</v>
      </c>
      <c r="C17" s="44">
        <v>2737</v>
      </c>
      <c r="D17" s="43">
        <v>2738</v>
      </c>
      <c r="E17" s="42">
        <f t="shared" si="0"/>
        <v>2737.5</v>
      </c>
      <c r="F17" s="44">
        <v>2765</v>
      </c>
      <c r="G17" s="43">
        <v>2766</v>
      </c>
      <c r="H17" s="42">
        <f t="shared" si="1"/>
        <v>2765.5</v>
      </c>
      <c r="I17" s="44">
        <v>2795</v>
      </c>
      <c r="J17" s="43">
        <v>2800</v>
      </c>
      <c r="K17" s="42">
        <f t="shared" si="2"/>
        <v>2797.5</v>
      </c>
      <c r="L17" s="44">
        <v>2730</v>
      </c>
      <c r="M17" s="43">
        <v>2735</v>
      </c>
      <c r="N17" s="42">
        <f t="shared" si="3"/>
        <v>2732.5</v>
      </c>
      <c r="O17" s="44">
        <v>2730</v>
      </c>
      <c r="P17" s="43">
        <v>2735</v>
      </c>
      <c r="Q17" s="42">
        <f t="shared" si="4"/>
        <v>2732.5</v>
      </c>
      <c r="R17" s="50">
        <v>2738</v>
      </c>
      <c r="S17" s="49">
        <v>1.3333999999999999</v>
      </c>
      <c r="T17" s="49">
        <v>1.1217999999999999</v>
      </c>
      <c r="U17" s="48">
        <v>146.18</v>
      </c>
      <c r="V17" s="41">
        <f t="shared" si="6"/>
        <v>2053.3973301334936</v>
      </c>
      <c r="W17" s="41">
        <f t="shared" si="7"/>
        <v>2074.3962801859907</v>
      </c>
      <c r="X17" s="47">
        <f t="shared" si="5"/>
        <v>2440.7202709930471</v>
      </c>
      <c r="Y17" s="46">
        <v>1.3340000000000001</v>
      </c>
    </row>
    <row r="18" spans="2:25" x14ac:dyDescent="0.2">
      <c r="B18" s="45">
        <v>45792</v>
      </c>
      <c r="C18" s="44">
        <v>2690</v>
      </c>
      <c r="D18" s="43">
        <v>2691</v>
      </c>
      <c r="E18" s="42">
        <f t="shared" si="0"/>
        <v>2690.5</v>
      </c>
      <c r="F18" s="44">
        <v>2716</v>
      </c>
      <c r="G18" s="43">
        <v>2716.5</v>
      </c>
      <c r="H18" s="42">
        <f t="shared" si="1"/>
        <v>2716.25</v>
      </c>
      <c r="I18" s="44">
        <v>2738</v>
      </c>
      <c r="J18" s="43">
        <v>2743</v>
      </c>
      <c r="K18" s="42">
        <f t="shared" si="2"/>
        <v>2740.5</v>
      </c>
      <c r="L18" s="44">
        <v>2668</v>
      </c>
      <c r="M18" s="43">
        <v>2673</v>
      </c>
      <c r="N18" s="42">
        <f t="shared" si="3"/>
        <v>2670.5</v>
      </c>
      <c r="O18" s="44">
        <v>2668</v>
      </c>
      <c r="P18" s="43">
        <v>2673</v>
      </c>
      <c r="Q18" s="42">
        <f t="shared" si="4"/>
        <v>2670.5</v>
      </c>
      <c r="R18" s="50">
        <v>2691</v>
      </c>
      <c r="S18" s="49">
        <v>1.327</v>
      </c>
      <c r="T18" s="49">
        <v>1.1183000000000001</v>
      </c>
      <c r="U18" s="48">
        <v>146.09</v>
      </c>
      <c r="V18" s="41">
        <f t="shared" si="6"/>
        <v>2027.8824415975887</v>
      </c>
      <c r="W18" s="41">
        <f t="shared" si="7"/>
        <v>2047.0987189148457</v>
      </c>
      <c r="X18" s="47">
        <f t="shared" si="5"/>
        <v>2406.331038182956</v>
      </c>
      <c r="Y18" s="46">
        <v>1.3275999999999999</v>
      </c>
    </row>
    <row r="19" spans="2:25" x14ac:dyDescent="0.2">
      <c r="B19" s="45">
        <v>45793</v>
      </c>
      <c r="C19" s="44">
        <v>2680.5</v>
      </c>
      <c r="D19" s="43">
        <v>2681</v>
      </c>
      <c r="E19" s="42">
        <f t="shared" si="0"/>
        <v>2680.75</v>
      </c>
      <c r="F19" s="44">
        <v>2694</v>
      </c>
      <c r="G19" s="43">
        <v>2695</v>
      </c>
      <c r="H19" s="42">
        <f t="shared" si="1"/>
        <v>2694.5</v>
      </c>
      <c r="I19" s="44">
        <v>2722</v>
      </c>
      <c r="J19" s="43">
        <v>2727</v>
      </c>
      <c r="K19" s="42">
        <f t="shared" si="2"/>
        <v>2724.5</v>
      </c>
      <c r="L19" s="44">
        <v>2652</v>
      </c>
      <c r="M19" s="43">
        <v>2657</v>
      </c>
      <c r="N19" s="42">
        <f t="shared" si="3"/>
        <v>2654.5</v>
      </c>
      <c r="O19" s="44">
        <v>2652</v>
      </c>
      <c r="P19" s="43">
        <v>2657</v>
      </c>
      <c r="Q19" s="42">
        <f t="shared" si="4"/>
        <v>2654.5</v>
      </c>
      <c r="R19" s="50">
        <v>2681</v>
      </c>
      <c r="S19" s="49">
        <v>1.3283</v>
      </c>
      <c r="T19" s="49">
        <v>1.1194999999999999</v>
      </c>
      <c r="U19" s="48">
        <v>145.65</v>
      </c>
      <c r="V19" s="41">
        <f t="shared" si="6"/>
        <v>2018.3693442746367</v>
      </c>
      <c r="W19" s="41">
        <f t="shared" si="7"/>
        <v>2028.9091319731988</v>
      </c>
      <c r="X19" s="47">
        <f t="shared" si="5"/>
        <v>2394.8191156766416</v>
      </c>
      <c r="Y19" s="46">
        <v>1.3288</v>
      </c>
    </row>
    <row r="20" spans="2:25" x14ac:dyDescent="0.2">
      <c r="B20" s="45">
        <v>45796</v>
      </c>
      <c r="C20" s="44">
        <v>2658</v>
      </c>
      <c r="D20" s="43">
        <v>2658.5</v>
      </c>
      <c r="E20" s="42">
        <f t="shared" si="0"/>
        <v>2658.25</v>
      </c>
      <c r="F20" s="44">
        <v>2689.5</v>
      </c>
      <c r="G20" s="43">
        <v>2690.5</v>
      </c>
      <c r="H20" s="42">
        <f t="shared" si="1"/>
        <v>2690</v>
      </c>
      <c r="I20" s="44">
        <v>2715</v>
      </c>
      <c r="J20" s="43">
        <v>2720</v>
      </c>
      <c r="K20" s="42">
        <f t="shared" si="2"/>
        <v>2717.5</v>
      </c>
      <c r="L20" s="44">
        <v>2650</v>
      </c>
      <c r="M20" s="43">
        <v>2655</v>
      </c>
      <c r="N20" s="42">
        <f t="shared" si="3"/>
        <v>2652.5</v>
      </c>
      <c r="O20" s="44">
        <v>2650</v>
      </c>
      <c r="P20" s="43">
        <v>2655</v>
      </c>
      <c r="Q20" s="42">
        <f t="shared" si="4"/>
        <v>2652.5</v>
      </c>
      <c r="R20" s="50">
        <v>2658.5</v>
      </c>
      <c r="S20" s="49">
        <v>1.3382000000000001</v>
      </c>
      <c r="T20" s="49">
        <v>1.1273</v>
      </c>
      <c r="U20" s="48">
        <v>144.9</v>
      </c>
      <c r="V20" s="41">
        <f>R20/S20</f>
        <v>1986.6238230458825</v>
      </c>
      <c r="W20" s="41">
        <f t="shared" si="7"/>
        <v>2010.5365416230757</v>
      </c>
      <c r="X20" s="47">
        <f t="shared" si="5"/>
        <v>2358.2897187971257</v>
      </c>
      <c r="Y20" s="46">
        <v>1.3388</v>
      </c>
    </row>
    <row r="21" spans="2:25" x14ac:dyDescent="0.2">
      <c r="B21" s="45">
        <v>45797</v>
      </c>
      <c r="C21" s="44">
        <v>2665</v>
      </c>
      <c r="D21" s="43">
        <v>2666</v>
      </c>
      <c r="E21" s="42">
        <f t="shared" si="0"/>
        <v>2665.5</v>
      </c>
      <c r="F21" s="44">
        <v>2697</v>
      </c>
      <c r="G21" s="43">
        <v>2699</v>
      </c>
      <c r="H21" s="42">
        <f t="shared" si="1"/>
        <v>2698</v>
      </c>
      <c r="I21" s="44">
        <v>2727</v>
      </c>
      <c r="J21" s="43">
        <v>2732</v>
      </c>
      <c r="K21" s="42">
        <f t="shared" si="2"/>
        <v>2729.5</v>
      </c>
      <c r="L21" s="44">
        <v>2662</v>
      </c>
      <c r="M21" s="43">
        <v>2667</v>
      </c>
      <c r="N21" s="42">
        <f t="shared" si="3"/>
        <v>2664.5</v>
      </c>
      <c r="O21" s="44">
        <v>2662</v>
      </c>
      <c r="P21" s="43">
        <v>2667</v>
      </c>
      <c r="Q21" s="42">
        <f t="shared" si="4"/>
        <v>2664.5</v>
      </c>
      <c r="R21" s="50">
        <v>2666</v>
      </c>
      <c r="S21" s="49">
        <v>1.3362000000000001</v>
      </c>
      <c r="T21" s="49">
        <v>1.1246</v>
      </c>
      <c r="U21" s="48">
        <v>144.6</v>
      </c>
      <c r="V21" s="41">
        <f t="shared" si="6"/>
        <v>1995.2102978596017</v>
      </c>
      <c r="W21" s="41">
        <f t="shared" si="7"/>
        <v>2019.9071995210297</v>
      </c>
      <c r="X21" s="47">
        <f t="shared" si="5"/>
        <v>2370.6206651253779</v>
      </c>
      <c r="Y21" s="46">
        <v>1.3368</v>
      </c>
    </row>
    <row r="22" spans="2:25" x14ac:dyDescent="0.2">
      <c r="B22" s="45">
        <v>45798</v>
      </c>
      <c r="C22" s="44">
        <v>2679.5</v>
      </c>
      <c r="D22" s="43">
        <v>2680.5</v>
      </c>
      <c r="E22" s="42">
        <f t="shared" si="0"/>
        <v>2680</v>
      </c>
      <c r="F22" s="44">
        <v>2715</v>
      </c>
      <c r="G22" s="43">
        <v>2716</v>
      </c>
      <c r="H22" s="42">
        <f t="shared" si="1"/>
        <v>2715.5</v>
      </c>
      <c r="I22" s="44">
        <v>2745</v>
      </c>
      <c r="J22" s="43">
        <v>2750</v>
      </c>
      <c r="K22" s="42">
        <f t="shared" si="2"/>
        <v>2747.5</v>
      </c>
      <c r="L22" s="44">
        <v>2680</v>
      </c>
      <c r="M22" s="43">
        <v>2685</v>
      </c>
      <c r="N22" s="42">
        <f t="shared" si="3"/>
        <v>2682.5</v>
      </c>
      <c r="O22" s="44">
        <v>2680</v>
      </c>
      <c r="P22" s="43">
        <v>2685</v>
      </c>
      <c r="Q22" s="42">
        <f t="shared" si="4"/>
        <v>2682.5</v>
      </c>
      <c r="R22" s="50">
        <v>2680.5</v>
      </c>
      <c r="S22" s="49">
        <v>1.3413999999999999</v>
      </c>
      <c r="T22" s="49">
        <v>1.1324000000000001</v>
      </c>
      <c r="U22" s="48">
        <v>143.75</v>
      </c>
      <c r="V22" s="41">
        <f t="shared" si="6"/>
        <v>1998.2853734903833</v>
      </c>
      <c r="W22" s="41">
        <f t="shared" si="7"/>
        <v>2024.7502609214255</v>
      </c>
      <c r="X22" s="47">
        <f t="shared" si="5"/>
        <v>2367.0964323560579</v>
      </c>
      <c r="Y22" s="46">
        <v>1.3420000000000001</v>
      </c>
    </row>
    <row r="23" spans="2:25" x14ac:dyDescent="0.2">
      <c r="B23" s="45">
        <v>45799</v>
      </c>
      <c r="C23" s="44">
        <v>2661.5</v>
      </c>
      <c r="D23" s="43">
        <v>2662</v>
      </c>
      <c r="E23" s="42">
        <f t="shared" si="0"/>
        <v>2661.75</v>
      </c>
      <c r="F23" s="44">
        <v>2688</v>
      </c>
      <c r="G23" s="43">
        <v>2690</v>
      </c>
      <c r="H23" s="42">
        <f t="shared" si="1"/>
        <v>2689</v>
      </c>
      <c r="I23" s="44">
        <v>2720</v>
      </c>
      <c r="J23" s="43">
        <v>2725</v>
      </c>
      <c r="K23" s="42">
        <f t="shared" si="2"/>
        <v>2722.5</v>
      </c>
      <c r="L23" s="44">
        <v>2655</v>
      </c>
      <c r="M23" s="43">
        <v>2660</v>
      </c>
      <c r="N23" s="42">
        <f t="shared" si="3"/>
        <v>2657.5</v>
      </c>
      <c r="O23" s="44">
        <v>2655</v>
      </c>
      <c r="P23" s="43">
        <v>2660</v>
      </c>
      <c r="Q23" s="42">
        <f t="shared" si="4"/>
        <v>2657.5</v>
      </c>
      <c r="R23" s="50">
        <v>2662</v>
      </c>
      <c r="S23" s="49">
        <v>1.3420000000000001</v>
      </c>
      <c r="T23" s="49">
        <v>1.1309</v>
      </c>
      <c r="U23" s="48">
        <v>143.37</v>
      </c>
      <c r="V23" s="41">
        <f t="shared" si="6"/>
        <v>1983.6065573770491</v>
      </c>
      <c r="W23" s="41">
        <f t="shared" si="7"/>
        <v>2004.4709388971683</v>
      </c>
      <c r="X23" s="47">
        <f t="shared" si="5"/>
        <v>2353.8774427447165</v>
      </c>
      <c r="Y23" s="46">
        <v>1.3426</v>
      </c>
    </row>
    <row r="24" spans="2:25" x14ac:dyDescent="0.2">
      <c r="B24" s="45">
        <v>45800</v>
      </c>
      <c r="C24" s="44">
        <v>2650.5</v>
      </c>
      <c r="D24" s="43">
        <v>2651</v>
      </c>
      <c r="E24" s="42">
        <f t="shared" si="0"/>
        <v>2650.75</v>
      </c>
      <c r="F24" s="44">
        <v>2675</v>
      </c>
      <c r="G24" s="43">
        <v>2675.5</v>
      </c>
      <c r="H24" s="42">
        <f t="shared" si="1"/>
        <v>2675.25</v>
      </c>
      <c r="I24" s="44">
        <v>2708</v>
      </c>
      <c r="J24" s="43">
        <v>2713</v>
      </c>
      <c r="K24" s="42">
        <f t="shared" si="2"/>
        <v>2710.5</v>
      </c>
      <c r="L24" s="44">
        <v>2665</v>
      </c>
      <c r="M24" s="43">
        <v>2670</v>
      </c>
      <c r="N24" s="42">
        <f t="shared" si="3"/>
        <v>2667.5</v>
      </c>
      <c r="O24" s="44">
        <v>2665</v>
      </c>
      <c r="P24" s="43">
        <v>2670</v>
      </c>
      <c r="Q24" s="42">
        <f t="shared" si="4"/>
        <v>2667.5</v>
      </c>
      <c r="R24" s="50">
        <v>2651</v>
      </c>
      <c r="S24" s="49">
        <v>1.3489</v>
      </c>
      <c r="T24" s="49">
        <v>1.1322000000000001</v>
      </c>
      <c r="U24" s="48">
        <v>142.63</v>
      </c>
      <c r="V24" s="41">
        <f t="shared" si="6"/>
        <v>1965.3050633849805</v>
      </c>
      <c r="W24" s="41">
        <f t="shared" si="7"/>
        <v>1983.4680109719031</v>
      </c>
      <c r="X24" s="47">
        <f t="shared" si="5"/>
        <v>2341.4591061649885</v>
      </c>
      <c r="Y24" s="46">
        <v>1.3494999999999999</v>
      </c>
    </row>
    <row r="25" spans="2:25" x14ac:dyDescent="0.2">
      <c r="B25" s="45">
        <v>45804</v>
      </c>
      <c r="C25" s="44">
        <v>2671.5</v>
      </c>
      <c r="D25" s="43">
        <v>2672</v>
      </c>
      <c r="E25" s="42">
        <f t="shared" si="0"/>
        <v>2671.75</v>
      </c>
      <c r="F25" s="44">
        <v>2696</v>
      </c>
      <c r="G25" s="43">
        <v>2697</v>
      </c>
      <c r="H25" s="42">
        <f t="shared" si="1"/>
        <v>2696.5</v>
      </c>
      <c r="I25" s="44">
        <v>2725</v>
      </c>
      <c r="J25" s="43">
        <v>2730</v>
      </c>
      <c r="K25" s="42">
        <f t="shared" si="2"/>
        <v>2727.5</v>
      </c>
      <c r="L25" s="44">
        <v>2680</v>
      </c>
      <c r="M25" s="43">
        <v>2685</v>
      </c>
      <c r="N25" s="42">
        <f t="shared" si="3"/>
        <v>2682.5</v>
      </c>
      <c r="O25" s="44">
        <v>2680</v>
      </c>
      <c r="P25" s="43">
        <v>2685</v>
      </c>
      <c r="Q25" s="42">
        <f t="shared" si="4"/>
        <v>2682.5</v>
      </c>
      <c r="R25" s="50">
        <v>2672</v>
      </c>
      <c r="S25" s="49">
        <v>1.3548</v>
      </c>
      <c r="T25" s="49">
        <v>1.1352</v>
      </c>
      <c r="U25" s="48">
        <v>144.1</v>
      </c>
      <c r="V25" s="41">
        <f t="shared" si="6"/>
        <v>1972.2468260997932</v>
      </c>
      <c r="W25" s="41">
        <f>G25/S25</f>
        <v>1990.6997342781222</v>
      </c>
      <c r="X25" s="47">
        <f t="shared" si="5"/>
        <v>2353.7702607470051</v>
      </c>
      <c r="Y25" s="46">
        <v>1.3553999999999999</v>
      </c>
    </row>
    <row r="26" spans="2:25" x14ac:dyDescent="0.2">
      <c r="B26" s="45">
        <v>45805</v>
      </c>
      <c r="C26" s="44">
        <v>2684</v>
      </c>
      <c r="D26" s="43">
        <v>2685</v>
      </c>
      <c r="E26" s="42">
        <f t="shared" si="0"/>
        <v>2684.5</v>
      </c>
      <c r="F26" s="44">
        <v>2706</v>
      </c>
      <c r="G26" s="43">
        <v>2708</v>
      </c>
      <c r="H26" s="42">
        <f t="shared" si="1"/>
        <v>2707</v>
      </c>
      <c r="I26" s="44">
        <v>2732</v>
      </c>
      <c r="J26" s="43">
        <v>2737</v>
      </c>
      <c r="K26" s="42">
        <f t="shared" si="2"/>
        <v>2734.5</v>
      </c>
      <c r="L26" s="44">
        <v>2687</v>
      </c>
      <c r="M26" s="43">
        <v>2692</v>
      </c>
      <c r="N26" s="42">
        <f t="shared" si="3"/>
        <v>2689.5</v>
      </c>
      <c r="O26" s="44">
        <v>2687</v>
      </c>
      <c r="P26" s="43">
        <v>2692</v>
      </c>
      <c r="Q26" s="42">
        <f t="shared" si="4"/>
        <v>2689.5</v>
      </c>
      <c r="R26" s="50">
        <v>2685</v>
      </c>
      <c r="S26" s="49">
        <v>1.3479000000000001</v>
      </c>
      <c r="T26" s="49">
        <v>1.1317999999999999</v>
      </c>
      <c r="U26" s="48">
        <v>144.41999999999999</v>
      </c>
      <c r="V26" s="41">
        <f t="shared" si="6"/>
        <v>1991.9875361673712</v>
      </c>
      <c r="W26" s="41">
        <f t="shared" si="7"/>
        <v>2009.0511165516727</v>
      </c>
      <c r="X26" s="47">
        <f t="shared" si="5"/>
        <v>2372.3272663014668</v>
      </c>
      <c r="Y26" s="46">
        <v>1.3485</v>
      </c>
    </row>
    <row r="27" spans="2:25" x14ac:dyDescent="0.2">
      <c r="B27" s="45">
        <v>45806</v>
      </c>
      <c r="C27" s="44">
        <v>2680</v>
      </c>
      <c r="D27" s="43">
        <v>2682</v>
      </c>
      <c r="E27" s="42">
        <f t="shared" si="0"/>
        <v>2681</v>
      </c>
      <c r="F27" s="44">
        <v>2706.5</v>
      </c>
      <c r="G27" s="43">
        <v>2707</v>
      </c>
      <c r="H27" s="42">
        <f t="shared" si="1"/>
        <v>2706.75</v>
      </c>
      <c r="I27" s="44">
        <v>2732</v>
      </c>
      <c r="J27" s="43">
        <v>2737</v>
      </c>
      <c r="K27" s="42">
        <f t="shared" si="2"/>
        <v>2734.5</v>
      </c>
      <c r="L27" s="44">
        <v>2687</v>
      </c>
      <c r="M27" s="43">
        <v>2692</v>
      </c>
      <c r="N27" s="42">
        <f t="shared" si="3"/>
        <v>2689.5</v>
      </c>
      <c r="O27" s="44">
        <v>2687</v>
      </c>
      <c r="P27" s="43">
        <v>2692</v>
      </c>
      <c r="Q27" s="42">
        <f t="shared" si="4"/>
        <v>2689.5</v>
      </c>
      <c r="R27" s="50">
        <v>2682</v>
      </c>
      <c r="S27" s="49">
        <v>1.3461000000000001</v>
      </c>
      <c r="T27" s="49">
        <v>1.1271</v>
      </c>
      <c r="U27" s="48">
        <v>145.09</v>
      </c>
      <c r="V27" s="41">
        <f t="shared" si="6"/>
        <v>1992.4225540450188</v>
      </c>
      <c r="W27" s="41">
        <f t="shared" si="7"/>
        <v>2010.9947255033057</v>
      </c>
      <c r="X27" s="47">
        <f t="shared" si="5"/>
        <v>2379.5581581048709</v>
      </c>
      <c r="Y27" s="46">
        <v>1.3467</v>
      </c>
    </row>
    <row r="28" spans="2:25" x14ac:dyDescent="0.2">
      <c r="B28" s="45">
        <v>45807</v>
      </c>
      <c r="C28" s="44">
        <v>2630</v>
      </c>
      <c r="D28" s="43">
        <v>2631</v>
      </c>
      <c r="E28" s="42">
        <f t="shared" si="0"/>
        <v>2630.5</v>
      </c>
      <c r="F28" s="44">
        <v>2657</v>
      </c>
      <c r="G28" s="43">
        <v>2658</v>
      </c>
      <c r="H28" s="42">
        <f t="shared" si="1"/>
        <v>2657.5</v>
      </c>
      <c r="I28" s="44">
        <v>2685</v>
      </c>
      <c r="J28" s="43">
        <v>2690</v>
      </c>
      <c r="K28" s="42">
        <f t="shared" si="2"/>
        <v>2687.5</v>
      </c>
      <c r="L28" s="44">
        <v>2640</v>
      </c>
      <c r="M28" s="43">
        <v>2645</v>
      </c>
      <c r="N28" s="42">
        <f t="shared" si="3"/>
        <v>2642.5</v>
      </c>
      <c r="O28" s="44">
        <v>2640</v>
      </c>
      <c r="P28" s="43">
        <v>2645</v>
      </c>
      <c r="Q28" s="42">
        <f t="shared" si="4"/>
        <v>2642.5</v>
      </c>
      <c r="R28" s="50">
        <v>2631</v>
      </c>
      <c r="S28" s="49">
        <v>1.3475999999999999</v>
      </c>
      <c r="T28" s="49">
        <v>1.1338999999999999</v>
      </c>
      <c r="U28" s="48">
        <v>143.85</v>
      </c>
      <c r="V28" s="41">
        <f t="shared" si="6"/>
        <v>1952.3597506678541</v>
      </c>
      <c r="W28" s="41">
        <f t="shared" si="7"/>
        <v>1972.3953695458595</v>
      </c>
      <c r="X28" s="47">
        <f t="shared" si="5"/>
        <v>2320.3104330187848</v>
      </c>
      <c r="Y28" s="46">
        <v>1.3482000000000001</v>
      </c>
    </row>
    <row r="29" spans="2:25" x14ac:dyDescent="0.2">
      <c r="B29" s="40" t="s">
        <v>11</v>
      </c>
      <c r="C29" s="39">
        <f>ROUND(AVERAGE(C9:C28),2)</f>
        <v>2645.3</v>
      </c>
      <c r="D29" s="38">
        <f>ROUND(AVERAGE(D9:D28),2)</f>
        <v>2646.15</v>
      </c>
      <c r="E29" s="37">
        <f>ROUND(AVERAGE(C29:D29),2)</f>
        <v>2645.73</v>
      </c>
      <c r="F29" s="39">
        <f>ROUND(AVERAGE(F9:F28),2)</f>
        <v>2674.68</v>
      </c>
      <c r="G29" s="38">
        <f>ROUND(AVERAGE(G9:G28),2)</f>
        <v>2675.75</v>
      </c>
      <c r="H29" s="37">
        <f>ROUND(AVERAGE(F29:G29),2)</f>
        <v>2675.22</v>
      </c>
      <c r="I29" s="39">
        <f>ROUND(AVERAGE(I9:I28),2)</f>
        <v>2703.65</v>
      </c>
      <c r="J29" s="38">
        <f>ROUND(AVERAGE(J9:J28),2)</f>
        <v>2708.65</v>
      </c>
      <c r="K29" s="37">
        <f>ROUND(AVERAGE(I29:J29),2)</f>
        <v>2706.15</v>
      </c>
      <c r="L29" s="39">
        <f>ROUND(AVERAGE(L9:L28),2)</f>
        <v>2643.2</v>
      </c>
      <c r="M29" s="38">
        <f>ROUND(AVERAGE(M9:M28),2)</f>
        <v>2648.2</v>
      </c>
      <c r="N29" s="37">
        <f>ROUND(AVERAGE(L29:M29),2)</f>
        <v>2645.7</v>
      </c>
      <c r="O29" s="39">
        <f>ROUND(AVERAGE(O9:O28),2)</f>
        <v>2643.2</v>
      </c>
      <c r="P29" s="38">
        <f>ROUND(AVERAGE(P9:P28),2)</f>
        <v>2648.2</v>
      </c>
      <c r="Q29" s="37">
        <f>ROUND(AVERAGE(O29:P29),2)</f>
        <v>2645.7</v>
      </c>
      <c r="R29" s="36">
        <f>ROUND(AVERAGE(R9:R28),2)</f>
        <v>2646.15</v>
      </c>
      <c r="S29" s="35">
        <f>ROUND(AVERAGE(S9:S28),4)</f>
        <v>1.3363</v>
      </c>
      <c r="T29" s="34">
        <f>ROUND(AVERAGE(T9:T28),4)</f>
        <v>1.1274</v>
      </c>
      <c r="U29" s="167">
        <f>ROUND(AVERAGE(U9:U28),2)</f>
        <v>144.78</v>
      </c>
      <c r="V29" s="33">
        <f>AVERAGE(V9:V28)</f>
        <v>1980.3332229403266</v>
      </c>
      <c r="W29" s="33">
        <f>AVERAGE(W9:W28)</f>
        <v>2002.4922683713423</v>
      </c>
      <c r="X29" s="33">
        <f>AVERAGE(X9:X28)</f>
        <v>2347.4023207889959</v>
      </c>
      <c r="Y29" s="32">
        <f>AVERAGE(Y9:Y28)</f>
        <v>1.3368349999999998</v>
      </c>
    </row>
    <row r="30" spans="2:25" x14ac:dyDescent="0.2">
      <c r="B30" s="31" t="s">
        <v>12</v>
      </c>
      <c r="C30" s="30">
        <f t="shared" ref="C30:Y30" si="8">MAX(C9:C28)</f>
        <v>2737</v>
      </c>
      <c r="D30" s="29">
        <f t="shared" si="8"/>
        <v>2738</v>
      </c>
      <c r="E30" s="28">
        <f t="shared" si="8"/>
        <v>2737.5</v>
      </c>
      <c r="F30" s="30">
        <f t="shared" si="8"/>
        <v>2765</v>
      </c>
      <c r="G30" s="29">
        <f t="shared" si="8"/>
        <v>2766</v>
      </c>
      <c r="H30" s="28">
        <f t="shared" si="8"/>
        <v>2765.5</v>
      </c>
      <c r="I30" s="30">
        <f t="shared" si="8"/>
        <v>2795</v>
      </c>
      <c r="J30" s="29">
        <f t="shared" si="8"/>
        <v>2800</v>
      </c>
      <c r="K30" s="28">
        <f t="shared" si="8"/>
        <v>2797.5</v>
      </c>
      <c r="L30" s="30">
        <f t="shared" si="8"/>
        <v>2730</v>
      </c>
      <c r="M30" s="29">
        <f t="shared" si="8"/>
        <v>2735</v>
      </c>
      <c r="N30" s="28">
        <f t="shared" si="8"/>
        <v>2732.5</v>
      </c>
      <c r="O30" s="30">
        <f t="shared" si="8"/>
        <v>2730</v>
      </c>
      <c r="P30" s="29">
        <f t="shared" si="8"/>
        <v>2735</v>
      </c>
      <c r="Q30" s="28">
        <f t="shared" si="8"/>
        <v>2732.5</v>
      </c>
      <c r="R30" s="27">
        <f t="shared" si="8"/>
        <v>2738</v>
      </c>
      <c r="S30" s="26">
        <f t="shared" si="8"/>
        <v>1.3548</v>
      </c>
      <c r="T30" s="25">
        <f t="shared" si="8"/>
        <v>1.1357999999999999</v>
      </c>
      <c r="U30" s="24">
        <f t="shared" si="8"/>
        <v>148.12</v>
      </c>
      <c r="V30" s="23">
        <f t="shared" si="8"/>
        <v>2053.3973301334936</v>
      </c>
      <c r="W30" s="23">
        <f t="shared" si="8"/>
        <v>2074.3962801859907</v>
      </c>
      <c r="X30" s="23">
        <f t="shared" si="8"/>
        <v>2440.7202709930471</v>
      </c>
      <c r="Y30" s="22">
        <f t="shared" si="8"/>
        <v>1.3553999999999999</v>
      </c>
    </row>
    <row r="31" spans="2:25" ht="13.5" thickBot="1" x14ac:dyDescent="0.25">
      <c r="B31" s="21" t="s">
        <v>13</v>
      </c>
      <c r="C31" s="20">
        <f t="shared" ref="C31:Y31" si="9">MIN(C9:C28)</f>
        <v>2561.5</v>
      </c>
      <c r="D31" s="19">
        <f t="shared" si="9"/>
        <v>2562</v>
      </c>
      <c r="E31" s="18">
        <f t="shared" si="9"/>
        <v>2561.75</v>
      </c>
      <c r="F31" s="20">
        <f t="shared" si="9"/>
        <v>2596</v>
      </c>
      <c r="G31" s="19">
        <f t="shared" si="9"/>
        <v>2597</v>
      </c>
      <c r="H31" s="18">
        <f t="shared" si="9"/>
        <v>2596.5</v>
      </c>
      <c r="I31" s="20">
        <f t="shared" si="9"/>
        <v>2622</v>
      </c>
      <c r="J31" s="19">
        <f t="shared" si="9"/>
        <v>2627</v>
      </c>
      <c r="K31" s="18">
        <f t="shared" si="9"/>
        <v>2624.5</v>
      </c>
      <c r="L31" s="20">
        <f t="shared" si="9"/>
        <v>2557</v>
      </c>
      <c r="M31" s="19">
        <f t="shared" si="9"/>
        <v>2562</v>
      </c>
      <c r="N31" s="18">
        <f t="shared" si="9"/>
        <v>2559.5</v>
      </c>
      <c r="O31" s="20">
        <f t="shared" si="9"/>
        <v>2557</v>
      </c>
      <c r="P31" s="19">
        <f t="shared" si="9"/>
        <v>2562</v>
      </c>
      <c r="Q31" s="18">
        <f t="shared" si="9"/>
        <v>2559.5</v>
      </c>
      <c r="R31" s="17">
        <f t="shared" si="9"/>
        <v>2562</v>
      </c>
      <c r="S31" s="16">
        <f t="shared" si="9"/>
        <v>1.3178000000000001</v>
      </c>
      <c r="T31" s="15">
        <f t="shared" si="9"/>
        <v>1.1107</v>
      </c>
      <c r="U31" s="14">
        <f t="shared" si="9"/>
        <v>142.63</v>
      </c>
      <c r="V31" s="13">
        <f t="shared" si="9"/>
        <v>1922.4131462444661</v>
      </c>
      <c r="W31" s="13">
        <f t="shared" si="9"/>
        <v>1948.675620919937</v>
      </c>
      <c r="X31" s="13">
        <f t="shared" si="9"/>
        <v>2267.9091953007683</v>
      </c>
      <c r="Y31" s="12">
        <f t="shared" si="9"/>
        <v>1.3183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28</v>
      </c>
    </row>
    <row r="6" spans="1:25" ht="13.5" thickBot="1" x14ac:dyDescent="0.25">
      <c r="B6" s="1">
        <v>45778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45778</v>
      </c>
      <c r="C9" s="44">
        <v>1946</v>
      </c>
      <c r="D9" s="43">
        <v>1948</v>
      </c>
      <c r="E9" s="42">
        <f t="shared" ref="E9:E28" si="0">AVERAGE(C9:D9)</f>
        <v>1947</v>
      </c>
      <c r="F9" s="44">
        <v>1956</v>
      </c>
      <c r="G9" s="43">
        <v>1958</v>
      </c>
      <c r="H9" s="42">
        <f t="shared" ref="H9:H28" si="1">AVERAGE(F9:G9)</f>
        <v>1957</v>
      </c>
      <c r="I9" s="44">
        <v>2035</v>
      </c>
      <c r="J9" s="43">
        <v>2040</v>
      </c>
      <c r="K9" s="42">
        <f t="shared" ref="K9:K28" si="2">AVERAGE(I9:J9)</f>
        <v>2037.5</v>
      </c>
      <c r="L9" s="44">
        <v>2085</v>
      </c>
      <c r="M9" s="43">
        <v>2090</v>
      </c>
      <c r="N9" s="42">
        <f t="shared" ref="N9:N28" si="3">AVERAGE(L9:M9)</f>
        <v>2087.5</v>
      </c>
      <c r="O9" s="44">
        <v>2130</v>
      </c>
      <c r="P9" s="43">
        <v>2135</v>
      </c>
      <c r="Q9" s="42">
        <f t="shared" ref="Q9:Q28" si="4">AVERAGE(O9:P9)</f>
        <v>2132.5</v>
      </c>
      <c r="R9" s="50">
        <v>1948</v>
      </c>
      <c r="S9" s="49">
        <v>1.3325</v>
      </c>
      <c r="T9" s="51">
        <v>1.1321000000000001</v>
      </c>
      <c r="U9" s="48">
        <v>144.49</v>
      </c>
      <c r="V9" s="41">
        <v>1461.91</v>
      </c>
      <c r="W9" s="41">
        <v>1468.87</v>
      </c>
      <c r="X9" s="47">
        <f t="shared" ref="X9:X28" si="5">R9/T9</f>
        <v>1720.6960515855487</v>
      </c>
      <c r="Y9" s="46">
        <v>1.333</v>
      </c>
    </row>
    <row r="10" spans="1:25" x14ac:dyDescent="0.2">
      <c r="B10" s="45">
        <v>45779</v>
      </c>
      <c r="C10" s="44">
        <v>1946</v>
      </c>
      <c r="D10" s="43">
        <v>1947</v>
      </c>
      <c r="E10" s="42">
        <f t="shared" si="0"/>
        <v>1946.5</v>
      </c>
      <c r="F10" s="44">
        <v>1957</v>
      </c>
      <c r="G10" s="43">
        <v>1959</v>
      </c>
      <c r="H10" s="42">
        <f t="shared" si="1"/>
        <v>1958</v>
      </c>
      <c r="I10" s="44">
        <v>2033</v>
      </c>
      <c r="J10" s="43">
        <v>2038</v>
      </c>
      <c r="K10" s="42">
        <f t="shared" si="2"/>
        <v>2035.5</v>
      </c>
      <c r="L10" s="44">
        <v>2083</v>
      </c>
      <c r="M10" s="43">
        <v>2088</v>
      </c>
      <c r="N10" s="42">
        <f t="shared" si="3"/>
        <v>2085.5</v>
      </c>
      <c r="O10" s="44">
        <v>2128</v>
      </c>
      <c r="P10" s="43">
        <v>2133</v>
      </c>
      <c r="Q10" s="42">
        <f t="shared" si="4"/>
        <v>2130.5</v>
      </c>
      <c r="R10" s="50">
        <v>1947</v>
      </c>
      <c r="S10" s="49">
        <v>1.3293999999999999</v>
      </c>
      <c r="T10" s="49">
        <v>1.1347</v>
      </c>
      <c r="U10" s="48">
        <v>144.56</v>
      </c>
      <c r="V10" s="41">
        <v>1464.57</v>
      </c>
      <c r="W10" s="41">
        <v>1473.04</v>
      </c>
      <c r="X10" s="47">
        <f t="shared" si="5"/>
        <v>1715.8720366616726</v>
      </c>
      <c r="Y10" s="46">
        <v>1.3299000000000001</v>
      </c>
    </row>
    <row r="11" spans="1:25" x14ac:dyDescent="0.2">
      <c r="B11" s="45">
        <v>45783</v>
      </c>
      <c r="C11" s="44">
        <v>1922</v>
      </c>
      <c r="D11" s="43">
        <v>1924</v>
      </c>
      <c r="E11" s="42">
        <f t="shared" si="0"/>
        <v>1923</v>
      </c>
      <c r="F11" s="44">
        <v>1939.5</v>
      </c>
      <c r="G11" s="43">
        <v>1940</v>
      </c>
      <c r="H11" s="42">
        <f t="shared" si="1"/>
        <v>1939.75</v>
      </c>
      <c r="I11" s="44">
        <v>2015</v>
      </c>
      <c r="J11" s="43">
        <v>2020</v>
      </c>
      <c r="K11" s="42">
        <f t="shared" si="2"/>
        <v>2017.5</v>
      </c>
      <c r="L11" s="44">
        <v>2065</v>
      </c>
      <c r="M11" s="43">
        <v>2070</v>
      </c>
      <c r="N11" s="42">
        <f t="shared" si="3"/>
        <v>2067.5</v>
      </c>
      <c r="O11" s="44">
        <v>2110</v>
      </c>
      <c r="P11" s="43">
        <v>2115</v>
      </c>
      <c r="Q11" s="42">
        <f t="shared" si="4"/>
        <v>2112.5</v>
      </c>
      <c r="R11" s="50">
        <v>1924</v>
      </c>
      <c r="S11" s="49">
        <v>1.3371</v>
      </c>
      <c r="T11" s="49">
        <v>1.1329</v>
      </c>
      <c r="U11" s="48">
        <v>142.78</v>
      </c>
      <c r="V11" s="41">
        <v>1438.94</v>
      </c>
      <c r="W11" s="41">
        <v>1450.14</v>
      </c>
      <c r="X11" s="47">
        <f t="shared" si="5"/>
        <v>1698.2964074499073</v>
      </c>
      <c r="Y11" s="46">
        <v>1.3378000000000001</v>
      </c>
    </row>
    <row r="12" spans="1:25" x14ac:dyDescent="0.2">
      <c r="B12" s="45">
        <v>45784</v>
      </c>
      <c r="C12" s="44">
        <v>1912</v>
      </c>
      <c r="D12" s="43">
        <v>1912.5</v>
      </c>
      <c r="E12" s="42">
        <f t="shared" si="0"/>
        <v>1912.25</v>
      </c>
      <c r="F12" s="44">
        <v>1932.5</v>
      </c>
      <c r="G12" s="43">
        <v>1934.5</v>
      </c>
      <c r="H12" s="42">
        <f t="shared" si="1"/>
        <v>1933.5</v>
      </c>
      <c r="I12" s="44">
        <v>2008</v>
      </c>
      <c r="J12" s="43">
        <v>2013</v>
      </c>
      <c r="K12" s="42">
        <f t="shared" si="2"/>
        <v>2010.5</v>
      </c>
      <c r="L12" s="44">
        <v>2058</v>
      </c>
      <c r="M12" s="43">
        <v>2063</v>
      </c>
      <c r="N12" s="42">
        <f t="shared" si="3"/>
        <v>2060.5</v>
      </c>
      <c r="O12" s="44">
        <v>2103</v>
      </c>
      <c r="P12" s="43">
        <v>2108</v>
      </c>
      <c r="Q12" s="42">
        <f t="shared" si="4"/>
        <v>2105.5</v>
      </c>
      <c r="R12" s="50">
        <v>1912.5</v>
      </c>
      <c r="S12" s="49">
        <v>1.3348</v>
      </c>
      <c r="T12" s="49">
        <v>1.1357999999999999</v>
      </c>
      <c r="U12" s="48">
        <v>143.4</v>
      </c>
      <c r="V12" s="41">
        <v>1432.8</v>
      </c>
      <c r="W12" s="41">
        <v>1448.52</v>
      </c>
      <c r="X12" s="47">
        <f t="shared" si="5"/>
        <v>1683.8351822503962</v>
      </c>
      <c r="Y12" s="46">
        <v>1.3354999999999999</v>
      </c>
    </row>
    <row r="13" spans="1:25" x14ac:dyDescent="0.2">
      <c r="B13" s="45">
        <v>45785</v>
      </c>
      <c r="C13" s="44">
        <v>1923</v>
      </c>
      <c r="D13" s="43">
        <v>1925</v>
      </c>
      <c r="E13" s="42">
        <f t="shared" si="0"/>
        <v>1924</v>
      </c>
      <c r="F13" s="44">
        <v>1933</v>
      </c>
      <c r="G13" s="43">
        <v>1935</v>
      </c>
      <c r="H13" s="42">
        <f t="shared" si="1"/>
        <v>1934</v>
      </c>
      <c r="I13" s="44">
        <v>2008</v>
      </c>
      <c r="J13" s="43">
        <v>2013</v>
      </c>
      <c r="K13" s="42">
        <f t="shared" si="2"/>
        <v>2010.5</v>
      </c>
      <c r="L13" s="44">
        <v>2058</v>
      </c>
      <c r="M13" s="43">
        <v>2063</v>
      </c>
      <c r="N13" s="42">
        <f t="shared" si="3"/>
        <v>2060.5</v>
      </c>
      <c r="O13" s="44">
        <v>2103</v>
      </c>
      <c r="P13" s="43">
        <v>2108</v>
      </c>
      <c r="Q13" s="42">
        <f t="shared" si="4"/>
        <v>2105.5</v>
      </c>
      <c r="R13" s="50">
        <v>1925</v>
      </c>
      <c r="S13" s="49">
        <v>1.3327</v>
      </c>
      <c r="T13" s="49">
        <v>1.1295999999999999</v>
      </c>
      <c r="U13" s="48">
        <v>144.65</v>
      </c>
      <c r="V13" s="41">
        <v>1444.44</v>
      </c>
      <c r="W13" s="41">
        <v>1451.4</v>
      </c>
      <c r="X13" s="47">
        <f t="shared" si="5"/>
        <v>1704.1430594900851</v>
      </c>
      <c r="Y13" s="46">
        <v>1.3331999999999999</v>
      </c>
    </row>
    <row r="14" spans="1:25" x14ac:dyDescent="0.2">
      <c r="B14" s="45">
        <v>45786</v>
      </c>
      <c r="C14" s="44">
        <v>1990</v>
      </c>
      <c r="D14" s="43">
        <v>1992</v>
      </c>
      <c r="E14" s="42">
        <f t="shared" si="0"/>
        <v>1991</v>
      </c>
      <c r="F14" s="44">
        <v>1978</v>
      </c>
      <c r="G14" s="43">
        <v>1980</v>
      </c>
      <c r="H14" s="42">
        <f t="shared" si="1"/>
        <v>1979</v>
      </c>
      <c r="I14" s="44">
        <v>2048</v>
      </c>
      <c r="J14" s="43">
        <v>2053</v>
      </c>
      <c r="K14" s="42">
        <f t="shared" si="2"/>
        <v>2050.5</v>
      </c>
      <c r="L14" s="44">
        <v>2098</v>
      </c>
      <c r="M14" s="43">
        <v>2103</v>
      </c>
      <c r="N14" s="42">
        <f t="shared" si="3"/>
        <v>2100.5</v>
      </c>
      <c r="O14" s="44">
        <v>2143</v>
      </c>
      <c r="P14" s="43">
        <v>2148</v>
      </c>
      <c r="Q14" s="42">
        <f t="shared" si="4"/>
        <v>2145.5</v>
      </c>
      <c r="R14" s="50">
        <v>1992</v>
      </c>
      <c r="S14" s="49">
        <v>1.3277000000000001</v>
      </c>
      <c r="T14" s="49">
        <v>1.1254999999999999</v>
      </c>
      <c r="U14" s="48">
        <v>145.13</v>
      </c>
      <c r="V14" s="41">
        <v>1500.34</v>
      </c>
      <c r="W14" s="41">
        <v>1490.74</v>
      </c>
      <c r="X14" s="47">
        <f t="shared" si="5"/>
        <v>1769.8800533096403</v>
      </c>
      <c r="Y14" s="46">
        <v>1.3282</v>
      </c>
    </row>
    <row r="15" spans="1:25" x14ac:dyDescent="0.2">
      <c r="B15" s="45">
        <v>45789</v>
      </c>
      <c r="C15" s="44">
        <v>1998</v>
      </c>
      <c r="D15" s="43">
        <v>1998.5</v>
      </c>
      <c r="E15" s="42">
        <f t="shared" si="0"/>
        <v>1998.25</v>
      </c>
      <c r="F15" s="44">
        <v>1991</v>
      </c>
      <c r="G15" s="43">
        <v>1991.5</v>
      </c>
      <c r="H15" s="42">
        <f t="shared" si="1"/>
        <v>1991.25</v>
      </c>
      <c r="I15" s="44">
        <v>2057</v>
      </c>
      <c r="J15" s="43">
        <v>2062</v>
      </c>
      <c r="K15" s="42">
        <f t="shared" si="2"/>
        <v>2059.5</v>
      </c>
      <c r="L15" s="44">
        <v>2097</v>
      </c>
      <c r="M15" s="43">
        <v>2102</v>
      </c>
      <c r="N15" s="42">
        <f t="shared" si="3"/>
        <v>2099.5</v>
      </c>
      <c r="O15" s="44">
        <v>2142</v>
      </c>
      <c r="P15" s="43">
        <v>2147</v>
      </c>
      <c r="Q15" s="42">
        <f t="shared" si="4"/>
        <v>2144.5</v>
      </c>
      <c r="R15" s="50">
        <v>1998.5</v>
      </c>
      <c r="S15" s="49">
        <v>1.3178000000000001</v>
      </c>
      <c r="T15" s="49">
        <v>1.1112</v>
      </c>
      <c r="U15" s="48">
        <v>147.87</v>
      </c>
      <c r="V15" s="41">
        <v>1516.54</v>
      </c>
      <c r="W15" s="41">
        <v>1510.66</v>
      </c>
      <c r="X15" s="47">
        <f t="shared" si="5"/>
        <v>1798.5061195104392</v>
      </c>
      <c r="Y15" s="46">
        <v>1.3183</v>
      </c>
    </row>
    <row r="16" spans="1:25" x14ac:dyDescent="0.2">
      <c r="B16" s="45">
        <v>45790</v>
      </c>
      <c r="C16" s="44">
        <v>1985</v>
      </c>
      <c r="D16" s="43">
        <v>1987</v>
      </c>
      <c r="E16" s="42">
        <f t="shared" si="0"/>
        <v>1986</v>
      </c>
      <c r="F16" s="44">
        <v>1991</v>
      </c>
      <c r="G16" s="43">
        <v>1991.5</v>
      </c>
      <c r="H16" s="42">
        <f t="shared" si="1"/>
        <v>1991.25</v>
      </c>
      <c r="I16" s="44">
        <v>2055</v>
      </c>
      <c r="J16" s="43">
        <v>2060</v>
      </c>
      <c r="K16" s="42">
        <f t="shared" si="2"/>
        <v>2057.5</v>
      </c>
      <c r="L16" s="44">
        <v>2095</v>
      </c>
      <c r="M16" s="43">
        <v>2100</v>
      </c>
      <c r="N16" s="42">
        <f t="shared" si="3"/>
        <v>2097.5</v>
      </c>
      <c r="O16" s="44">
        <v>2140</v>
      </c>
      <c r="P16" s="43">
        <v>2145</v>
      </c>
      <c r="Q16" s="42">
        <f t="shared" si="4"/>
        <v>2142.5</v>
      </c>
      <c r="R16" s="50">
        <v>1987</v>
      </c>
      <c r="S16" s="49">
        <v>1.3213999999999999</v>
      </c>
      <c r="T16" s="49">
        <v>1.1107</v>
      </c>
      <c r="U16" s="48">
        <v>148.12</v>
      </c>
      <c r="V16" s="41">
        <v>1503.71</v>
      </c>
      <c r="W16" s="41">
        <v>1506.54</v>
      </c>
      <c r="X16" s="47">
        <f t="shared" si="5"/>
        <v>1788.9619159088863</v>
      </c>
      <c r="Y16" s="46">
        <v>1.3219000000000001</v>
      </c>
    </row>
    <row r="17" spans="2:25" x14ac:dyDescent="0.2">
      <c r="B17" s="45">
        <v>45791</v>
      </c>
      <c r="C17" s="44">
        <v>1992</v>
      </c>
      <c r="D17" s="43">
        <v>1994</v>
      </c>
      <c r="E17" s="42">
        <f t="shared" si="0"/>
        <v>1993</v>
      </c>
      <c r="F17" s="44">
        <v>1997</v>
      </c>
      <c r="G17" s="43">
        <v>1999</v>
      </c>
      <c r="H17" s="42">
        <f t="shared" si="1"/>
        <v>1998</v>
      </c>
      <c r="I17" s="44">
        <v>2063</v>
      </c>
      <c r="J17" s="43">
        <v>2068</v>
      </c>
      <c r="K17" s="42">
        <f t="shared" si="2"/>
        <v>2065.5</v>
      </c>
      <c r="L17" s="44">
        <v>2103</v>
      </c>
      <c r="M17" s="43">
        <v>2108</v>
      </c>
      <c r="N17" s="42">
        <f t="shared" si="3"/>
        <v>2105.5</v>
      </c>
      <c r="O17" s="44">
        <v>2148</v>
      </c>
      <c r="P17" s="43">
        <v>2153</v>
      </c>
      <c r="Q17" s="42">
        <f t="shared" si="4"/>
        <v>2150.5</v>
      </c>
      <c r="R17" s="50">
        <v>1994</v>
      </c>
      <c r="S17" s="49">
        <v>1.3333999999999999</v>
      </c>
      <c r="T17" s="49">
        <v>1.1217999999999999</v>
      </c>
      <c r="U17" s="48">
        <v>146.18</v>
      </c>
      <c r="V17" s="41">
        <v>1495.43</v>
      </c>
      <c r="W17" s="41">
        <v>1498.5</v>
      </c>
      <c r="X17" s="47">
        <f t="shared" si="5"/>
        <v>1777.5004457122484</v>
      </c>
      <c r="Y17" s="46">
        <v>1.3340000000000001</v>
      </c>
    </row>
    <row r="18" spans="2:25" x14ac:dyDescent="0.2">
      <c r="B18" s="45">
        <v>45792</v>
      </c>
      <c r="C18" s="44">
        <v>1976</v>
      </c>
      <c r="D18" s="43">
        <v>1977</v>
      </c>
      <c r="E18" s="42">
        <f t="shared" si="0"/>
        <v>1976.5</v>
      </c>
      <c r="F18" s="44">
        <v>1986</v>
      </c>
      <c r="G18" s="43">
        <v>1987</v>
      </c>
      <c r="H18" s="42">
        <f t="shared" si="1"/>
        <v>1986.5</v>
      </c>
      <c r="I18" s="44">
        <v>2052</v>
      </c>
      <c r="J18" s="43">
        <v>2057</v>
      </c>
      <c r="K18" s="42">
        <f t="shared" si="2"/>
        <v>2054.5</v>
      </c>
      <c r="L18" s="44">
        <v>2092</v>
      </c>
      <c r="M18" s="43">
        <v>2097</v>
      </c>
      <c r="N18" s="42">
        <f t="shared" si="3"/>
        <v>2094.5</v>
      </c>
      <c r="O18" s="44">
        <v>2137</v>
      </c>
      <c r="P18" s="43">
        <v>2142</v>
      </c>
      <c r="Q18" s="42">
        <f t="shared" si="4"/>
        <v>2139.5</v>
      </c>
      <c r="R18" s="50">
        <v>1977</v>
      </c>
      <c r="S18" s="49">
        <v>1.327</v>
      </c>
      <c r="T18" s="49">
        <v>1.1183000000000001</v>
      </c>
      <c r="U18" s="48">
        <v>146.09</v>
      </c>
      <c r="V18" s="41">
        <v>1489.83</v>
      </c>
      <c r="W18" s="41">
        <v>1496.69</v>
      </c>
      <c r="X18" s="47">
        <f t="shared" si="5"/>
        <v>1767.8619332916032</v>
      </c>
      <c r="Y18" s="46">
        <v>1.3275999999999999</v>
      </c>
    </row>
    <row r="19" spans="2:25" x14ac:dyDescent="0.2">
      <c r="B19" s="45">
        <v>45793</v>
      </c>
      <c r="C19" s="44">
        <v>1994</v>
      </c>
      <c r="D19" s="43">
        <v>1995</v>
      </c>
      <c r="E19" s="42">
        <f t="shared" si="0"/>
        <v>1994.5</v>
      </c>
      <c r="F19" s="44">
        <v>1996</v>
      </c>
      <c r="G19" s="43">
        <v>1997</v>
      </c>
      <c r="H19" s="42">
        <f t="shared" si="1"/>
        <v>1996.5</v>
      </c>
      <c r="I19" s="44">
        <v>2063</v>
      </c>
      <c r="J19" s="43">
        <v>2068</v>
      </c>
      <c r="K19" s="42">
        <f t="shared" si="2"/>
        <v>2065.5</v>
      </c>
      <c r="L19" s="44">
        <v>2103</v>
      </c>
      <c r="M19" s="43">
        <v>2108</v>
      </c>
      <c r="N19" s="42">
        <f t="shared" si="3"/>
        <v>2105.5</v>
      </c>
      <c r="O19" s="44">
        <v>2148</v>
      </c>
      <c r="P19" s="43">
        <v>2153</v>
      </c>
      <c r="Q19" s="42">
        <f t="shared" si="4"/>
        <v>2150.5</v>
      </c>
      <c r="R19" s="50">
        <v>1995</v>
      </c>
      <c r="S19" s="49">
        <v>1.3283</v>
      </c>
      <c r="T19" s="49">
        <v>1.1194999999999999</v>
      </c>
      <c r="U19" s="48">
        <v>145.65</v>
      </c>
      <c r="V19" s="41">
        <v>1501.92</v>
      </c>
      <c r="W19" s="41">
        <v>1502.86</v>
      </c>
      <c r="X19" s="47">
        <f t="shared" si="5"/>
        <v>1782.0455560518089</v>
      </c>
      <c r="Y19" s="46">
        <v>1.3288</v>
      </c>
    </row>
    <row r="20" spans="2:25" x14ac:dyDescent="0.2">
      <c r="B20" s="45">
        <v>45796</v>
      </c>
      <c r="C20" s="44">
        <v>1969.5</v>
      </c>
      <c r="D20" s="43">
        <v>1970.5</v>
      </c>
      <c r="E20" s="42">
        <f t="shared" si="0"/>
        <v>1970</v>
      </c>
      <c r="F20" s="44">
        <v>1986</v>
      </c>
      <c r="G20" s="43">
        <v>1987</v>
      </c>
      <c r="H20" s="42">
        <f t="shared" si="1"/>
        <v>1986.5</v>
      </c>
      <c r="I20" s="44">
        <v>2050</v>
      </c>
      <c r="J20" s="43">
        <v>2055</v>
      </c>
      <c r="K20" s="42">
        <f t="shared" si="2"/>
        <v>2052.5</v>
      </c>
      <c r="L20" s="44">
        <v>2090</v>
      </c>
      <c r="M20" s="43">
        <v>2095</v>
      </c>
      <c r="N20" s="42">
        <f t="shared" si="3"/>
        <v>2092.5</v>
      </c>
      <c r="O20" s="44">
        <v>2135</v>
      </c>
      <c r="P20" s="43">
        <v>2140</v>
      </c>
      <c r="Q20" s="42">
        <f t="shared" si="4"/>
        <v>2137.5</v>
      </c>
      <c r="R20" s="50">
        <v>1970.5</v>
      </c>
      <c r="S20" s="49">
        <v>1.3382000000000001</v>
      </c>
      <c r="T20" s="49">
        <v>1.1273</v>
      </c>
      <c r="U20" s="48">
        <v>144.9</v>
      </c>
      <c r="V20" s="41">
        <v>1472.5</v>
      </c>
      <c r="W20" s="41">
        <v>1484.16</v>
      </c>
      <c r="X20" s="47">
        <f t="shared" si="5"/>
        <v>1747.9819036636211</v>
      </c>
      <c r="Y20" s="46">
        <v>1.3388</v>
      </c>
    </row>
    <row r="21" spans="2:25" x14ac:dyDescent="0.2">
      <c r="B21" s="45">
        <v>45797</v>
      </c>
      <c r="C21" s="44">
        <v>1956.5</v>
      </c>
      <c r="D21" s="43">
        <v>1957</v>
      </c>
      <c r="E21" s="42">
        <f t="shared" si="0"/>
        <v>1956.75</v>
      </c>
      <c r="F21" s="44">
        <v>1983</v>
      </c>
      <c r="G21" s="43">
        <v>1984</v>
      </c>
      <c r="H21" s="42">
        <f t="shared" si="1"/>
        <v>1983.5</v>
      </c>
      <c r="I21" s="44">
        <v>2050</v>
      </c>
      <c r="J21" s="43">
        <v>2055</v>
      </c>
      <c r="K21" s="42">
        <f t="shared" si="2"/>
        <v>2052.5</v>
      </c>
      <c r="L21" s="44">
        <v>2090</v>
      </c>
      <c r="M21" s="43">
        <v>2095</v>
      </c>
      <c r="N21" s="42">
        <f t="shared" si="3"/>
        <v>2092.5</v>
      </c>
      <c r="O21" s="44">
        <v>2135</v>
      </c>
      <c r="P21" s="43">
        <v>2140</v>
      </c>
      <c r="Q21" s="42">
        <f t="shared" si="4"/>
        <v>2137.5</v>
      </c>
      <c r="R21" s="50">
        <v>1957</v>
      </c>
      <c r="S21" s="49">
        <v>1.3362000000000001</v>
      </c>
      <c r="T21" s="49">
        <v>1.1246</v>
      </c>
      <c r="U21" s="48">
        <v>144.6</v>
      </c>
      <c r="V21" s="41">
        <v>1464.6</v>
      </c>
      <c r="W21" s="41">
        <v>1484.14</v>
      </c>
      <c r="X21" s="47">
        <f t="shared" si="5"/>
        <v>1740.174284189934</v>
      </c>
      <c r="Y21" s="46">
        <v>1.3368</v>
      </c>
    </row>
    <row r="22" spans="2:25" x14ac:dyDescent="0.2">
      <c r="B22" s="45">
        <v>45798</v>
      </c>
      <c r="C22" s="44">
        <v>1944</v>
      </c>
      <c r="D22" s="43">
        <v>1944.5</v>
      </c>
      <c r="E22" s="42">
        <f t="shared" si="0"/>
        <v>1944.25</v>
      </c>
      <c r="F22" s="44">
        <v>1968.5</v>
      </c>
      <c r="G22" s="43">
        <v>1969.5</v>
      </c>
      <c r="H22" s="42">
        <f t="shared" si="1"/>
        <v>1969</v>
      </c>
      <c r="I22" s="44">
        <v>2033</v>
      </c>
      <c r="J22" s="43">
        <v>2038</v>
      </c>
      <c r="K22" s="42">
        <f t="shared" si="2"/>
        <v>2035.5</v>
      </c>
      <c r="L22" s="44">
        <v>2073</v>
      </c>
      <c r="M22" s="43">
        <v>2078</v>
      </c>
      <c r="N22" s="42">
        <f t="shared" si="3"/>
        <v>2075.5</v>
      </c>
      <c r="O22" s="44">
        <v>2118</v>
      </c>
      <c r="P22" s="43">
        <v>2123</v>
      </c>
      <c r="Q22" s="42">
        <f t="shared" si="4"/>
        <v>2120.5</v>
      </c>
      <c r="R22" s="50">
        <v>1944.5</v>
      </c>
      <c r="S22" s="49">
        <v>1.3413999999999999</v>
      </c>
      <c r="T22" s="49">
        <v>1.1324000000000001</v>
      </c>
      <c r="U22" s="48">
        <v>143.75</v>
      </c>
      <c r="V22" s="41">
        <v>1449.6</v>
      </c>
      <c r="W22" s="41">
        <v>1467.59</v>
      </c>
      <c r="X22" s="47">
        <f t="shared" si="5"/>
        <v>1717.1494171670786</v>
      </c>
      <c r="Y22" s="46">
        <v>1.3420000000000001</v>
      </c>
    </row>
    <row r="23" spans="2:25" x14ac:dyDescent="0.2">
      <c r="B23" s="45">
        <v>45799</v>
      </c>
      <c r="C23" s="44">
        <v>1926.5</v>
      </c>
      <c r="D23" s="43">
        <v>1928.5</v>
      </c>
      <c r="E23" s="42">
        <f t="shared" si="0"/>
        <v>1927.5</v>
      </c>
      <c r="F23" s="44">
        <v>1950</v>
      </c>
      <c r="G23" s="43">
        <v>1952</v>
      </c>
      <c r="H23" s="42">
        <f t="shared" si="1"/>
        <v>1951</v>
      </c>
      <c r="I23" s="44">
        <v>2018</v>
      </c>
      <c r="J23" s="43">
        <v>2023</v>
      </c>
      <c r="K23" s="42">
        <f t="shared" si="2"/>
        <v>2020.5</v>
      </c>
      <c r="L23" s="44">
        <v>2058</v>
      </c>
      <c r="M23" s="43">
        <v>2063</v>
      </c>
      <c r="N23" s="42">
        <f t="shared" si="3"/>
        <v>2060.5</v>
      </c>
      <c r="O23" s="44">
        <v>2103</v>
      </c>
      <c r="P23" s="43">
        <v>2108</v>
      </c>
      <c r="Q23" s="42">
        <f t="shared" si="4"/>
        <v>2105.5</v>
      </c>
      <c r="R23" s="50">
        <v>1928.5</v>
      </c>
      <c r="S23" s="49">
        <v>1.3420000000000001</v>
      </c>
      <c r="T23" s="49">
        <v>1.1309</v>
      </c>
      <c r="U23" s="48">
        <v>143.37</v>
      </c>
      <c r="V23" s="41">
        <v>1437.03</v>
      </c>
      <c r="W23" s="41">
        <v>1453.9</v>
      </c>
      <c r="X23" s="47">
        <f t="shared" si="5"/>
        <v>1705.2789813422937</v>
      </c>
      <c r="Y23" s="46">
        <v>1.3426</v>
      </c>
    </row>
    <row r="24" spans="2:25" x14ac:dyDescent="0.2">
      <c r="B24" s="45">
        <v>45800</v>
      </c>
      <c r="C24" s="44">
        <v>1957.5</v>
      </c>
      <c r="D24" s="43">
        <v>1958</v>
      </c>
      <c r="E24" s="42">
        <f t="shared" si="0"/>
        <v>1957.75</v>
      </c>
      <c r="F24" s="44">
        <v>1980.5</v>
      </c>
      <c r="G24" s="43">
        <v>1981.5</v>
      </c>
      <c r="H24" s="42">
        <f t="shared" si="1"/>
        <v>1981</v>
      </c>
      <c r="I24" s="44">
        <v>2047</v>
      </c>
      <c r="J24" s="43">
        <v>2052</v>
      </c>
      <c r="K24" s="42">
        <f t="shared" si="2"/>
        <v>2049.5</v>
      </c>
      <c r="L24" s="44">
        <v>2087</v>
      </c>
      <c r="M24" s="43">
        <v>2092</v>
      </c>
      <c r="N24" s="42">
        <f t="shared" si="3"/>
        <v>2089.5</v>
      </c>
      <c r="O24" s="44">
        <v>2132</v>
      </c>
      <c r="P24" s="43">
        <v>2137</v>
      </c>
      <c r="Q24" s="42">
        <f t="shared" si="4"/>
        <v>2134.5</v>
      </c>
      <c r="R24" s="50">
        <v>1958</v>
      </c>
      <c r="S24" s="49">
        <v>1.3489</v>
      </c>
      <c r="T24" s="49">
        <v>1.1322000000000001</v>
      </c>
      <c r="U24" s="48">
        <v>142.63</v>
      </c>
      <c r="V24" s="41">
        <v>1451.55</v>
      </c>
      <c r="W24" s="41">
        <v>1468.32</v>
      </c>
      <c r="X24" s="47">
        <f t="shared" si="5"/>
        <v>1729.376435258788</v>
      </c>
      <c r="Y24" s="46">
        <v>1.3494999999999999</v>
      </c>
    </row>
    <row r="25" spans="2:25" x14ac:dyDescent="0.2">
      <c r="B25" s="45">
        <v>45804</v>
      </c>
      <c r="C25" s="44">
        <v>1963.5</v>
      </c>
      <c r="D25" s="43">
        <v>1964</v>
      </c>
      <c r="E25" s="42">
        <f t="shared" si="0"/>
        <v>1963.75</v>
      </c>
      <c r="F25" s="44">
        <v>1983.5</v>
      </c>
      <c r="G25" s="43">
        <v>1984</v>
      </c>
      <c r="H25" s="42">
        <f t="shared" si="1"/>
        <v>1983.75</v>
      </c>
      <c r="I25" s="44">
        <v>2050</v>
      </c>
      <c r="J25" s="43">
        <v>2055</v>
      </c>
      <c r="K25" s="42">
        <f t="shared" si="2"/>
        <v>2052.5</v>
      </c>
      <c r="L25" s="44">
        <v>2090</v>
      </c>
      <c r="M25" s="43">
        <v>2095</v>
      </c>
      <c r="N25" s="42">
        <f t="shared" si="3"/>
        <v>2092.5</v>
      </c>
      <c r="O25" s="44">
        <v>2135</v>
      </c>
      <c r="P25" s="43">
        <v>2140</v>
      </c>
      <c r="Q25" s="42">
        <f t="shared" si="4"/>
        <v>2137.5</v>
      </c>
      <c r="R25" s="50">
        <v>1964</v>
      </c>
      <c r="S25" s="49">
        <v>1.3548</v>
      </c>
      <c r="T25" s="49">
        <v>1.1352</v>
      </c>
      <c r="U25" s="48">
        <v>144.1</v>
      </c>
      <c r="V25" s="41">
        <v>1449.66</v>
      </c>
      <c r="W25" s="41">
        <v>1463.77</v>
      </c>
      <c r="X25" s="47">
        <f t="shared" si="5"/>
        <v>1730.091613812544</v>
      </c>
      <c r="Y25" s="46">
        <v>1.3553999999999999</v>
      </c>
    </row>
    <row r="26" spans="2:25" x14ac:dyDescent="0.2">
      <c r="B26" s="45">
        <v>45805</v>
      </c>
      <c r="C26" s="44">
        <v>1958</v>
      </c>
      <c r="D26" s="43">
        <v>1960</v>
      </c>
      <c r="E26" s="42">
        <f t="shared" si="0"/>
        <v>1959</v>
      </c>
      <c r="F26" s="44">
        <v>1978</v>
      </c>
      <c r="G26" s="43">
        <v>1979</v>
      </c>
      <c r="H26" s="42">
        <f t="shared" si="1"/>
        <v>1978.5</v>
      </c>
      <c r="I26" s="44">
        <v>2050</v>
      </c>
      <c r="J26" s="43">
        <v>2055</v>
      </c>
      <c r="K26" s="42">
        <f t="shared" si="2"/>
        <v>2052.5</v>
      </c>
      <c r="L26" s="44">
        <v>2090</v>
      </c>
      <c r="M26" s="43">
        <v>2095</v>
      </c>
      <c r="N26" s="42">
        <f t="shared" si="3"/>
        <v>2092.5</v>
      </c>
      <c r="O26" s="44">
        <v>2135</v>
      </c>
      <c r="P26" s="43">
        <v>2140</v>
      </c>
      <c r="Q26" s="42">
        <f t="shared" si="4"/>
        <v>2137.5</v>
      </c>
      <c r="R26" s="50">
        <v>1960</v>
      </c>
      <c r="S26" s="49">
        <v>1.3479000000000001</v>
      </c>
      <c r="T26" s="49">
        <v>1.1317999999999999</v>
      </c>
      <c r="U26" s="48">
        <v>144.41999999999999</v>
      </c>
      <c r="V26" s="41">
        <v>1454.11</v>
      </c>
      <c r="W26" s="41">
        <v>1467.56</v>
      </c>
      <c r="X26" s="47">
        <f t="shared" si="5"/>
        <v>1731.7547269835661</v>
      </c>
      <c r="Y26" s="46">
        <v>1.3485</v>
      </c>
    </row>
    <row r="27" spans="2:25" x14ac:dyDescent="0.2">
      <c r="B27" s="45">
        <v>45806</v>
      </c>
      <c r="C27" s="44">
        <v>1955</v>
      </c>
      <c r="D27" s="43">
        <v>1957</v>
      </c>
      <c r="E27" s="42">
        <f t="shared" si="0"/>
        <v>1956</v>
      </c>
      <c r="F27" s="44">
        <v>1977.5</v>
      </c>
      <c r="G27" s="43">
        <v>1978.5</v>
      </c>
      <c r="H27" s="42">
        <f t="shared" si="1"/>
        <v>1978</v>
      </c>
      <c r="I27" s="44">
        <v>2045</v>
      </c>
      <c r="J27" s="43">
        <v>2050</v>
      </c>
      <c r="K27" s="42">
        <f t="shared" si="2"/>
        <v>2047.5</v>
      </c>
      <c r="L27" s="44">
        <v>2085</v>
      </c>
      <c r="M27" s="43">
        <v>2090</v>
      </c>
      <c r="N27" s="42">
        <f t="shared" si="3"/>
        <v>2087.5</v>
      </c>
      <c r="O27" s="44">
        <v>2130</v>
      </c>
      <c r="P27" s="43">
        <v>2135</v>
      </c>
      <c r="Q27" s="42">
        <f t="shared" si="4"/>
        <v>2132.5</v>
      </c>
      <c r="R27" s="50">
        <v>1957</v>
      </c>
      <c r="S27" s="49">
        <v>1.3461000000000001</v>
      </c>
      <c r="T27" s="49">
        <v>1.1271</v>
      </c>
      <c r="U27" s="48">
        <v>145.09</v>
      </c>
      <c r="V27" s="41">
        <v>1453.83</v>
      </c>
      <c r="W27" s="41">
        <v>1469.15</v>
      </c>
      <c r="X27" s="47">
        <f t="shared" si="5"/>
        <v>1736.3144352763729</v>
      </c>
      <c r="Y27" s="46">
        <v>1.3467</v>
      </c>
    </row>
    <row r="28" spans="2:25" x14ac:dyDescent="0.2">
      <c r="B28" s="45">
        <v>45807</v>
      </c>
      <c r="C28" s="44">
        <v>1925.5</v>
      </c>
      <c r="D28" s="43">
        <v>1926</v>
      </c>
      <c r="E28" s="42">
        <f t="shared" si="0"/>
        <v>1925.75</v>
      </c>
      <c r="F28" s="44">
        <v>1955</v>
      </c>
      <c r="G28" s="43">
        <v>1956</v>
      </c>
      <c r="H28" s="42">
        <f t="shared" si="1"/>
        <v>1955.5</v>
      </c>
      <c r="I28" s="44">
        <v>2022</v>
      </c>
      <c r="J28" s="43">
        <v>2027</v>
      </c>
      <c r="K28" s="42">
        <f t="shared" si="2"/>
        <v>2024.5</v>
      </c>
      <c r="L28" s="44">
        <v>2062</v>
      </c>
      <c r="M28" s="43">
        <v>2067</v>
      </c>
      <c r="N28" s="42">
        <f t="shared" si="3"/>
        <v>2064.5</v>
      </c>
      <c r="O28" s="44">
        <v>2107</v>
      </c>
      <c r="P28" s="43">
        <v>2112</v>
      </c>
      <c r="Q28" s="42">
        <f t="shared" si="4"/>
        <v>2109.5</v>
      </c>
      <c r="R28" s="50">
        <v>1926</v>
      </c>
      <c r="S28" s="49">
        <v>1.3475999999999999</v>
      </c>
      <c r="T28" s="49">
        <v>1.1338999999999999</v>
      </c>
      <c r="U28" s="48">
        <v>143.85</v>
      </c>
      <c r="V28" s="41">
        <v>1429.21</v>
      </c>
      <c r="W28" s="41">
        <v>1450.82</v>
      </c>
      <c r="X28" s="47">
        <f t="shared" si="5"/>
        <v>1698.5624834641503</v>
      </c>
      <c r="Y28" s="46">
        <v>1.3482000000000001</v>
      </c>
    </row>
    <row r="29" spans="2:25" x14ac:dyDescent="0.2">
      <c r="B29" s="40" t="s">
        <v>11</v>
      </c>
      <c r="C29" s="39">
        <f>ROUND(AVERAGE(C9:C28),2)</f>
        <v>1957</v>
      </c>
      <c r="D29" s="38">
        <f>ROUND(AVERAGE(D9:D28),2)</f>
        <v>1958.28</v>
      </c>
      <c r="E29" s="37">
        <f>ROUND(AVERAGE(C29:D29),2)</f>
        <v>1957.64</v>
      </c>
      <c r="F29" s="39">
        <f>ROUND(AVERAGE(F9:F28),2)</f>
        <v>1970.95</v>
      </c>
      <c r="G29" s="38">
        <f>ROUND(AVERAGE(G9:G28),2)</f>
        <v>1972.2</v>
      </c>
      <c r="H29" s="37">
        <f>ROUND(AVERAGE(F29:G29),2)</f>
        <v>1971.58</v>
      </c>
      <c r="I29" s="39">
        <f>ROUND(AVERAGE(I9:I28),2)</f>
        <v>2040.1</v>
      </c>
      <c r="J29" s="38">
        <f>ROUND(AVERAGE(J9:J28),2)</f>
        <v>2045.1</v>
      </c>
      <c r="K29" s="37">
        <f>ROUND(AVERAGE(I29:J29),2)</f>
        <v>2042.6</v>
      </c>
      <c r="L29" s="39">
        <f>ROUND(AVERAGE(L9:L28),2)</f>
        <v>2083.1</v>
      </c>
      <c r="M29" s="38">
        <f>ROUND(AVERAGE(M9:M28),2)</f>
        <v>2088.1</v>
      </c>
      <c r="N29" s="37">
        <f>ROUND(AVERAGE(L29:M29),2)</f>
        <v>2085.6</v>
      </c>
      <c r="O29" s="39">
        <f>ROUND(AVERAGE(O9:O28),2)</f>
        <v>2128.1</v>
      </c>
      <c r="P29" s="38">
        <f>ROUND(AVERAGE(P9:P28),2)</f>
        <v>2133.1</v>
      </c>
      <c r="Q29" s="37">
        <f>ROUND(AVERAGE(O29:P29),2)</f>
        <v>2130.6</v>
      </c>
      <c r="R29" s="36">
        <f>ROUND(AVERAGE(R9:R28),2)</f>
        <v>1958.28</v>
      </c>
      <c r="S29" s="35">
        <f>ROUND(AVERAGE(S9:S28),4)</f>
        <v>1.3363</v>
      </c>
      <c r="T29" s="34">
        <f>ROUND(AVERAGE(T9:T28),4)</f>
        <v>1.1274</v>
      </c>
      <c r="U29" s="167">
        <f>ROUND(AVERAGE(U9:U28),2)</f>
        <v>144.78</v>
      </c>
      <c r="V29" s="33">
        <f>AVERAGE(V9:V28)</f>
        <v>1465.6259999999997</v>
      </c>
      <c r="W29" s="33">
        <f>AVERAGE(W9:W28)</f>
        <v>1475.3685000000003</v>
      </c>
      <c r="X29" s="33">
        <f>AVERAGE(X9:X28)</f>
        <v>1737.2141521190292</v>
      </c>
      <c r="Y29" s="32">
        <f>AVERAGE(Y9:Y28)</f>
        <v>1.3368349999999998</v>
      </c>
    </row>
    <row r="30" spans="2:25" x14ac:dyDescent="0.2">
      <c r="B30" s="31" t="s">
        <v>12</v>
      </c>
      <c r="C30" s="30">
        <f t="shared" ref="C30:Y30" si="6">MAX(C9:C28)</f>
        <v>1998</v>
      </c>
      <c r="D30" s="29">
        <f t="shared" si="6"/>
        <v>1998.5</v>
      </c>
      <c r="E30" s="28">
        <f t="shared" si="6"/>
        <v>1998.25</v>
      </c>
      <c r="F30" s="30">
        <f t="shared" si="6"/>
        <v>1997</v>
      </c>
      <c r="G30" s="29">
        <f t="shared" si="6"/>
        <v>1999</v>
      </c>
      <c r="H30" s="28">
        <f t="shared" si="6"/>
        <v>1998</v>
      </c>
      <c r="I30" s="30">
        <f t="shared" si="6"/>
        <v>2063</v>
      </c>
      <c r="J30" s="29">
        <f t="shared" si="6"/>
        <v>2068</v>
      </c>
      <c r="K30" s="28">
        <f t="shared" si="6"/>
        <v>2065.5</v>
      </c>
      <c r="L30" s="30">
        <f t="shared" si="6"/>
        <v>2103</v>
      </c>
      <c r="M30" s="29">
        <f t="shared" si="6"/>
        <v>2108</v>
      </c>
      <c r="N30" s="28">
        <f t="shared" si="6"/>
        <v>2105.5</v>
      </c>
      <c r="O30" s="30">
        <f t="shared" si="6"/>
        <v>2148</v>
      </c>
      <c r="P30" s="29">
        <f t="shared" si="6"/>
        <v>2153</v>
      </c>
      <c r="Q30" s="28">
        <f t="shared" si="6"/>
        <v>2150.5</v>
      </c>
      <c r="R30" s="27">
        <f t="shared" si="6"/>
        <v>1998.5</v>
      </c>
      <c r="S30" s="26">
        <f t="shared" si="6"/>
        <v>1.3548</v>
      </c>
      <c r="T30" s="25">
        <f t="shared" si="6"/>
        <v>1.1357999999999999</v>
      </c>
      <c r="U30" s="24">
        <f t="shared" si="6"/>
        <v>148.12</v>
      </c>
      <c r="V30" s="23">
        <f t="shared" si="6"/>
        <v>1516.54</v>
      </c>
      <c r="W30" s="23">
        <f t="shared" si="6"/>
        <v>1510.66</v>
      </c>
      <c r="X30" s="23">
        <f t="shared" si="6"/>
        <v>1798.5061195104392</v>
      </c>
      <c r="Y30" s="22">
        <f t="shared" si="6"/>
        <v>1.3553999999999999</v>
      </c>
    </row>
    <row r="31" spans="2:25" ht="13.5" thickBot="1" x14ac:dyDescent="0.25">
      <c r="B31" s="21" t="s">
        <v>13</v>
      </c>
      <c r="C31" s="20">
        <f t="shared" ref="C31:Y31" si="7">MIN(C9:C28)</f>
        <v>1912</v>
      </c>
      <c r="D31" s="19">
        <f t="shared" si="7"/>
        <v>1912.5</v>
      </c>
      <c r="E31" s="18">
        <f t="shared" si="7"/>
        <v>1912.25</v>
      </c>
      <c r="F31" s="20">
        <f t="shared" si="7"/>
        <v>1932.5</v>
      </c>
      <c r="G31" s="19">
        <f t="shared" si="7"/>
        <v>1934.5</v>
      </c>
      <c r="H31" s="18">
        <f t="shared" si="7"/>
        <v>1933.5</v>
      </c>
      <c r="I31" s="20">
        <f t="shared" si="7"/>
        <v>2008</v>
      </c>
      <c r="J31" s="19">
        <f t="shared" si="7"/>
        <v>2013</v>
      </c>
      <c r="K31" s="18">
        <f t="shared" si="7"/>
        <v>2010.5</v>
      </c>
      <c r="L31" s="20">
        <f t="shared" si="7"/>
        <v>2058</v>
      </c>
      <c r="M31" s="19">
        <f t="shared" si="7"/>
        <v>2063</v>
      </c>
      <c r="N31" s="18">
        <f t="shared" si="7"/>
        <v>2060.5</v>
      </c>
      <c r="O31" s="20">
        <f t="shared" si="7"/>
        <v>2103</v>
      </c>
      <c r="P31" s="19">
        <f t="shared" si="7"/>
        <v>2108</v>
      </c>
      <c r="Q31" s="18">
        <f t="shared" si="7"/>
        <v>2105.5</v>
      </c>
      <c r="R31" s="17">
        <f t="shared" si="7"/>
        <v>1912.5</v>
      </c>
      <c r="S31" s="16">
        <f t="shared" si="7"/>
        <v>1.3178000000000001</v>
      </c>
      <c r="T31" s="15">
        <f t="shared" si="7"/>
        <v>1.1107</v>
      </c>
      <c r="U31" s="14">
        <f t="shared" si="7"/>
        <v>142.63</v>
      </c>
      <c r="V31" s="13">
        <f t="shared" si="7"/>
        <v>1429.21</v>
      </c>
      <c r="W31" s="13">
        <f t="shared" si="7"/>
        <v>1448.52</v>
      </c>
      <c r="X31" s="13">
        <f t="shared" si="7"/>
        <v>1683.8351822503962</v>
      </c>
      <c r="Y31" s="12">
        <f t="shared" si="7"/>
        <v>1.3183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Q19" sqref="Q1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29</v>
      </c>
    </row>
    <row r="6" spans="1:19" ht="13.5" thickBot="1" x14ac:dyDescent="0.25">
      <c r="B6" s="1">
        <v>45778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3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45778</v>
      </c>
      <c r="C9" s="44">
        <v>30690</v>
      </c>
      <c r="D9" s="43">
        <v>30710</v>
      </c>
      <c r="E9" s="42">
        <f t="shared" ref="E9:E28" si="0">AVERAGE(C9:D9)</f>
        <v>30700</v>
      </c>
      <c r="F9" s="44">
        <v>30850</v>
      </c>
      <c r="G9" s="43">
        <v>30950</v>
      </c>
      <c r="H9" s="42">
        <f t="shared" ref="H9:H28" si="1">AVERAGE(F9:G9)</f>
        <v>30900</v>
      </c>
      <c r="I9" s="44">
        <v>30975</v>
      </c>
      <c r="J9" s="43">
        <v>31025</v>
      </c>
      <c r="K9" s="42">
        <f t="shared" ref="K9:K28" si="2">AVERAGE(I9:J9)</f>
        <v>31000</v>
      </c>
      <c r="L9" s="50">
        <v>30710</v>
      </c>
      <c r="M9" s="49">
        <v>1.3325</v>
      </c>
      <c r="N9" s="51">
        <v>1.1321000000000001</v>
      </c>
      <c r="O9" s="48">
        <v>144.49</v>
      </c>
      <c r="P9" s="41">
        <f>L9/M9</f>
        <v>23046.904315196996</v>
      </c>
      <c r="Q9" s="41">
        <f>G9/M9</f>
        <v>23227.016885553472</v>
      </c>
      <c r="R9" s="47">
        <f t="shared" ref="R9:R28" si="3">L9/N9</f>
        <v>27126.578924123307</v>
      </c>
      <c r="S9" s="46">
        <v>1.333</v>
      </c>
    </row>
    <row r="10" spans="1:19" x14ac:dyDescent="0.2">
      <c r="B10" s="45">
        <v>45779</v>
      </c>
      <c r="C10" s="44">
        <v>30850</v>
      </c>
      <c r="D10" s="43">
        <v>30855</v>
      </c>
      <c r="E10" s="42">
        <f t="shared" si="0"/>
        <v>30852.5</v>
      </c>
      <c r="F10" s="44">
        <v>30995</v>
      </c>
      <c r="G10" s="43">
        <v>31000</v>
      </c>
      <c r="H10" s="42">
        <f t="shared" si="1"/>
        <v>30997.5</v>
      </c>
      <c r="I10" s="44">
        <v>31075</v>
      </c>
      <c r="J10" s="43">
        <v>31125</v>
      </c>
      <c r="K10" s="42">
        <f t="shared" si="2"/>
        <v>31100</v>
      </c>
      <c r="L10" s="50">
        <v>30855</v>
      </c>
      <c r="M10" s="49">
        <v>1.3293999999999999</v>
      </c>
      <c r="N10" s="49">
        <v>1.1347</v>
      </c>
      <c r="O10" s="48">
        <v>144.56</v>
      </c>
      <c r="P10" s="41">
        <f t="shared" ref="P10:P28" si="4">L10/M10</f>
        <v>23209.718670076727</v>
      </c>
      <c r="Q10" s="41">
        <f t="shared" ref="Q10:Q28" si="5">G10/M10</f>
        <v>23318.790431773734</v>
      </c>
      <c r="R10" s="47">
        <f t="shared" si="3"/>
        <v>27192.209394553625</v>
      </c>
      <c r="S10" s="46">
        <v>1.3299000000000001</v>
      </c>
    </row>
    <row r="11" spans="1:19" x14ac:dyDescent="0.2">
      <c r="B11" s="45">
        <v>45783</v>
      </c>
      <c r="C11" s="44">
        <v>31650</v>
      </c>
      <c r="D11" s="43">
        <v>31700</v>
      </c>
      <c r="E11" s="42">
        <f t="shared" si="0"/>
        <v>31675</v>
      </c>
      <c r="F11" s="44">
        <v>31900</v>
      </c>
      <c r="G11" s="43">
        <v>31950</v>
      </c>
      <c r="H11" s="42">
        <f t="shared" si="1"/>
        <v>31925</v>
      </c>
      <c r="I11" s="44">
        <v>31960</v>
      </c>
      <c r="J11" s="43">
        <v>32010</v>
      </c>
      <c r="K11" s="42">
        <f t="shared" si="2"/>
        <v>31985</v>
      </c>
      <c r="L11" s="50">
        <v>31700</v>
      </c>
      <c r="M11" s="49">
        <v>1.3371</v>
      </c>
      <c r="N11" s="49">
        <v>1.1329</v>
      </c>
      <c r="O11" s="48">
        <v>142.78</v>
      </c>
      <c r="P11" s="41">
        <f t="shared" si="4"/>
        <v>23708.024829855658</v>
      </c>
      <c r="Q11" s="41">
        <f t="shared" si="5"/>
        <v>23894.996634507515</v>
      </c>
      <c r="R11" s="47">
        <f t="shared" si="3"/>
        <v>27981.286962662194</v>
      </c>
      <c r="S11" s="46">
        <v>1.3378000000000001</v>
      </c>
    </row>
    <row r="12" spans="1:19" x14ac:dyDescent="0.2">
      <c r="B12" s="45">
        <v>45784</v>
      </c>
      <c r="C12" s="44">
        <v>31300</v>
      </c>
      <c r="D12" s="43">
        <v>31350</v>
      </c>
      <c r="E12" s="42">
        <f t="shared" si="0"/>
        <v>31325</v>
      </c>
      <c r="F12" s="44">
        <v>31500</v>
      </c>
      <c r="G12" s="43">
        <v>31505</v>
      </c>
      <c r="H12" s="42">
        <f t="shared" si="1"/>
        <v>31502.5</v>
      </c>
      <c r="I12" s="44">
        <v>31560</v>
      </c>
      <c r="J12" s="43">
        <v>31610</v>
      </c>
      <c r="K12" s="42">
        <f t="shared" si="2"/>
        <v>31585</v>
      </c>
      <c r="L12" s="50">
        <v>31350</v>
      </c>
      <c r="M12" s="49">
        <v>1.3348</v>
      </c>
      <c r="N12" s="49">
        <v>1.1357999999999999</v>
      </c>
      <c r="O12" s="48">
        <v>143.4</v>
      </c>
      <c r="P12" s="41">
        <f t="shared" si="4"/>
        <v>23486.66466886425</v>
      </c>
      <c r="Q12" s="41">
        <f t="shared" si="5"/>
        <v>23602.78693437219</v>
      </c>
      <c r="R12" s="47">
        <f t="shared" si="3"/>
        <v>27601.690438457477</v>
      </c>
      <c r="S12" s="46">
        <v>1.3354999999999999</v>
      </c>
    </row>
    <row r="13" spans="1:19" x14ac:dyDescent="0.2">
      <c r="B13" s="45">
        <v>45785</v>
      </c>
      <c r="C13" s="44">
        <v>31850</v>
      </c>
      <c r="D13" s="43">
        <v>31900</v>
      </c>
      <c r="E13" s="42">
        <f t="shared" si="0"/>
        <v>31875</v>
      </c>
      <c r="F13" s="44">
        <v>31965</v>
      </c>
      <c r="G13" s="43">
        <v>31985</v>
      </c>
      <c r="H13" s="42">
        <f t="shared" si="1"/>
        <v>31975</v>
      </c>
      <c r="I13" s="44">
        <v>32040</v>
      </c>
      <c r="J13" s="43">
        <v>32090</v>
      </c>
      <c r="K13" s="42">
        <f t="shared" si="2"/>
        <v>32065</v>
      </c>
      <c r="L13" s="50">
        <v>31900</v>
      </c>
      <c r="M13" s="49">
        <v>1.3327</v>
      </c>
      <c r="N13" s="49">
        <v>1.1295999999999999</v>
      </c>
      <c r="O13" s="48">
        <v>144.65</v>
      </c>
      <c r="P13" s="41">
        <f t="shared" si="4"/>
        <v>23936.36977564343</v>
      </c>
      <c r="Q13" s="41">
        <f t="shared" si="5"/>
        <v>24000.150071283861</v>
      </c>
      <c r="R13" s="47">
        <f t="shared" si="3"/>
        <v>28240.084985835696</v>
      </c>
      <c r="S13" s="46">
        <v>1.3331999999999999</v>
      </c>
    </row>
    <row r="14" spans="1:19" x14ac:dyDescent="0.2">
      <c r="B14" s="45">
        <v>45786</v>
      </c>
      <c r="C14" s="44">
        <v>31740</v>
      </c>
      <c r="D14" s="43">
        <v>31745</v>
      </c>
      <c r="E14" s="42">
        <f t="shared" si="0"/>
        <v>31742.5</v>
      </c>
      <c r="F14" s="44">
        <v>31650</v>
      </c>
      <c r="G14" s="43">
        <v>31700</v>
      </c>
      <c r="H14" s="42">
        <f t="shared" si="1"/>
        <v>31675</v>
      </c>
      <c r="I14" s="44">
        <v>31730</v>
      </c>
      <c r="J14" s="43">
        <v>31780</v>
      </c>
      <c r="K14" s="42">
        <f t="shared" si="2"/>
        <v>31755</v>
      </c>
      <c r="L14" s="50">
        <v>31745</v>
      </c>
      <c r="M14" s="49">
        <v>1.3277000000000001</v>
      </c>
      <c r="N14" s="49">
        <v>1.1254999999999999</v>
      </c>
      <c r="O14" s="48">
        <v>145.13</v>
      </c>
      <c r="P14" s="41">
        <f t="shared" si="4"/>
        <v>23909.768773066204</v>
      </c>
      <c r="Q14" s="41">
        <f t="shared" si="5"/>
        <v>23875.875574301423</v>
      </c>
      <c r="R14" s="47">
        <f t="shared" si="3"/>
        <v>28205.242114615728</v>
      </c>
      <c r="S14" s="46">
        <v>1.3282</v>
      </c>
    </row>
    <row r="15" spans="1:19" x14ac:dyDescent="0.2">
      <c r="B15" s="45">
        <v>45789</v>
      </c>
      <c r="C15" s="44">
        <v>32595</v>
      </c>
      <c r="D15" s="43">
        <v>32605</v>
      </c>
      <c r="E15" s="42">
        <f t="shared" si="0"/>
        <v>32600</v>
      </c>
      <c r="F15" s="44">
        <v>32475</v>
      </c>
      <c r="G15" s="43">
        <v>32500</v>
      </c>
      <c r="H15" s="42">
        <f t="shared" si="1"/>
        <v>32487.5</v>
      </c>
      <c r="I15" s="44">
        <v>32495</v>
      </c>
      <c r="J15" s="43">
        <v>32545</v>
      </c>
      <c r="K15" s="42">
        <f t="shared" si="2"/>
        <v>32520</v>
      </c>
      <c r="L15" s="50">
        <v>32605</v>
      </c>
      <c r="M15" s="49">
        <v>1.3178000000000001</v>
      </c>
      <c r="N15" s="49">
        <v>1.1112</v>
      </c>
      <c r="O15" s="48">
        <v>147.87</v>
      </c>
      <c r="P15" s="41">
        <f t="shared" si="4"/>
        <v>24741.99423281226</v>
      </c>
      <c r="Q15" s="41">
        <f t="shared" si="5"/>
        <v>24662.315981180753</v>
      </c>
      <c r="R15" s="47">
        <f t="shared" si="3"/>
        <v>29342.152627789779</v>
      </c>
      <c r="S15" s="46">
        <v>1.3183</v>
      </c>
    </row>
    <row r="16" spans="1:19" x14ac:dyDescent="0.2">
      <c r="B16" s="45">
        <v>45790</v>
      </c>
      <c r="C16" s="44">
        <v>32600</v>
      </c>
      <c r="D16" s="43">
        <v>32620</v>
      </c>
      <c r="E16" s="42">
        <f t="shared" si="0"/>
        <v>32610</v>
      </c>
      <c r="F16" s="44">
        <v>32745</v>
      </c>
      <c r="G16" s="43">
        <v>32750</v>
      </c>
      <c r="H16" s="42">
        <f t="shared" si="1"/>
        <v>32747.5</v>
      </c>
      <c r="I16" s="44">
        <v>32630</v>
      </c>
      <c r="J16" s="43">
        <v>32680</v>
      </c>
      <c r="K16" s="42">
        <f t="shared" si="2"/>
        <v>32655</v>
      </c>
      <c r="L16" s="50">
        <v>32620</v>
      </c>
      <c r="M16" s="49">
        <v>1.3213999999999999</v>
      </c>
      <c r="N16" s="49">
        <v>1.1107</v>
      </c>
      <c r="O16" s="48">
        <v>148.12</v>
      </c>
      <c r="P16" s="41">
        <f>L16/M16</f>
        <v>24685.9391554412</v>
      </c>
      <c r="Q16" s="41">
        <f t="shared" si="5"/>
        <v>24784.319660965644</v>
      </c>
      <c r="R16" s="47">
        <f t="shared" si="3"/>
        <v>29368.866480597822</v>
      </c>
      <c r="S16" s="46">
        <v>1.3219000000000001</v>
      </c>
    </row>
    <row r="17" spans="2:19" x14ac:dyDescent="0.2">
      <c r="B17" s="45">
        <v>45791</v>
      </c>
      <c r="C17" s="44">
        <v>33000</v>
      </c>
      <c r="D17" s="43">
        <v>33025</v>
      </c>
      <c r="E17" s="42">
        <f t="shared" si="0"/>
        <v>33012.5</v>
      </c>
      <c r="F17" s="44">
        <v>32995</v>
      </c>
      <c r="G17" s="43">
        <v>33000</v>
      </c>
      <c r="H17" s="42">
        <f t="shared" si="1"/>
        <v>32997.5</v>
      </c>
      <c r="I17" s="44">
        <v>32910</v>
      </c>
      <c r="J17" s="43">
        <v>32960</v>
      </c>
      <c r="K17" s="42">
        <f t="shared" si="2"/>
        <v>32935</v>
      </c>
      <c r="L17" s="50">
        <v>33025</v>
      </c>
      <c r="M17" s="49">
        <v>1.3333999999999999</v>
      </c>
      <c r="N17" s="49">
        <v>1.1217999999999999</v>
      </c>
      <c r="O17" s="48">
        <v>146.18</v>
      </c>
      <c r="P17" s="41">
        <f t="shared" si="4"/>
        <v>24767.511624418781</v>
      </c>
      <c r="Q17" s="41">
        <f t="shared" si="5"/>
        <v>24748.762561871907</v>
      </c>
      <c r="R17" s="47">
        <f t="shared" si="3"/>
        <v>29439.293991798899</v>
      </c>
      <c r="S17" s="46">
        <v>1.3340000000000001</v>
      </c>
    </row>
    <row r="18" spans="2:19" x14ac:dyDescent="0.2">
      <c r="B18" s="45">
        <v>45792</v>
      </c>
      <c r="C18" s="44">
        <v>32900</v>
      </c>
      <c r="D18" s="43">
        <v>32950</v>
      </c>
      <c r="E18" s="42">
        <f t="shared" si="0"/>
        <v>32925</v>
      </c>
      <c r="F18" s="44">
        <v>32975</v>
      </c>
      <c r="G18" s="43">
        <v>33025</v>
      </c>
      <c r="H18" s="42">
        <f t="shared" si="1"/>
        <v>33000</v>
      </c>
      <c r="I18" s="44">
        <v>32925</v>
      </c>
      <c r="J18" s="43">
        <v>32975</v>
      </c>
      <c r="K18" s="42">
        <f t="shared" si="2"/>
        <v>32950</v>
      </c>
      <c r="L18" s="50">
        <v>32950</v>
      </c>
      <c r="M18" s="49">
        <v>1.327</v>
      </c>
      <c r="N18" s="49">
        <v>1.1183000000000001</v>
      </c>
      <c r="O18" s="48">
        <v>146.09</v>
      </c>
      <c r="P18" s="41">
        <f t="shared" si="4"/>
        <v>24830.444611906558</v>
      </c>
      <c r="Q18" s="41">
        <f>G18/M18</f>
        <v>24886.963074604373</v>
      </c>
      <c r="R18" s="47">
        <f t="shared" si="3"/>
        <v>29464.365554860055</v>
      </c>
      <c r="S18" s="46">
        <v>1.3275999999999999</v>
      </c>
    </row>
    <row r="19" spans="2:19" x14ac:dyDescent="0.2">
      <c r="B19" s="45">
        <v>45793</v>
      </c>
      <c r="C19" s="44">
        <v>32815</v>
      </c>
      <c r="D19" s="43">
        <v>32835</v>
      </c>
      <c r="E19" s="42">
        <f t="shared" si="0"/>
        <v>32825</v>
      </c>
      <c r="F19" s="44">
        <v>32850</v>
      </c>
      <c r="G19" s="43">
        <v>32900</v>
      </c>
      <c r="H19" s="42">
        <f t="shared" si="1"/>
        <v>32875</v>
      </c>
      <c r="I19" s="44">
        <v>32830</v>
      </c>
      <c r="J19" s="43">
        <v>32880</v>
      </c>
      <c r="K19" s="42">
        <f t="shared" si="2"/>
        <v>32855</v>
      </c>
      <c r="L19" s="50">
        <v>32835</v>
      </c>
      <c r="M19" s="49">
        <v>1.3283</v>
      </c>
      <c r="N19" s="49">
        <v>1.1194999999999999</v>
      </c>
      <c r="O19" s="48">
        <v>145.65</v>
      </c>
      <c r="P19" s="41">
        <f t="shared" si="4"/>
        <v>24719.5663630204</v>
      </c>
      <c r="Q19" s="41">
        <f t="shared" si="5"/>
        <v>24768.501091620867</v>
      </c>
      <c r="R19" s="47">
        <f t="shared" si="3"/>
        <v>29330.05806163466</v>
      </c>
      <c r="S19" s="46">
        <v>1.3288</v>
      </c>
    </row>
    <row r="20" spans="2:19" x14ac:dyDescent="0.2">
      <c r="B20" s="45">
        <v>45796</v>
      </c>
      <c r="C20" s="44">
        <v>32900</v>
      </c>
      <c r="D20" s="43">
        <v>32950</v>
      </c>
      <c r="E20" s="42">
        <f t="shared" si="0"/>
        <v>32925</v>
      </c>
      <c r="F20" s="44">
        <v>32860</v>
      </c>
      <c r="G20" s="43">
        <v>32870</v>
      </c>
      <c r="H20" s="42">
        <f t="shared" si="1"/>
        <v>32865</v>
      </c>
      <c r="I20" s="44">
        <v>32825</v>
      </c>
      <c r="J20" s="43">
        <v>32875</v>
      </c>
      <c r="K20" s="42">
        <f t="shared" si="2"/>
        <v>32850</v>
      </c>
      <c r="L20" s="50">
        <v>32950</v>
      </c>
      <c r="M20" s="49">
        <v>1.3382000000000001</v>
      </c>
      <c r="N20" s="49">
        <v>1.1273</v>
      </c>
      <c r="O20" s="48">
        <v>144.9</v>
      </c>
      <c r="P20" s="41">
        <f t="shared" si="4"/>
        <v>24622.627409953668</v>
      </c>
      <c r="Q20" s="41">
        <f t="shared" si="5"/>
        <v>24562.845613510686</v>
      </c>
      <c r="R20" s="47">
        <f t="shared" si="3"/>
        <v>29229.131553268875</v>
      </c>
      <c r="S20" s="46">
        <v>1.3388</v>
      </c>
    </row>
    <row r="21" spans="2:19" x14ac:dyDescent="0.2">
      <c r="B21" s="45">
        <v>45797</v>
      </c>
      <c r="C21" s="44">
        <v>32865</v>
      </c>
      <c r="D21" s="43">
        <v>32885</v>
      </c>
      <c r="E21" s="42">
        <f t="shared" si="0"/>
        <v>32875</v>
      </c>
      <c r="F21" s="44">
        <v>32950</v>
      </c>
      <c r="G21" s="43">
        <v>33000</v>
      </c>
      <c r="H21" s="42">
        <f t="shared" si="1"/>
        <v>32975</v>
      </c>
      <c r="I21" s="44">
        <v>32910</v>
      </c>
      <c r="J21" s="43">
        <v>32960</v>
      </c>
      <c r="K21" s="42">
        <f t="shared" si="2"/>
        <v>32935</v>
      </c>
      <c r="L21" s="50">
        <v>32885</v>
      </c>
      <c r="M21" s="49">
        <v>1.3362000000000001</v>
      </c>
      <c r="N21" s="49">
        <v>1.1246</v>
      </c>
      <c r="O21" s="48">
        <v>144.6</v>
      </c>
      <c r="P21" s="41">
        <f t="shared" si="4"/>
        <v>24610.836701092649</v>
      </c>
      <c r="Q21" s="41">
        <f t="shared" si="5"/>
        <v>24696.901661427928</v>
      </c>
      <c r="R21" s="47">
        <f t="shared" si="3"/>
        <v>29241.508091765962</v>
      </c>
      <c r="S21" s="46">
        <v>1.3368</v>
      </c>
    </row>
    <row r="22" spans="2:19" x14ac:dyDescent="0.2">
      <c r="B22" s="45">
        <v>45798</v>
      </c>
      <c r="C22" s="44">
        <v>33000</v>
      </c>
      <c r="D22" s="43">
        <v>33025</v>
      </c>
      <c r="E22" s="42">
        <f t="shared" si="0"/>
        <v>33012.5</v>
      </c>
      <c r="F22" s="44">
        <v>33165</v>
      </c>
      <c r="G22" s="43">
        <v>33185</v>
      </c>
      <c r="H22" s="42">
        <f t="shared" si="1"/>
        <v>33175</v>
      </c>
      <c r="I22" s="44">
        <v>33110</v>
      </c>
      <c r="J22" s="43">
        <v>33160</v>
      </c>
      <c r="K22" s="42">
        <f t="shared" si="2"/>
        <v>33135</v>
      </c>
      <c r="L22" s="50">
        <v>33025</v>
      </c>
      <c r="M22" s="49">
        <v>1.3413999999999999</v>
      </c>
      <c r="N22" s="49">
        <v>1.1324000000000001</v>
      </c>
      <c r="O22" s="48">
        <v>143.75</v>
      </c>
      <c r="P22" s="41">
        <f t="shared" si="4"/>
        <v>24619.800208737142</v>
      </c>
      <c r="Q22" s="41">
        <f t="shared" si="5"/>
        <v>24739.078574623531</v>
      </c>
      <c r="R22" s="47">
        <f t="shared" si="3"/>
        <v>29163.723066054397</v>
      </c>
      <c r="S22" s="46">
        <v>1.3420000000000001</v>
      </c>
    </row>
    <row r="23" spans="2:19" x14ac:dyDescent="0.2">
      <c r="B23" s="45">
        <v>45799</v>
      </c>
      <c r="C23" s="44">
        <v>32300</v>
      </c>
      <c r="D23" s="43">
        <v>32400</v>
      </c>
      <c r="E23" s="42">
        <f t="shared" si="0"/>
        <v>32350</v>
      </c>
      <c r="F23" s="44">
        <v>32525</v>
      </c>
      <c r="G23" s="43">
        <v>32550</v>
      </c>
      <c r="H23" s="42">
        <f t="shared" si="1"/>
        <v>32537.5</v>
      </c>
      <c r="I23" s="44">
        <v>32500</v>
      </c>
      <c r="J23" s="43">
        <v>32550</v>
      </c>
      <c r="K23" s="42">
        <f t="shared" si="2"/>
        <v>32525</v>
      </c>
      <c r="L23" s="50">
        <v>32400</v>
      </c>
      <c r="M23" s="49">
        <v>1.3420000000000001</v>
      </c>
      <c r="N23" s="49">
        <v>1.1309</v>
      </c>
      <c r="O23" s="48">
        <v>143.37</v>
      </c>
      <c r="P23" s="41">
        <f t="shared" si="4"/>
        <v>24143.070044709388</v>
      </c>
      <c r="Q23" s="41">
        <f t="shared" si="5"/>
        <v>24254.843517138597</v>
      </c>
      <c r="R23" s="47">
        <f t="shared" si="3"/>
        <v>28649.747988327879</v>
      </c>
      <c r="S23" s="46">
        <v>1.3426</v>
      </c>
    </row>
    <row r="24" spans="2:19" x14ac:dyDescent="0.2">
      <c r="B24" s="45">
        <v>45800</v>
      </c>
      <c r="C24" s="44">
        <v>32650</v>
      </c>
      <c r="D24" s="43">
        <v>32695</v>
      </c>
      <c r="E24" s="42">
        <f t="shared" si="0"/>
        <v>32672.5</v>
      </c>
      <c r="F24" s="44">
        <v>32725</v>
      </c>
      <c r="G24" s="43">
        <v>32750</v>
      </c>
      <c r="H24" s="42">
        <f t="shared" si="1"/>
        <v>32737.5</v>
      </c>
      <c r="I24" s="44">
        <v>32690</v>
      </c>
      <c r="J24" s="43">
        <v>32740</v>
      </c>
      <c r="K24" s="42">
        <f t="shared" si="2"/>
        <v>32715</v>
      </c>
      <c r="L24" s="50">
        <v>32695</v>
      </c>
      <c r="M24" s="49">
        <v>1.3489</v>
      </c>
      <c r="N24" s="49">
        <v>1.1322000000000001</v>
      </c>
      <c r="O24" s="48">
        <v>142.63</v>
      </c>
      <c r="P24" s="41">
        <f t="shared" si="4"/>
        <v>24238.268218548448</v>
      </c>
      <c r="Q24" s="41">
        <f t="shared" si="5"/>
        <v>24279.04218251909</v>
      </c>
      <c r="R24" s="47">
        <f t="shared" si="3"/>
        <v>28877.406818583288</v>
      </c>
      <c r="S24" s="46">
        <v>1.3494999999999999</v>
      </c>
    </row>
    <row r="25" spans="2:19" x14ac:dyDescent="0.2">
      <c r="B25" s="45">
        <v>45804</v>
      </c>
      <c r="C25" s="44">
        <v>32405</v>
      </c>
      <c r="D25" s="43">
        <v>32455</v>
      </c>
      <c r="E25" s="42">
        <f t="shared" si="0"/>
        <v>32430</v>
      </c>
      <c r="F25" s="44">
        <v>32625</v>
      </c>
      <c r="G25" s="43">
        <v>32650</v>
      </c>
      <c r="H25" s="42">
        <f t="shared" si="1"/>
        <v>32637.5</v>
      </c>
      <c r="I25" s="44">
        <v>32595</v>
      </c>
      <c r="J25" s="43">
        <v>32645</v>
      </c>
      <c r="K25" s="42">
        <f t="shared" si="2"/>
        <v>32620</v>
      </c>
      <c r="L25" s="50">
        <v>32455</v>
      </c>
      <c r="M25" s="49">
        <v>1.3548</v>
      </c>
      <c r="N25" s="49">
        <v>1.1352</v>
      </c>
      <c r="O25" s="48">
        <v>144.1</v>
      </c>
      <c r="P25" s="41">
        <f t="shared" si="4"/>
        <v>23955.565397106584</v>
      </c>
      <c r="Q25" s="41">
        <f t="shared" si="5"/>
        <v>24099.498080897549</v>
      </c>
      <c r="R25" s="47">
        <f t="shared" si="3"/>
        <v>28589.675828047923</v>
      </c>
      <c r="S25" s="46">
        <v>1.3553999999999999</v>
      </c>
    </row>
    <row r="26" spans="2:19" x14ac:dyDescent="0.2">
      <c r="B26" s="45">
        <v>45805</v>
      </c>
      <c r="C26" s="44">
        <v>31760</v>
      </c>
      <c r="D26" s="43">
        <v>31765</v>
      </c>
      <c r="E26" s="42">
        <f t="shared" si="0"/>
        <v>31762.5</v>
      </c>
      <c r="F26" s="44">
        <v>31850</v>
      </c>
      <c r="G26" s="43">
        <v>31900</v>
      </c>
      <c r="H26" s="42">
        <f t="shared" si="1"/>
        <v>31875</v>
      </c>
      <c r="I26" s="44">
        <v>31830</v>
      </c>
      <c r="J26" s="43">
        <v>31880</v>
      </c>
      <c r="K26" s="42">
        <f t="shared" si="2"/>
        <v>31855</v>
      </c>
      <c r="L26" s="50">
        <v>31765</v>
      </c>
      <c r="M26" s="49">
        <v>1.3479000000000001</v>
      </c>
      <c r="N26" s="49">
        <v>1.1317999999999999</v>
      </c>
      <c r="O26" s="48">
        <v>144.41999999999999</v>
      </c>
      <c r="P26" s="41">
        <f t="shared" si="4"/>
        <v>23566.288300319015</v>
      </c>
      <c r="Q26" s="41">
        <f t="shared" si="5"/>
        <v>23666.444098226868</v>
      </c>
      <c r="R26" s="47">
        <f t="shared" si="3"/>
        <v>28065.912705424988</v>
      </c>
      <c r="S26" s="46">
        <v>1.3485</v>
      </c>
    </row>
    <row r="27" spans="2:19" x14ac:dyDescent="0.2">
      <c r="B27" s="45">
        <v>45806</v>
      </c>
      <c r="C27" s="44">
        <v>31575</v>
      </c>
      <c r="D27" s="43">
        <v>31625</v>
      </c>
      <c r="E27" s="42">
        <f t="shared" si="0"/>
        <v>31600</v>
      </c>
      <c r="F27" s="44">
        <v>31615</v>
      </c>
      <c r="G27" s="43">
        <v>31635</v>
      </c>
      <c r="H27" s="42">
        <f t="shared" si="1"/>
        <v>31625</v>
      </c>
      <c r="I27" s="44">
        <v>31575</v>
      </c>
      <c r="J27" s="43">
        <v>31625</v>
      </c>
      <c r="K27" s="42">
        <f t="shared" si="2"/>
        <v>31600</v>
      </c>
      <c r="L27" s="50">
        <v>31625</v>
      </c>
      <c r="M27" s="49">
        <v>1.3461000000000001</v>
      </c>
      <c r="N27" s="49">
        <v>1.1271</v>
      </c>
      <c r="O27" s="48">
        <v>145.09</v>
      </c>
      <c r="P27" s="41">
        <f t="shared" si="4"/>
        <v>23493.796894732932</v>
      </c>
      <c r="Q27" s="41">
        <f t="shared" si="5"/>
        <v>23501.225763316244</v>
      </c>
      <c r="R27" s="47">
        <f t="shared" si="3"/>
        <v>28058.734806139651</v>
      </c>
      <c r="S27" s="46">
        <v>1.3467</v>
      </c>
    </row>
    <row r="28" spans="2:19" x14ac:dyDescent="0.2">
      <c r="B28" s="45">
        <v>45807</v>
      </c>
      <c r="C28" s="44">
        <v>30725</v>
      </c>
      <c r="D28" s="43">
        <v>30775</v>
      </c>
      <c r="E28" s="42">
        <f t="shared" si="0"/>
        <v>30750</v>
      </c>
      <c r="F28" s="44">
        <v>30500</v>
      </c>
      <c r="G28" s="43">
        <v>30550</v>
      </c>
      <c r="H28" s="42">
        <f t="shared" si="1"/>
        <v>30525</v>
      </c>
      <c r="I28" s="44">
        <v>30500</v>
      </c>
      <c r="J28" s="43">
        <v>30550</v>
      </c>
      <c r="K28" s="42">
        <f t="shared" si="2"/>
        <v>30525</v>
      </c>
      <c r="L28" s="50">
        <v>30775</v>
      </c>
      <c r="M28" s="49">
        <v>1.3475999999999999</v>
      </c>
      <c r="N28" s="49">
        <v>1.1338999999999999</v>
      </c>
      <c r="O28" s="48">
        <v>143.85</v>
      </c>
      <c r="P28" s="41">
        <f t="shared" si="4"/>
        <v>22836.895221133869</v>
      </c>
      <c r="Q28" s="41">
        <f t="shared" si="5"/>
        <v>22669.931730483826</v>
      </c>
      <c r="R28" s="47">
        <f t="shared" si="3"/>
        <v>27140.841344033866</v>
      </c>
      <c r="S28" s="46">
        <v>1.3482000000000001</v>
      </c>
    </row>
    <row r="29" spans="2:19" x14ac:dyDescent="0.2">
      <c r="B29" s="40" t="s">
        <v>11</v>
      </c>
      <c r="C29" s="39">
        <f>ROUND(AVERAGE(C9:C28),2)</f>
        <v>32108.5</v>
      </c>
      <c r="D29" s="38">
        <f>ROUND(AVERAGE(D9:D28),2)</f>
        <v>32143.5</v>
      </c>
      <c r="E29" s="37">
        <f>ROUND(AVERAGE(C29:D29),2)</f>
        <v>32126</v>
      </c>
      <c r="F29" s="39">
        <f>ROUND(AVERAGE(F9:F28),2)</f>
        <v>32185.75</v>
      </c>
      <c r="G29" s="38">
        <f>ROUND(AVERAGE(G9:G28),2)</f>
        <v>32217.75</v>
      </c>
      <c r="H29" s="37">
        <f>ROUND(AVERAGE(F29:G29),2)</f>
        <v>32201.75</v>
      </c>
      <c r="I29" s="39">
        <f>ROUND(AVERAGE(I9:I28),2)</f>
        <v>32183.25</v>
      </c>
      <c r="J29" s="38">
        <f>ROUND(AVERAGE(J9:J28),2)</f>
        <v>32233.25</v>
      </c>
      <c r="K29" s="37">
        <f>ROUND(AVERAGE(I29:J29),2)</f>
        <v>32208.25</v>
      </c>
      <c r="L29" s="36">
        <f>ROUND(AVERAGE(L9:L28),2)</f>
        <v>32143.5</v>
      </c>
      <c r="M29" s="35">
        <f>ROUND(AVERAGE(M9:M28),4)</f>
        <v>1.3363</v>
      </c>
      <c r="N29" s="34">
        <f>ROUND(AVERAGE(N9:N28),4)</f>
        <v>1.1274</v>
      </c>
      <c r="O29" s="167">
        <f>ROUND(AVERAGE(O9:O28),2)</f>
        <v>144.78</v>
      </c>
      <c r="P29" s="33">
        <f>AVERAGE(P9:P28)</f>
        <v>24056.502770831808</v>
      </c>
      <c r="Q29" s="33">
        <f>AVERAGE(Q9:Q28)</f>
        <v>24112.014506209005</v>
      </c>
      <c r="R29" s="33">
        <f>AVERAGE(R9:R28)</f>
        <v>28515.425586928799</v>
      </c>
      <c r="S29" s="32">
        <f>AVERAGE(S9:S28)</f>
        <v>1.3368349999999998</v>
      </c>
    </row>
    <row r="30" spans="2:19" x14ac:dyDescent="0.2">
      <c r="B30" s="31" t="s">
        <v>12</v>
      </c>
      <c r="C30" s="30">
        <f t="shared" ref="C30:S30" si="6">MAX(C9:C28)</f>
        <v>33000</v>
      </c>
      <c r="D30" s="29">
        <f t="shared" si="6"/>
        <v>33025</v>
      </c>
      <c r="E30" s="28">
        <f t="shared" si="6"/>
        <v>33012.5</v>
      </c>
      <c r="F30" s="30">
        <f t="shared" si="6"/>
        <v>33165</v>
      </c>
      <c r="G30" s="29">
        <f t="shared" si="6"/>
        <v>33185</v>
      </c>
      <c r="H30" s="28">
        <f t="shared" si="6"/>
        <v>33175</v>
      </c>
      <c r="I30" s="30">
        <f t="shared" si="6"/>
        <v>33110</v>
      </c>
      <c r="J30" s="29">
        <f t="shared" si="6"/>
        <v>33160</v>
      </c>
      <c r="K30" s="28">
        <f t="shared" si="6"/>
        <v>33135</v>
      </c>
      <c r="L30" s="27">
        <f t="shared" si="6"/>
        <v>33025</v>
      </c>
      <c r="M30" s="26">
        <f t="shared" si="6"/>
        <v>1.3548</v>
      </c>
      <c r="N30" s="25">
        <f t="shared" si="6"/>
        <v>1.1357999999999999</v>
      </c>
      <c r="O30" s="24">
        <f t="shared" si="6"/>
        <v>148.12</v>
      </c>
      <c r="P30" s="23">
        <f t="shared" si="6"/>
        <v>24830.444611906558</v>
      </c>
      <c r="Q30" s="23">
        <f t="shared" si="6"/>
        <v>24886.963074604373</v>
      </c>
      <c r="R30" s="23">
        <f t="shared" si="6"/>
        <v>29464.365554860055</v>
      </c>
      <c r="S30" s="22">
        <f t="shared" si="6"/>
        <v>1.3553999999999999</v>
      </c>
    </row>
    <row r="31" spans="2:19" ht="13.5" thickBot="1" x14ac:dyDescent="0.25">
      <c r="B31" s="21" t="s">
        <v>13</v>
      </c>
      <c r="C31" s="20">
        <f t="shared" ref="C31:S31" si="7">MIN(C9:C28)</f>
        <v>30690</v>
      </c>
      <c r="D31" s="19">
        <f t="shared" si="7"/>
        <v>30710</v>
      </c>
      <c r="E31" s="18">
        <f t="shared" si="7"/>
        <v>30700</v>
      </c>
      <c r="F31" s="20">
        <f t="shared" si="7"/>
        <v>30500</v>
      </c>
      <c r="G31" s="19">
        <f t="shared" si="7"/>
        <v>30550</v>
      </c>
      <c r="H31" s="18">
        <f t="shared" si="7"/>
        <v>30525</v>
      </c>
      <c r="I31" s="20">
        <f t="shared" si="7"/>
        <v>30500</v>
      </c>
      <c r="J31" s="19">
        <f t="shared" si="7"/>
        <v>30550</v>
      </c>
      <c r="K31" s="18">
        <f t="shared" si="7"/>
        <v>30525</v>
      </c>
      <c r="L31" s="17">
        <f t="shared" si="7"/>
        <v>30710</v>
      </c>
      <c r="M31" s="16">
        <f t="shared" si="7"/>
        <v>1.3178000000000001</v>
      </c>
      <c r="N31" s="15">
        <f t="shared" si="7"/>
        <v>1.1107</v>
      </c>
      <c r="O31" s="14">
        <f t="shared" si="7"/>
        <v>142.63</v>
      </c>
      <c r="P31" s="13">
        <f t="shared" si="7"/>
        <v>22836.895221133869</v>
      </c>
      <c r="Q31" s="13">
        <f t="shared" si="7"/>
        <v>22669.931730483826</v>
      </c>
      <c r="R31" s="13">
        <f t="shared" si="7"/>
        <v>27126.578924123307</v>
      </c>
      <c r="S31" s="12">
        <f t="shared" si="7"/>
        <v>1.3183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W28" sqref="W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25</v>
      </c>
    </row>
    <row r="6" spans="1:25" ht="13.5" thickBot="1" x14ac:dyDescent="0.25">
      <c r="B6" s="1">
        <v>45778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45778</v>
      </c>
      <c r="C9" s="44">
        <v>15000</v>
      </c>
      <c r="D9" s="43">
        <v>15005</v>
      </c>
      <c r="E9" s="42">
        <f t="shared" ref="E9:E28" si="0">AVERAGE(C9:D9)</f>
        <v>15002.5</v>
      </c>
      <c r="F9" s="44">
        <v>15210</v>
      </c>
      <c r="G9" s="43">
        <v>15215</v>
      </c>
      <c r="H9" s="42">
        <f t="shared" ref="H9:H28" si="1">AVERAGE(F9:G9)</f>
        <v>15212.5</v>
      </c>
      <c r="I9" s="44">
        <v>16200</v>
      </c>
      <c r="J9" s="43">
        <v>16250</v>
      </c>
      <c r="K9" s="42">
        <f t="shared" ref="K9:K28" si="2">AVERAGE(I9:J9)</f>
        <v>16225</v>
      </c>
      <c r="L9" s="44">
        <v>16885</v>
      </c>
      <c r="M9" s="43">
        <v>16935</v>
      </c>
      <c r="N9" s="42">
        <f t="shared" ref="N9:N28" si="3">AVERAGE(L9:M9)</f>
        <v>16910</v>
      </c>
      <c r="O9" s="44">
        <v>17585</v>
      </c>
      <c r="P9" s="43">
        <v>17635</v>
      </c>
      <c r="Q9" s="42">
        <f t="shared" ref="Q9:Q28" si="4">AVERAGE(O9:P9)</f>
        <v>17610</v>
      </c>
      <c r="R9" s="50">
        <v>15005</v>
      </c>
      <c r="S9" s="49">
        <v>1.3325</v>
      </c>
      <c r="T9" s="51">
        <v>1.1321000000000001</v>
      </c>
      <c r="U9" s="48">
        <v>144.49</v>
      </c>
      <c r="V9" s="41">
        <f>R9/S9</f>
        <v>11260.787992495309</v>
      </c>
      <c r="W9" s="41">
        <f>G9/S9</f>
        <v>11418.386491557223</v>
      </c>
      <c r="X9" s="47">
        <f t="shared" ref="X9:X28" si="5">R9/T9</f>
        <v>13254.129493860964</v>
      </c>
      <c r="Y9" s="46">
        <v>1.333</v>
      </c>
    </row>
    <row r="10" spans="1:25" x14ac:dyDescent="0.2">
      <c r="B10" s="45">
        <v>45779</v>
      </c>
      <c r="C10" s="44">
        <v>15300</v>
      </c>
      <c r="D10" s="43">
        <v>15325</v>
      </c>
      <c r="E10" s="42">
        <f t="shared" si="0"/>
        <v>15312.5</v>
      </c>
      <c r="F10" s="44">
        <v>15500</v>
      </c>
      <c r="G10" s="43">
        <v>15525</v>
      </c>
      <c r="H10" s="42">
        <f t="shared" si="1"/>
        <v>15512.5</v>
      </c>
      <c r="I10" s="44">
        <v>16500</v>
      </c>
      <c r="J10" s="43">
        <v>16550</v>
      </c>
      <c r="K10" s="42">
        <f t="shared" si="2"/>
        <v>16525</v>
      </c>
      <c r="L10" s="44">
        <v>17185</v>
      </c>
      <c r="M10" s="43">
        <v>17235</v>
      </c>
      <c r="N10" s="42">
        <f t="shared" si="3"/>
        <v>17210</v>
      </c>
      <c r="O10" s="44">
        <v>17885</v>
      </c>
      <c r="P10" s="43">
        <v>17935</v>
      </c>
      <c r="Q10" s="42">
        <f t="shared" si="4"/>
        <v>17910</v>
      </c>
      <c r="R10" s="50">
        <v>15325</v>
      </c>
      <c r="S10" s="49">
        <v>1.3293999999999999</v>
      </c>
      <c r="T10" s="49">
        <v>1.1347</v>
      </c>
      <c r="U10" s="48">
        <v>144.56</v>
      </c>
      <c r="V10" s="41">
        <f t="shared" ref="V10:V28" si="6">R10/S10</f>
        <v>11527.756882804273</v>
      </c>
      <c r="W10" s="41">
        <f t="shared" ref="W10:W28" si="7">G10/S10</f>
        <v>11678.200692041522</v>
      </c>
      <c r="X10" s="47">
        <f t="shared" si="5"/>
        <v>13505.772450868071</v>
      </c>
      <c r="Y10" s="46">
        <v>1.3299000000000001</v>
      </c>
    </row>
    <row r="11" spans="1:25" x14ac:dyDescent="0.2">
      <c r="B11" s="45">
        <v>45783</v>
      </c>
      <c r="C11" s="44">
        <v>15430</v>
      </c>
      <c r="D11" s="43">
        <v>15440</v>
      </c>
      <c r="E11" s="42">
        <f t="shared" si="0"/>
        <v>15435</v>
      </c>
      <c r="F11" s="44">
        <v>15620</v>
      </c>
      <c r="G11" s="43">
        <v>15625</v>
      </c>
      <c r="H11" s="42">
        <f t="shared" si="1"/>
        <v>15622.5</v>
      </c>
      <c r="I11" s="44">
        <v>16595</v>
      </c>
      <c r="J11" s="43">
        <v>16645</v>
      </c>
      <c r="K11" s="42">
        <f t="shared" si="2"/>
        <v>16620</v>
      </c>
      <c r="L11" s="44">
        <v>17280</v>
      </c>
      <c r="M11" s="43">
        <v>17330</v>
      </c>
      <c r="N11" s="42">
        <f t="shared" si="3"/>
        <v>17305</v>
      </c>
      <c r="O11" s="44">
        <v>17980</v>
      </c>
      <c r="P11" s="43">
        <v>18030</v>
      </c>
      <c r="Q11" s="42">
        <f t="shared" si="4"/>
        <v>18005</v>
      </c>
      <c r="R11" s="50">
        <v>15440</v>
      </c>
      <c r="S11" s="49">
        <v>1.3371</v>
      </c>
      <c r="T11" s="49">
        <v>1.1329</v>
      </c>
      <c r="U11" s="48">
        <v>142.78</v>
      </c>
      <c r="V11" s="41">
        <f t="shared" si="6"/>
        <v>11547.378655298782</v>
      </c>
      <c r="W11" s="41">
        <f t="shared" si="7"/>
        <v>11685.737790741157</v>
      </c>
      <c r="X11" s="47">
        <f t="shared" si="5"/>
        <v>13628.740400741459</v>
      </c>
      <c r="Y11" s="46">
        <v>1.3378000000000001</v>
      </c>
    </row>
    <row r="12" spans="1:25" x14ac:dyDescent="0.2">
      <c r="B12" s="45">
        <v>45784</v>
      </c>
      <c r="C12" s="44">
        <v>15350</v>
      </c>
      <c r="D12" s="43">
        <v>15355</v>
      </c>
      <c r="E12" s="42">
        <f t="shared" si="0"/>
        <v>15352.5</v>
      </c>
      <c r="F12" s="44">
        <v>15530</v>
      </c>
      <c r="G12" s="43">
        <v>15535</v>
      </c>
      <c r="H12" s="42">
        <f t="shared" si="1"/>
        <v>15532.5</v>
      </c>
      <c r="I12" s="44">
        <v>16515</v>
      </c>
      <c r="J12" s="43">
        <v>16565</v>
      </c>
      <c r="K12" s="42">
        <f t="shared" si="2"/>
        <v>16540</v>
      </c>
      <c r="L12" s="44">
        <v>17200</v>
      </c>
      <c r="M12" s="43">
        <v>17250</v>
      </c>
      <c r="N12" s="42">
        <f t="shared" si="3"/>
        <v>17225</v>
      </c>
      <c r="O12" s="44">
        <v>17900</v>
      </c>
      <c r="P12" s="43">
        <v>17950</v>
      </c>
      <c r="Q12" s="42">
        <f t="shared" si="4"/>
        <v>17925</v>
      </c>
      <c r="R12" s="50">
        <v>15355</v>
      </c>
      <c r="S12" s="49">
        <v>1.3348</v>
      </c>
      <c r="T12" s="49">
        <v>1.1357999999999999</v>
      </c>
      <c r="U12" s="48">
        <v>143.4</v>
      </c>
      <c r="V12" s="41">
        <f t="shared" si="6"/>
        <v>11503.596044351214</v>
      </c>
      <c r="W12" s="41">
        <f t="shared" si="7"/>
        <v>11638.447707521726</v>
      </c>
      <c r="X12" s="47">
        <f t="shared" si="5"/>
        <v>13519.105476316254</v>
      </c>
      <c r="Y12" s="46">
        <v>1.3354999999999999</v>
      </c>
    </row>
    <row r="13" spans="1:25" x14ac:dyDescent="0.2">
      <c r="B13" s="45">
        <v>45785</v>
      </c>
      <c r="C13" s="44">
        <v>15370</v>
      </c>
      <c r="D13" s="43">
        <v>15375</v>
      </c>
      <c r="E13" s="42">
        <f t="shared" si="0"/>
        <v>15372.5</v>
      </c>
      <c r="F13" s="44">
        <v>15555</v>
      </c>
      <c r="G13" s="43">
        <v>15565</v>
      </c>
      <c r="H13" s="42">
        <f t="shared" si="1"/>
        <v>15560</v>
      </c>
      <c r="I13" s="44">
        <v>16545</v>
      </c>
      <c r="J13" s="43">
        <v>16595</v>
      </c>
      <c r="K13" s="42">
        <f t="shared" si="2"/>
        <v>16570</v>
      </c>
      <c r="L13" s="44">
        <v>17235</v>
      </c>
      <c r="M13" s="43">
        <v>17285</v>
      </c>
      <c r="N13" s="42">
        <f t="shared" si="3"/>
        <v>17260</v>
      </c>
      <c r="O13" s="44">
        <v>17935</v>
      </c>
      <c r="P13" s="43">
        <v>17985</v>
      </c>
      <c r="Q13" s="42">
        <f t="shared" si="4"/>
        <v>17960</v>
      </c>
      <c r="R13" s="50">
        <v>15375</v>
      </c>
      <c r="S13" s="49">
        <v>1.3327</v>
      </c>
      <c r="T13" s="49">
        <v>1.1295999999999999</v>
      </c>
      <c r="U13" s="48">
        <v>144.65</v>
      </c>
      <c r="V13" s="41">
        <f t="shared" si="6"/>
        <v>11536.729946724694</v>
      </c>
      <c r="W13" s="41">
        <f t="shared" si="7"/>
        <v>11679.297666391536</v>
      </c>
      <c r="X13" s="47">
        <f t="shared" si="5"/>
        <v>13611.012747875355</v>
      </c>
      <c r="Y13" s="46">
        <v>1.3331999999999999</v>
      </c>
    </row>
    <row r="14" spans="1:25" x14ac:dyDescent="0.2">
      <c r="B14" s="45">
        <v>45786</v>
      </c>
      <c r="C14" s="44">
        <v>15445</v>
      </c>
      <c r="D14" s="43">
        <v>15460</v>
      </c>
      <c r="E14" s="42">
        <f t="shared" si="0"/>
        <v>15452.5</v>
      </c>
      <c r="F14" s="44">
        <v>15615</v>
      </c>
      <c r="G14" s="43">
        <v>15620</v>
      </c>
      <c r="H14" s="42">
        <f t="shared" si="1"/>
        <v>15617.5</v>
      </c>
      <c r="I14" s="44">
        <v>16590</v>
      </c>
      <c r="J14" s="43">
        <v>16640</v>
      </c>
      <c r="K14" s="42">
        <f t="shared" si="2"/>
        <v>16615</v>
      </c>
      <c r="L14" s="44">
        <v>17280</v>
      </c>
      <c r="M14" s="43">
        <v>17330</v>
      </c>
      <c r="N14" s="42">
        <f t="shared" si="3"/>
        <v>17305</v>
      </c>
      <c r="O14" s="44">
        <v>17980</v>
      </c>
      <c r="P14" s="43">
        <v>18030</v>
      </c>
      <c r="Q14" s="42">
        <f t="shared" si="4"/>
        <v>18005</v>
      </c>
      <c r="R14" s="50">
        <v>15460</v>
      </c>
      <c r="S14" s="49">
        <v>1.3277000000000001</v>
      </c>
      <c r="T14" s="49">
        <v>1.1254999999999999</v>
      </c>
      <c r="U14" s="48">
        <v>145.13</v>
      </c>
      <c r="V14" s="41">
        <f t="shared" si="6"/>
        <v>11644.196731189273</v>
      </c>
      <c r="W14" s="41">
        <f t="shared" si="7"/>
        <v>11764.705882352941</v>
      </c>
      <c r="X14" s="47">
        <f t="shared" si="5"/>
        <v>13736.117281208353</v>
      </c>
      <c r="Y14" s="46">
        <v>1.3282</v>
      </c>
    </row>
    <row r="15" spans="1:25" x14ac:dyDescent="0.2">
      <c r="B15" s="45">
        <v>45789</v>
      </c>
      <c r="C15" s="44">
        <v>15475</v>
      </c>
      <c r="D15" s="43">
        <v>15485</v>
      </c>
      <c r="E15" s="42">
        <f t="shared" si="0"/>
        <v>15480</v>
      </c>
      <c r="F15" s="44">
        <v>15675</v>
      </c>
      <c r="G15" s="43">
        <v>15680</v>
      </c>
      <c r="H15" s="42">
        <f t="shared" si="1"/>
        <v>15677.5</v>
      </c>
      <c r="I15" s="44">
        <v>16640</v>
      </c>
      <c r="J15" s="43">
        <v>16690</v>
      </c>
      <c r="K15" s="42">
        <f t="shared" si="2"/>
        <v>16665</v>
      </c>
      <c r="L15" s="44">
        <v>17330</v>
      </c>
      <c r="M15" s="43">
        <v>17380</v>
      </c>
      <c r="N15" s="42">
        <f t="shared" si="3"/>
        <v>17355</v>
      </c>
      <c r="O15" s="44">
        <v>18030</v>
      </c>
      <c r="P15" s="43">
        <v>18080</v>
      </c>
      <c r="Q15" s="42">
        <f t="shared" si="4"/>
        <v>18055</v>
      </c>
      <c r="R15" s="50">
        <v>15485</v>
      </c>
      <c r="S15" s="49">
        <v>1.3178000000000001</v>
      </c>
      <c r="T15" s="49">
        <v>1.1112</v>
      </c>
      <c r="U15" s="48">
        <v>147.87</v>
      </c>
      <c r="V15" s="41">
        <f t="shared" si="6"/>
        <v>11750.645014417969</v>
      </c>
      <c r="W15" s="41">
        <f t="shared" si="7"/>
        <v>11898.618910305053</v>
      </c>
      <c r="X15" s="47">
        <f t="shared" si="5"/>
        <v>13935.385169186466</v>
      </c>
      <c r="Y15" s="46">
        <v>1.3183</v>
      </c>
    </row>
    <row r="16" spans="1:25" x14ac:dyDescent="0.2">
      <c r="B16" s="45">
        <v>45790</v>
      </c>
      <c r="C16" s="44">
        <v>15470</v>
      </c>
      <c r="D16" s="43">
        <v>15475</v>
      </c>
      <c r="E16" s="42">
        <f t="shared" si="0"/>
        <v>15472.5</v>
      </c>
      <c r="F16" s="44">
        <v>15625</v>
      </c>
      <c r="G16" s="43">
        <v>15650</v>
      </c>
      <c r="H16" s="42">
        <f t="shared" si="1"/>
        <v>15637.5</v>
      </c>
      <c r="I16" s="44">
        <v>16595</v>
      </c>
      <c r="J16" s="43">
        <v>16645</v>
      </c>
      <c r="K16" s="42">
        <f t="shared" si="2"/>
        <v>16620</v>
      </c>
      <c r="L16" s="44">
        <v>17295</v>
      </c>
      <c r="M16" s="43">
        <v>17345</v>
      </c>
      <c r="N16" s="42">
        <f t="shared" si="3"/>
        <v>17320</v>
      </c>
      <c r="O16" s="44">
        <v>17995</v>
      </c>
      <c r="P16" s="43">
        <v>18045</v>
      </c>
      <c r="Q16" s="42">
        <f t="shared" si="4"/>
        <v>18020</v>
      </c>
      <c r="R16" s="50">
        <v>15475</v>
      </c>
      <c r="S16" s="49">
        <v>1.3213999999999999</v>
      </c>
      <c r="T16" s="49">
        <v>1.1107</v>
      </c>
      <c r="U16" s="48">
        <v>148.12</v>
      </c>
      <c r="V16" s="41">
        <f t="shared" si="6"/>
        <v>11711.064023005903</v>
      </c>
      <c r="W16" s="41">
        <f t="shared" si="7"/>
        <v>11843.499318904192</v>
      </c>
      <c r="X16" s="47">
        <f t="shared" si="5"/>
        <v>13932.655082380481</v>
      </c>
      <c r="Y16" s="46">
        <v>1.3219000000000001</v>
      </c>
    </row>
    <row r="17" spans="2:25" x14ac:dyDescent="0.2">
      <c r="B17" s="45">
        <v>45791</v>
      </c>
      <c r="C17" s="44">
        <v>15700</v>
      </c>
      <c r="D17" s="43">
        <v>15725</v>
      </c>
      <c r="E17" s="42">
        <f t="shared" si="0"/>
        <v>15712.5</v>
      </c>
      <c r="F17" s="44">
        <v>15910</v>
      </c>
      <c r="G17" s="43">
        <v>15920</v>
      </c>
      <c r="H17" s="42">
        <f t="shared" si="1"/>
        <v>15915</v>
      </c>
      <c r="I17" s="44">
        <v>16885</v>
      </c>
      <c r="J17" s="43">
        <v>16935</v>
      </c>
      <c r="K17" s="42">
        <f t="shared" si="2"/>
        <v>16910</v>
      </c>
      <c r="L17" s="44">
        <v>17585</v>
      </c>
      <c r="M17" s="43">
        <v>17635</v>
      </c>
      <c r="N17" s="42">
        <f t="shared" si="3"/>
        <v>17610</v>
      </c>
      <c r="O17" s="44">
        <v>18285</v>
      </c>
      <c r="P17" s="43">
        <v>18335</v>
      </c>
      <c r="Q17" s="42">
        <f t="shared" si="4"/>
        <v>18310</v>
      </c>
      <c r="R17" s="50">
        <v>15725</v>
      </c>
      <c r="S17" s="49">
        <v>1.3333999999999999</v>
      </c>
      <c r="T17" s="49">
        <v>1.1217999999999999</v>
      </c>
      <c r="U17" s="48">
        <v>146.18</v>
      </c>
      <c r="V17" s="41">
        <f t="shared" si="6"/>
        <v>11793.160341982901</v>
      </c>
      <c r="W17" s="41">
        <f t="shared" si="7"/>
        <v>11939.403029848509</v>
      </c>
      <c r="X17" s="47">
        <f t="shared" si="5"/>
        <v>14017.650205027636</v>
      </c>
      <c r="Y17" s="46">
        <v>1.3340000000000001</v>
      </c>
    </row>
    <row r="18" spans="2:25" x14ac:dyDescent="0.2">
      <c r="B18" s="45">
        <v>45792</v>
      </c>
      <c r="C18" s="44">
        <v>15465</v>
      </c>
      <c r="D18" s="43">
        <v>15475</v>
      </c>
      <c r="E18" s="42">
        <f t="shared" si="0"/>
        <v>15470</v>
      </c>
      <c r="F18" s="44">
        <v>15640</v>
      </c>
      <c r="G18" s="43">
        <v>15650</v>
      </c>
      <c r="H18" s="42">
        <f t="shared" si="1"/>
        <v>15645</v>
      </c>
      <c r="I18" s="44">
        <v>16610</v>
      </c>
      <c r="J18" s="43">
        <v>16660</v>
      </c>
      <c r="K18" s="42">
        <f t="shared" si="2"/>
        <v>16635</v>
      </c>
      <c r="L18" s="44">
        <v>17310</v>
      </c>
      <c r="M18" s="43">
        <v>17360</v>
      </c>
      <c r="N18" s="42">
        <f t="shared" si="3"/>
        <v>17335</v>
      </c>
      <c r="O18" s="44">
        <v>18010</v>
      </c>
      <c r="P18" s="43">
        <v>18060</v>
      </c>
      <c r="Q18" s="42">
        <f t="shared" si="4"/>
        <v>18035</v>
      </c>
      <c r="R18" s="50">
        <v>15475</v>
      </c>
      <c r="S18" s="49">
        <v>1.327</v>
      </c>
      <c r="T18" s="49">
        <v>1.1183000000000001</v>
      </c>
      <c r="U18" s="48">
        <v>146.09</v>
      </c>
      <c r="V18" s="41">
        <f t="shared" si="6"/>
        <v>11661.64280331575</v>
      </c>
      <c r="W18" s="41">
        <f t="shared" si="7"/>
        <v>11793.519216277318</v>
      </c>
      <c r="X18" s="47">
        <f t="shared" si="5"/>
        <v>13837.968344809084</v>
      </c>
      <c r="Y18" s="46">
        <v>1.3275999999999999</v>
      </c>
    </row>
    <row r="19" spans="2:25" x14ac:dyDescent="0.2">
      <c r="B19" s="45">
        <v>45793</v>
      </c>
      <c r="C19" s="44">
        <v>15425</v>
      </c>
      <c r="D19" s="43">
        <v>15435</v>
      </c>
      <c r="E19" s="42">
        <f t="shared" si="0"/>
        <v>15430</v>
      </c>
      <c r="F19" s="44">
        <v>15620</v>
      </c>
      <c r="G19" s="43">
        <v>15625</v>
      </c>
      <c r="H19" s="42">
        <f t="shared" si="1"/>
        <v>15622.5</v>
      </c>
      <c r="I19" s="44">
        <v>16580</v>
      </c>
      <c r="J19" s="43">
        <v>16630</v>
      </c>
      <c r="K19" s="42">
        <f t="shared" si="2"/>
        <v>16605</v>
      </c>
      <c r="L19" s="44">
        <v>17280</v>
      </c>
      <c r="M19" s="43">
        <v>17330</v>
      </c>
      <c r="N19" s="42">
        <f t="shared" si="3"/>
        <v>17305</v>
      </c>
      <c r="O19" s="44">
        <v>17980</v>
      </c>
      <c r="P19" s="43">
        <v>18030</v>
      </c>
      <c r="Q19" s="42">
        <f t="shared" si="4"/>
        <v>18005</v>
      </c>
      <c r="R19" s="50">
        <v>15435</v>
      </c>
      <c r="S19" s="49">
        <v>1.3283</v>
      </c>
      <c r="T19" s="49">
        <v>1.1194999999999999</v>
      </c>
      <c r="U19" s="48">
        <v>145.65</v>
      </c>
      <c r="V19" s="41">
        <f t="shared" si="6"/>
        <v>11620.115937664685</v>
      </c>
      <c r="W19" s="41">
        <f t="shared" si="7"/>
        <v>11763.155913573741</v>
      </c>
      <c r="X19" s="47">
        <f t="shared" si="5"/>
        <v>13787.405091558732</v>
      </c>
      <c r="Y19" s="46">
        <v>1.3288</v>
      </c>
    </row>
    <row r="20" spans="2:25" x14ac:dyDescent="0.2">
      <c r="B20" s="45">
        <v>45796</v>
      </c>
      <c r="C20" s="44">
        <v>15300</v>
      </c>
      <c r="D20" s="43">
        <v>15310</v>
      </c>
      <c r="E20" s="42">
        <f t="shared" si="0"/>
        <v>15305</v>
      </c>
      <c r="F20" s="44">
        <v>15450</v>
      </c>
      <c r="G20" s="43">
        <v>15460</v>
      </c>
      <c r="H20" s="42">
        <f t="shared" si="1"/>
        <v>15455</v>
      </c>
      <c r="I20" s="44">
        <v>16385</v>
      </c>
      <c r="J20" s="43">
        <v>16435</v>
      </c>
      <c r="K20" s="42">
        <f t="shared" si="2"/>
        <v>16410</v>
      </c>
      <c r="L20" s="44">
        <v>17080</v>
      </c>
      <c r="M20" s="43">
        <v>17130</v>
      </c>
      <c r="N20" s="42">
        <f t="shared" si="3"/>
        <v>17105</v>
      </c>
      <c r="O20" s="44">
        <v>17780</v>
      </c>
      <c r="P20" s="43">
        <v>17830</v>
      </c>
      <c r="Q20" s="42">
        <f t="shared" si="4"/>
        <v>17805</v>
      </c>
      <c r="R20" s="50">
        <v>15310</v>
      </c>
      <c r="S20" s="49">
        <v>1.3382000000000001</v>
      </c>
      <c r="T20" s="49">
        <v>1.1273</v>
      </c>
      <c r="U20" s="48">
        <v>144.9</v>
      </c>
      <c r="V20" s="41">
        <f t="shared" si="6"/>
        <v>11440.741294275893</v>
      </c>
      <c r="W20" s="41">
        <f t="shared" si="7"/>
        <v>11552.832162606486</v>
      </c>
      <c r="X20" s="47">
        <f t="shared" si="5"/>
        <v>13581.123037345871</v>
      </c>
      <c r="Y20" s="46">
        <v>1.3388</v>
      </c>
    </row>
    <row r="21" spans="2:25" x14ac:dyDescent="0.2">
      <c r="B21" s="45">
        <v>45797</v>
      </c>
      <c r="C21" s="44">
        <v>15340</v>
      </c>
      <c r="D21" s="43">
        <v>15350</v>
      </c>
      <c r="E21" s="42">
        <f t="shared" si="0"/>
        <v>15345</v>
      </c>
      <c r="F21" s="44">
        <v>15525</v>
      </c>
      <c r="G21" s="43">
        <v>15540</v>
      </c>
      <c r="H21" s="42">
        <f t="shared" si="1"/>
        <v>15532.5</v>
      </c>
      <c r="I21" s="44">
        <v>16470</v>
      </c>
      <c r="J21" s="43">
        <v>16520</v>
      </c>
      <c r="K21" s="42">
        <f t="shared" si="2"/>
        <v>16495</v>
      </c>
      <c r="L21" s="44">
        <v>17165</v>
      </c>
      <c r="M21" s="43">
        <v>17215</v>
      </c>
      <c r="N21" s="42">
        <f t="shared" si="3"/>
        <v>17190</v>
      </c>
      <c r="O21" s="44">
        <v>17865</v>
      </c>
      <c r="P21" s="43">
        <v>17915</v>
      </c>
      <c r="Q21" s="42">
        <f t="shared" si="4"/>
        <v>17890</v>
      </c>
      <c r="R21" s="50">
        <v>15350</v>
      </c>
      <c r="S21" s="49">
        <v>1.3362000000000001</v>
      </c>
      <c r="T21" s="49">
        <v>1.1246</v>
      </c>
      <c r="U21" s="48">
        <v>144.6</v>
      </c>
      <c r="V21" s="41">
        <f t="shared" si="6"/>
        <v>11487.801227361173</v>
      </c>
      <c r="W21" s="41">
        <f t="shared" si="7"/>
        <v>11629.995509654244</v>
      </c>
      <c r="X21" s="47">
        <f t="shared" si="5"/>
        <v>13649.297528009958</v>
      </c>
      <c r="Y21" s="46">
        <v>1.3368</v>
      </c>
    </row>
    <row r="22" spans="2:25" x14ac:dyDescent="0.2">
      <c r="B22" s="45">
        <v>45798</v>
      </c>
      <c r="C22" s="44">
        <v>15325</v>
      </c>
      <c r="D22" s="43">
        <v>15330</v>
      </c>
      <c r="E22" s="42">
        <f t="shared" si="0"/>
        <v>15327.5</v>
      </c>
      <c r="F22" s="44">
        <v>15500</v>
      </c>
      <c r="G22" s="43">
        <v>15505</v>
      </c>
      <c r="H22" s="42">
        <f t="shared" si="1"/>
        <v>15502.5</v>
      </c>
      <c r="I22" s="44">
        <v>16440</v>
      </c>
      <c r="J22" s="43">
        <v>16490</v>
      </c>
      <c r="K22" s="42">
        <f t="shared" si="2"/>
        <v>16465</v>
      </c>
      <c r="L22" s="44">
        <v>17135</v>
      </c>
      <c r="M22" s="43">
        <v>17185</v>
      </c>
      <c r="N22" s="42">
        <f t="shared" si="3"/>
        <v>17160</v>
      </c>
      <c r="O22" s="44">
        <v>17835</v>
      </c>
      <c r="P22" s="43">
        <v>17885</v>
      </c>
      <c r="Q22" s="42">
        <f t="shared" si="4"/>
        <v>17860</v>
      </c>
      <c r="R22" s="50">
        <v>15330</v>
      </c>
      <c r="S22" s="49">
        <v>1.3413999999999999</v>
      </c>
      <c r="T22" s="49">
        <v>1.1324000000000001</v>
      </c>
      <c r="U22" s="48">
        <v>143.75</v>
      </c>
      <c r="V22" s="41">
        <f t="shared" si="6"/>
        <v>11428.358431489489</v>
      </c>
      <c r="W22" s="41">
        <f t="shared" si="7"/>
        <v>11558.819144177725</v>
      </c>
      <c r="X22" s="47">
        <f t="shared" si="5"/>
        <v>13537.619215824796</v>
      </c>
      <c r="Y22" s="46">
        <v>1.3420000000000001</v>
      </c>
    </row>
    <row r="23" spans="2:25" x14ac:dyDescent="0.2">
      <c r="B23" s="45">
        <v>45799</v>
      </c>
      <c r="C23" s="44">
        <v>15200</v>
      </c>
      <c r="D23" s="43">
        <v>15250</v>
      </c>
      <c r="E23" s="42">
        <f t="shared" si="0"/>
        <v>15225</v>
      </c>
      <c r="F23" s="44">
        <v>15400</v>
      </c>
      <c r="G23" s="43">
        <v>15425</v>
      </c>
      <c r="H23" s="42">
        <f t="shared" si="1"/>
        <v>15412.5</v>
      </c>
      <c r="I23" s="44">
        <v>16330</v>
      </c>
      <c r="J23" s="43">
        <v>16380</v>
      </c>
      <c r="K23" s="42">
        <f t="shared" si="2"/>
        <v>16355</v>
      </c>
      <c r="L23" s="44">
        <v>17025</v>
      </c>
      <c r="M23" s="43">
        <v>17075</v>
      </c>
      <c r="N23" s="42">
        <f t="shared" si="3"/>
        <v>17050</v>
      </c>
      <c r="O23" s="44">
        <v>17725</v>
      </c>
      <c r="P23" s="43">
        <v>17775</v>
      </c>
      <c r="Q23" s="42">
        <f t="shared" si="4"/>
        <v>17750</v>
      </c>
      <c r="R23" s="50">
        <v>15250</v>
      </c>
      <c r="S23" s="49">
        <v>1.3420000000000001</v>
      </c>
      <c r="T23" s="49">
        <v>1.1309</v>
      </c>
      <c r="U23" s="48">
        <v>143.37</v>
      </c>
      <c r="V23" s="41">
        <f t="shared" si="6"/>
        <v>11363.636363636362</v>
      </c>
      <c r="W23" s="41">
        <f t="shared" si="7"/>
        <v>11494.038748137109</v>
      </c>
      <c r="X23" s="47">
        <f t="shared" si="5"/>
        <v>13484.835087098771</v>
      </c>
      <c r="Y23" s="46">
        <v>1.3426</v>
      </c>
    </row>
    <row r="24" spans="2:25" x14ac:dyDescent="0.2">
      <c r="B24" s="45">
        <v>45800</v>
      </c>
      <c r="C24" s="44">
        <v>15200</v>
      </c>
      <c r="D24" s="43">
        <v>15205</v>
      </c>
      <c r="E24" s="42">
        <f t="shared" si="0"/>
        <v>15202.5</v>
      </c>
      <c r="F24" s="44">
        <v>15395</v>
      </c>
      <c r="G24" s="43">
        <v>15405</v>
      </c>
      <c r="H24" s="42">
        <f t="shared" si="1"/>
        <v>15400</v>
      </c>
      <c r="I24" s="44">
        <v>16320</v>
      </c>
      <c r="J24" s="43">
        <v>16370</v>
      </c>
      <c r="K24" s="42">
        <f t="shared" si="2"/>
        <v>16345</v>
      </c>
      <c r="L24" s="44">
        <v>17015</v>
      </c>
      <c r="M24" s="43">
        <v>17065</v>
      </c>
      <c r="N24" s="42">
        <f t="shared" si="3"/>
        <v>17040</v>
      </c>
      <c r="O24" s="44">
        <v>17715</v>
      </c>
      <c r="P24" s="43">
        <v>17765</v>
      </c>
      <c r="Q24" s="42">
        <f t="shared" si="4"/>
        <v>17740</v>
      </c>
      <c r="R24" s="50">
        <v>15205</v>
      </c>
      <c r="S24" s="49">
        <v>1.3489</v>
      </c>
      <c r="T24" s="49">
        <v>1.1322000000000001</v>
      </c>
      <c r="U24" s="48">
        <v>142.63</v>
      </c>
      <c r="V24" s="41">
        <f t="shared" si="6"/>
        <v>11272.147675884054</v>
      </c>
      <c r="W24" s="41">
        <f t="shared" si="7"/>
        <v>11420.416635777299</v>
      </c>
      <c r="X24" s="47">
        <f t="shared" si="5"/>
        <v>13429.606076664899</v>
      </c>
      <c r="Y24" s="46">
        <v>1.3494999999999999</v>
      </c>
    </row>
    <row r="25" spans="2:25" x14ac:dyDescent="0.2">
      <c r="B25" s="45">
        <v>45804</v>
      </c>
      <c r="C25" s="44">
        <v>15250</v>
      </c>
      <c r="D25" s="43">
        <v>15275</v>
      </c>
      <c r="E25" s="42">
        <f t="shared" si="0"/>
        <v>15262.5</v>
      </c>
      <c r="F25" s="44">
        <v>15410</v>
      </c>
      <c r="G25" s="43">
        <v>15425</v>
      </c>
      <c r="H25" s="42">
        <f t="shared" si="1"/>
        <v>15417.5</v>
      </c>
      <c r="I25" s="44">
        <v>16330</v>
      </c>
      <c r="J25" s="43">
        <v>16380</v>
      </c>
      <c r="K25" s="42">
        <f t="shared" si="2"/>
        <v>16355</v>
      </c>
      <c r="L25" s="44">
        <v>17025</v>
      </c>
      <c r="M25" s="43">
        <v>17075</v>
      </c>
      <c r="N25" s="42">
        <f t="shared" si="3"/>
        <v>17050</v>
      </c>
      <c r="O25" s="44">
        <v>17725</v>
      </c>
      <c r="P25" s="43">
        <v>17775</v>
      </c>
      <c r="Q25" s="42">
        <f t="shared" si="4"/>
        <v>17750</v>
      </c>
      <c r="R25" s="50">
        <v>15275</v>
      </c>
      <c r="S25" s="49">
        <v>1.3548</v>
      </c>
      <c r="T25" s="49">
        <v>1.1352</v>
      </c>
      <c r="U25" s="48">
        <v>144.1</v>
      </c>
      <c r="V25" s="41">
        <f t="shared" si="6"/>
        <v>11274.72689695896</v>
      </c>
      <c r="W25" s="41">
        <f t="shared" si="7"/>
        <v>11385.444346028935</v>
      </c>
      <c r="X25" s="47">
        <f t="shared" si="5"/>
        <v>13455.778717406625</v>
      </c>
      <c r="Y25" s="46">
        <v>1.3553999999999999</v>
      </c>
    </row>
    <row r="26" spans="2:25" x14ac:dyDescent="0.2">
      <c r="B26" s="45">
        <v>45805</v>
      </c>
      <c r="C26" s="44">
        <v>14955</v>
      </c>
      <c r="D26" s="43">
        <v>14965</v>
      </c>
      <c r="E26" s="42">
        <f t="shared" si="0"/>
        <v>14960</v>
      </c>
      <c r="F26" s="44">
        <v>15120</v>
      </c>
      <c r="G26" s="43">
        <v>15130</v>
      </c>
      <c r="H26" s="42">
        <f t="shared" si="1"/>
        <v>15125</v>
      </c>
      <c r="I26" s="44">
        <v>16035</v>
      </c>
      <c r="J26" s="43">
        <v>16085</v>
      </c>
      <c r="K26" s="42">
        <f t="shared" si="2"/>
        <v>16060</v>
      </c>
      <c r="L26" s="44">
        <v>16730</v>
      </c>
      <c r="M26" s="43">
        <v>16780</v>
      </c>
      <c r="N26" s="42">
        <f t="shared" si="3"/>
        <v>16755</v>
      </c>
      <c r="O26" s="44">
        <v>17430</v>
      </c>
      <c r="P26" s="43">
        <v>17480</v>
      </c>
      <c r="Q26" s="42">
        <f t="shared" si="4"/>
        <v>17455</v>
      </c>
      <c r="R26" s="50">
        <v>14965</v>
      </c>
      <c r="S26" s="49">
        <v>1.3479000000000001</v>
      </c>
      <c r="T26" s="49">
        <v>1.1317999999999999</v>
      </c>
      <c r="U26" s="48">
        <v>144.41999999999999</v>
      </c>
      <c r="V26" s="41">
        <f t="shared" si="6"/>
        <v>11102.455671785739</v>
      </c>
      <c r="W26" s="41">
        <f t="shared" si="7"/>
        <v>11224.86831367312</v>
      </c>
      <c r="X26" s="47">
        <f t="shared" si="5"/>
        <v>13222.300759851565</v>
      </c>
      <c r="Y26" s="46">
        <v>1.3485</v>
      </c>
    </row>
    <row r="27" spans="2:25" x14ac:dyDescent="0.2">
      <c r="B27" s="45">
        <v>45806</v>
      </c>
      <c r="C27" s="44">
        <v>15100</v>
      </c>
      <c r="D27" s="43">
        <v>15105</v>
      </c>
      <c r="E27" s="42">
        <f t="shared" si="0"/>
        <v>15102.5</v>
      </c>
      <c r="F27" s="44">
        <v>15295</v>
      </c>
      <c r="G27" s="43">
        <v>15300</v>
      </c>
      <c r="H27" s="42">
        <f t="shared" si="1"/>
        <v>15297.5</v>
      </c>
      <c r="I27" s="44">
        <v>16210</v>
      </c>
      <c r="J27" s="43">
        <v>16260</v>
      </c>
      <c r="K27" s="42">
        <f t="shared" si="2"/>
        <v>16235</v>
      </c>
      <c r="L27" s="44">
        <v>16905</v>
      </c>
      <c r="M27" s="43">
        <v>16955</v>
      </c>
      <c r="N27" s="42">
        <f t="shared" si="3"/>
        <v>16930</v>
      </c>
      <c r="O27" s="44">
        <v>17605</v>
      </c>
      <c r="P27" s="43">
        <v>17655</v>
      </c>
      <c r="Q27" s="42">
        <f t="shared" si="4"/>
        <v>17630</v>
      </c>
      <c r="R27" s="50">
        <v>15105</v>
      </c>
      <c r="S27" s="49">
        <v>1.3461000000000001</v>
      </c>
      <c r="T27" s="49">
        <v>1.1271</v>
      </c>
      <c r="U27" s="48">
        <v>145.09</v>
      </c>
      <c r="V27" s="41">
        <f t="shared" si="6"/>
        <v>11221.305995096945</v>
      </c>
      <c r="W27" s="41">
        <f t="shared" si="7"/>
        <v>11366.168932471584</v>
      </c>
      <c r="X27" s="47">
        <f t="shared" si="5"/>
        <v>13401.650252861325</v>
      </c>
      <c r="Y27" s="46">
        <v>1.3467</v>
      </c>
    </row>
    <row r="28" spans="2:25" x14ac:dyDescent="0.2">
      <c r="B28" s="45">
        <v>45807</v>
      </c>
      <c r="C28" s="44">
        <v>15105</v>
      </c>
      <c r="D28" s="43">
        <v>15150</v>
      </c>
      <c r="E28" s="42">
        <f t="shared" si="0"/>
        <v>15127.5</v>
      </c>
      <c r="F28" s="44">
        <v>15320</v>
      </c>
      <c r="G28" s="43">
        <v>15325</v>
      </c>
      <c r="H28" s="42">
        <f t="shared" si="1"/>
        <v>15322.5</v>
      </c>
      <c r="I28" s="44">
        <v>16225</v>
      </c>
      <c r="J28" s="43">
        <v>16275</v>
      </c>
      <c r="K28" s="42">
        <f t="shared" si="2"/>
        <v>16250</v>
      </c>
      <c r="L28" s="44">
        <v>16920</v>
      </c>
      <c r="M28" s="43">
        <v>16970</v>
      </c>
      <c r="N28" s="42">
        <f t="shared" si="3"/>
        <v>16945</v>
      </c>
      <c r="O28" s="44">
        <v>17620</v>
      </c>
      <c r="P28" s="43">
        <v>17670</v>
      </c>
      <c r="Q28" s="42">
        <f t="shared" si="4"/>
        <v>17645</v>
      </c>
      <c r="R28" s="50">
        <v>15150</v>
      </c>
      <c r="S28" s="49">
        <v>1.3475999999999999</v>
      </c>
      <c r="T28" s="49">
        <v>1.1338999999999999</v>
      </c>
      <c r="U28" s="48">
        <v>143.85</v>
      </c>
      <c r="V28" s="41">
        <f t="shared" si="6"/>
        <v>11242.208370436332</v>
      </c>
      <c r="W28" s="41">
        <f t="shared" si="7"/>
        <v>11372.068863164144</v>
      </c>
      <c r="X28" s="47">
        <f t="shared" si="5"/>
        <v>13360.966575535762</v>
      </c>
      <c r="Y28" s="46">
        <v>1.3482000000000001</v>
      </c>
    </row>
    <row r="29" spans="2:25" x14ac:dyDescent="0.2">
      <c r="B29" s="40" t="s">
        <v>11</v>
      </c>
      <c r="C29" s="39">
        <f>ROUND(AVERAGE(C9:C28),2)</f>
        <v>15310.25</v>
      </c>
      <c r="D29" s="38">
        <f>ROUND(AVERAGE(D9:D28),2)</f>
        <v>15324.75</v>
      </c>
      <c r="E29" s="37">
        <f>ROUND(AVERAGE(C29:D29),2)</f>
        <v>15317.5</v>
      </c>
      <c r="F29" s="39">
        <f>ROUND(AVERAGE(F9:F28),2)</f>
        <v>15495.75</v>
      </c>
      <c r="G29" s="38">
        <f>ROUND(AVERAGE(G9:G28),2)</f>
        <v>15506.25</v>
      </c>
      <c r="H29" s="37">
        <f>ROUND(AVERAGE(F29:G29),2)</f>
        <v>15501</v>
      </c>
      <c r="I29" s="39">
        <f>ROUND(AVERAGE(I9:I28),2)</f>
        <v>16450</v>
      </c>
      <c r="J29" s="38">
        <f>ROUND(AVERAGE(J9:J28),2)</f>
        <v>16500</v>
      </c>
      <c r="K29" s="37">
        <f>ROUND(AVERAGE(I29:J29),2)</f>
        <v>16475</v>
      </c>
      <c r="L29" s="39">
        <f>ROUND(AVERAGE(L9:L28),2)</f>
        <v>17143.25</v>
      </c>
      <c r="M29" s="38">
        <f>ROUND(AVERAGE(M9:M28),2)</f>
        <v>17193.25</v>
      </c>
      <c r="N29" s="37">
        <f>ROUND(AVERAGE(L29:M29),2)</f>
        <v>17168.25</v>
      </c>
      <c r="O29" s="39">
        <f>ROUND(AVERAGE(O9:O28),2)</f>
        <v>17843.25</v>
      </c>
      <c r="P29" s="38">
        <f>ROUND(AVERAGE(P9:P28),2)</f>
        <v>17893.25</v>
      </c>
      <c r="Q29" s="37">
        <f>ROUND(AVERAGE(O29:P29),2)</f>
        <v>17868.25</v>
      </c>
      <c r="R29" s="36">
        <f>ROUND(AVERAGE(R9:R28),2)</f>
        <v>15324.75</v>
      </c>
      <c r="S29" s="35">
        <f>ROUND(AVERAGE(S9:S28),4)</f>
        <v>1.3363</v>
      </c>
      <c r="T29" s="34">
        <f>ROUND(AVERAGE(T9:T28),4)</f>
        <v>1.1274</v>
      </c>
      <c r="U29" s="167">
        <f>ROUND(AVERAGE(U9:U28),2)</f>
        <v>144.78</v>
      </c>
      <c r="V29" s="33">
        <f>AVERAGE(V9:V28)</f>
        <v>11469.522815008784</v>
      </c>
      <c r="W29" s="33">
        <f>AVERAGE(W9:W28)</f>
        <v>11605.381263760279</v>
      </c>
      <c r="X29" s="33">
        <f>AVERAGE(X9:X28)</f>
        <v>13594.45594972162</v>
      </c>
      <c r="Y29" s="32">
        <f>AVERAGE(Y9:Y28)</f>
        <v>1.3368349999999998</v>
      </c>
    </row>
    <row r="30" spans="2:25" x14ac:dyDescent="0.2">
      <c r="B30" s="31" t="s">
        <v>12</v>
      </c>
      <c r="C30" s="30">
        <f t="shared" ref="C30:Y30" si="8">MAX(C9:C28)</f>
        <v>15700</v>
      </c>
      <c r="D30" s="29">
        <f t="shared" si="8"/>
        <v>15725</v>
      </c>
      <c r="E30" s="28">
        <f t="shared" si="8"/>
        <v>15712.5</v>
      </c>
      <c r="F30" s="30">
        <f t="shared" si="8"/>
        <v>15910</v>
      </c>
      <c r="G30" s="29">
        <f t="shared" si="8"/>
        <v>15920</v>
      </c>
      <c r="H30" s="28">
        <f t="shared" si="8"/>
        <v>15915</v>
      </c>
      <c r="I30" s="30">
        <f t="shared" si="8"/>
        <v>16885</v>
      </c>
      <c r="J30" s="29">
        <f t="shared" si="8"/>
        <v>16935</v>
      </c>
      <c r="K30" s="28">
        <f t="shared" si="8"/>
        <v>16910</v>
      </c>
      <c r="L30" s="30">
        <f t="shared" si="8"/>
        <v>17585</v>
      </c>
      <c r="M30" s="29">
        <f t="shared" si="8"/>
        <v>17635</v>
      </c>
      <c r="N30" s="28">
        <f t="shared" si="8"/>
        <v>17610</v>
      </c>
      <c r="O30" s="30">
        <f t="shared" si="8"/>
        <v>18285</v>
      </c>
      <c r="P30" s="29">
        <f t="shared" si="8"/>
        <v>18335</v>
      </c>
      <c r="Q30" s="28">
        <f t="shared" si="8"/>
        <v>18310</v>
      </c>
      <c r="R30" s="27">
        <f t="shared" si="8"/>
        <v>15725</v>
      </c>
      <c r="S30" s="26">
        <f t="shared" si="8"/>
        <v>1.3548</v>
      </c>
      <c r="T30" s="25">
        <f t="shared" si="8"/>
        <v>1.1357999999999999</v>
      </c>
      <c r="U30" s="24">
        <f t="shared" si="8"/>
        <v>148.12</v>
      </c>
      <c r="V30" s="23">
        <f t="shared" si="8"/>
        <v>11793.160341982901</v>
      </c>
      <c r="W30" s="23">
        <f t="shared" si="8"/>
        <v>11939.403029848509</v>
      </c>
      <c r="X30" s="23">
        <f t="shared" si="8"/>
        <v>14017.650205027636</v>
      </c>
      <c r="Y30" s="22">
        <f t="shared" si="8"/>
        <v>1.3553999999999999</v>
      </c>
    </row>
    <row r="31" spans="2:25" ht="13.5" thickBot="1" x14ac:dyDescent="0.25">
      <c r="B31" s="21" t="s">
        <v>13</v>
      </c>
      <c r="C31" s="20">
        <f t="shared" ref="C31:Y31" si="9">MIN(C9:C28)</f>
        <v>14955</v>
      </c>
      <c r="D31" s="19">
        <f t="shared" si="9"/>
        <v>14965</v>
      </c>
      <c r="E31" s="18">
        <f t="shared" si="9"/>
        <v>14960</v>
      </c>
      <c r="F31" s="20">
        <f t="shared" si="9"/>
        <v>15120</v>
      </c>
      <c r="G31" s="19">
        <f t="shared" si="9"/>
        <v>15130</v>
      </c>
      <c r="H31" s="18">
        <f t="shared" si="9"/>
        <v>15125</v>
      </c>
      <c r="I31" s="20">
        <f t="shared" si="9"/>
        <v>16035</v>
      </c>
      <c r="J31" s="19">
        <f t="shared" si="9"/>
        <v>16085</v>
      </c>
      <c r="K31" s="18">
        <f t="shared" si="9"/>
        <v>16060</v>
      </c>
      <c r="L31" s="20">
        <f t="shared" si="9"/>
        <v>16730</v>
      </c>
      <c r="M31" s="19">
        <f t="shared" si="9"/>
        <v>16780</v>
      </c>
      <c r="N31" s="18">
        <f t="shared" si="9"/>
        <v>16755</v>
      </c>
      <c r="O31" s="20">
        <f t="shared" si="9"/>
        <v>17430</v>
      </c>
      <c r="P31" s="19">
        <f t="shared" si="9"/>
        <v>17480</v>
      </c>
      <c r="Q31" s="18">
        <f t="shared" si="9"/>
        <v>17455</v>
      </c>
      <c r="R31" s="17">
        <f t="shared" si="9"/>
        <v>14965</v>
      </c>
      <c r="S31" s="16">
        <f t="shared" si="9"/>
        <v>1.3178000000000001</v>
      </c>
      <c r="T31" s="15">
        <f t="shared" si="9"/>
        <v>1.1107</v>
      </c>
      <c r="U31" s="14">
        <f t="shared" si="9"/>
        <v>142.63</v>
      </c>
      <c r="V31" s="13">
        <f t="shared" si="9"/>
        <v>11102.455671785739</v>
      </c>
      <c r="W31" s="13">
        <f t="shared" si="9"/>
        <v>11224.86831367312</v>
      </c>
      <c r="X31" s="13">
        <f t="shared" si="9"/>
        <v>13222.300759851565</v>
      </c>
      <c r="Y31" s="12">
        <f t="shared" si="9"/>
        <v>1.3183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Q28" sqref="Q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33</v>
      </c>
    </row>
    <row r="6" spans="1:19" ht="13.5" thickBot="1" x14ac:dyDescent="0.25">
      <c r="B6" s="1">
        <v>45778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3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45778</v>
      </c>
      <c r="C9" s="44">
        <v>32765</v>
      </c>
      <c r="D9" s="43">
        <v>33265</v>
      </c>
      <c r="E9" s="42">
        <f t="shared" ref="E9:E28" si="0">AVERAGE(C9:D9)</f>
        <v>33015</v>
      </c>
      <c r="F9" s="44">
        <v>33200</v>
      </c>
      <c r="G9" s="43">
        <v>33700</v>
      </c>
      <c r="H9" s="42">
        <f t="shared" ref="H9:H28" si="1">AVERAGE(F9:G9)</f>
        <v>33450</v>
      </c>
      <c r="I9" s="44">
        <v>34835</v>
      </c>
      <c r="J9" s="43">
        <v>35835</v>
      </c>
      <c r="K9" s="42">
        <f t="shared" ref="K9:K28" si="2">AVERAGE(I9:J9)</f>
        <v>35335</v>
      </c>
      <c r="L9" s="50">
        <v>33265</v>
      </c>
      <c r="M9" s="49">
        <v>1.3325</v>
      </c>
      <c r="N9" s="51">
        <v>1.1321000000000001</v>
      </c>
      <c r="O9" s="48">
        <v>144.49</v>
      </c>
      <c r="P9" s="41">
        <f>L9/M9</f>
        <v>24964.352720450283</v>
      </c>
      <c r="Q9" s="41">
        <f>G9/M9</f>
        <v>25290.806754221387</v>
      </c>
      <c r="R9" s="47">
        <f t="shared" ref="R9:R28" si="3">L9/N9</f>
        <v>29383.446691988338</v>
      </c>
      <c r="S9" s="46">
        <v>1.333</v>
      </c>
    </row>
    <row r="10" spans="1:19" x14ac:dyDescent="0.2">
      <c r="B10" s="45">
        <v>45779</v>
      </c>
      <c r="C10" s="44">
        <v>32770</v>
      </c>
      <c r="D10" s="43">
        <v>33270</v>
      </c>
      <c r="E10" s="42">
        <f t="shared" si="0"/>
        <v>33020</v>
      </c>
      <c r="F10" s="44">
        <v>33200</v>
      </c>
      <c r="G10" s="43">
        <v>33700</v>
      </c>
      <c r="H10" s="42">
        <f t="shared" si="1"/>
        <v>33450</v>
      </c>
      <c r="I10" s="44">
        <v>34835</v>
      </c>
      <c r="J10" s="43">
        <v>35835</v>
      </c>
      <c r="K10" s="42">
        <f t="shared" si="2"/>
        <v>35335</v>
      </c>
      <c r="L10" s="50">
        <v>33270</v>
      </c>
      <c r="M10" s="49">
        <v>1.3293999999999999</v>
      </c>
      <c r="N10" s="49">
        <v>1.1347</v>
      </c>
      <c r="O10" s="48">
        <v>144.56</v>
      </c>
      <c r="P10" s="41">
        <f t="shared" ref="P10:P28" si="4">L10/M10</f>
        <v>25026.327666616522</v>
      </c>
      <c r="Q10" s="41">
        <f t="shared" ref="Q10:Q28" si="5">G10/M10</f>
        <v>25349.781856476609</v>
      </c>
      <c r="R10" s="47">
        <f t="shared" si="3"/>
        <v>29320.525248964484</v>
      </c>
      <c r="S10" s="46">
        <v>1.3299000000000001</v>
      </c>
    </row>
    <row r="11" spans="1:19" x14ac:dyDescent="0.2">
      <c r="B11" s="45">
        <v>45783</v>
      </c>
      <c r="C11" s="44">
        <v>32750</v>
      </c>
      <c r="D11" s="43">
        <v>33250</v>
      </c>
      <c r="E11" s="42">
        <f t="shared" si="0"/>
        <v>33000</v>
      </c>
      <c r="F11" s="44">
        <v>33200</v>
      </c>
      <c r="G11" s="43">
        <v>33700</v>
      </c>
      <c r="H11" s="42">
        <f t="shared" si="1"/>
        <v>33450</v>
      </c>
      <c r="I11" s="44">
        <v>34810</v>
      </c>
      <c r="J11" s="43">
        <v>35810</v>
      </c>
      <c r="K11" s="42">
        <f t="shared" si="2"/>
        <v>35310</v>
      </c>
      <c r="L11" s="50">
        <v>33250</v>
      </c>
      <c r="M11" s="49">
        <v>1.3371</v>
      </c>
      <c r="N11" s="49">
        <v>1.1329</v>
      </c>
      <c r="O11" s="48">
        <v>142.78</v>
      </c>
      <c r="P11" s="41">
        <f t="shared" si="4"/>
        <v>24867.250018697181</v>
      </c>
      <c r="Q11" s="41">
        <f t="shared" si="5"/>
        <v>25203.799267070528</v>
      </c>
      <c r="R11" s="47">
        <f t="shared" si="3"/>
        <v>29349.457145379114</v>
      </c>
      <c r="S11" s="46">
        <v>1.3378000000000001</v>
      </c>
    </row>
    <row r="12" spans="1:19" x14ac:dyDescent="0.2">
      <c r="B12" s="45">
        <v>45784</v>
      </c>
      <c r="C12" s="44">
        <v>32750</v>
      </c>
      <c r="D12" s="43">
        <v>33250</v>
      </c>
      <c r="E12" s="42">
        <f t="shared" si="0"/>
        <v>33000</v>
      </c>
      <c r="F12" s="44">
        <v>33200</v>
      </c>
      <c r="G12" s="43">
        <v>33700</v>
      </c>
      <c r="H12" s="42">
        <f t="shared" si="1"/>
        <v>33450</v>
      </c>
      <c r="I12" s="44">
        <v>34805</v>
      </c>
      <c r="J12" s="43">
        <v>35805</v>
      </c>
      <c r="K12" s="42">
        <f t="shared" si="2"/>
        <v>35305</v>
      </c>
      <c r="L12" s="50">
        <v>33250</v>
      </c>
      <c r="M12" s="49">
        <v>1.3348</v>
      </c>
      <c r="N12" s="49">
        <v>1.1357999999999999</v>
      </c>
      <c r="O12" s="48">
        <v>143.4</v>
      </c>
      <c r="P12" s="41">
        <f t="shared" si="4"/>
        <v>24910.098891219659</v>
      </c>
      <c r="Q12" s="41">
        <f t="shared" si="5"/>
        <v>25247.228049145939</v>
      </c>
      <c r="R12" s="47">
        <f t="shared" si="3"/>
        <v>29274.520162000354</v>
      </c>
      <c r="S12" s="46">
        <v>1.3354999999999999</v>
      </c>
    </row>
    <row r="13" spans="1:19" x14ac:dyDescent="0.2">
      <c r="B13" s="45">
        <v>45785</v>
      </c>
      <c r="C13" s="44">
        <v>32760</v>
      </c>
      <c r="D13" s="43">
        <v>33260</v>
      </c>
      <c r="E13" s="42">
        <f t="shared" si="0"/>
        <v>33010</v>
      </c>
      <c r="F13" s="44">
        <v>33200</v>
      </c>
      <c r="G13" s="43">
        <v>33700</v>
      </c>
      <c r="H13" s="42">
        <f t="shared" si="1"/>
        <v>33450</v>
      </c>
      <c r="I13" s="44">
        <v>34805</v>
      </c>
      <c r="J13" s="43">
        <v>35805</v>
      </c>
      <c r="K13" s="42">
        <f t="shared" si="2"/>
        <v>35305</v>
      </c>
      <c r="L13" s="50">
        <v>33260</v>
      </c>
      <c r="M13" s="49">
        <v>1.3327</v>
      </c>
      <c r="N13" s="49">
        <v>1.1295999999999999</v>
      </c>
      <c r="O13" s="48">
        <v>144.65</v>
      </c>
      <c r="P13" s="41">
        <f t="shared" si="4"/>
        <v>24956.854505890296</v>
      </c>
      <c r="Q13" s="41">
        <f t="shared" si="5"/>
        <v>25287.011330381931</v>
      </c>
      <c r="R13" s="47">
        <f t="shared" si="3"/>
        <v>29444.050991501419</v>
      </c>
      <c r="S13" s="46">
        <v>1.3331999999999999</v>
      </c>
    </row>
    <row r="14" spans="1:19" x14ac:dyDescent="0.2">
      <c r="B14" s="45">
        <v>45786</v>
      </c>
      <c r="C14" s="44">
        <v>32765</v>
      </c>
      <c r="D14" s="43">
        <v>33265</v>
      </c>
      <c r="E14" s="42">
        <f t="shared" si="0"/>
        <v>33015</v>
      </c>
      <c r="F14" s="44">
        <v>33200</v>
      </c>
      <c r="G14" s="43">
        <v>33700</v>
      </c>
      <c r="H14" s="42">
        <f t="shared" si="1"/>
        <v>33450</v>
      </c>
      <c r="I14" s="44">
        <v>34805</v>
      </c>
      <c r="J14" s="43">
        <v>35805</v>
      </c>
      <c r="K14" s="42">
        <f t="shared" si="2"/>
        <v>35305</v>
      </c>
      <c r="L14" s="50">
        <v>33265</v>
      </c>
      <c r="M14" s="49">
        <v>1.3277000000000001</v>
      </c>
      <c r="N14" s="49">
        <v>1.1254999999999999</v>
      </c>
      <c r="O14" s="48">
        <v>145.13</v>
      </c>
      <c r="P14" s="41">
        <f t="shared" si="4"/>
        <v>25054.605709121035</v>
      </c>
      <c r="Q14" s="41">
        <f t="shared" si="5"/>
        <v>25382.239963847253</v>
      </c>
      <c r="R14" s="47">
        <f t="shared" si="3"/>
        <v>29555.75299866726</v>
      </c>
      <c r="S14" s="46">
        <v>1.3282</v>
      </c>
    </row>
    <row r="15" spans="1:19" x14ac:dyDescent="0.2">
      <c r="B15" s="45">
        <v>45789</v>
      </c>
      <c r="C15" s="44">
        <v>32750</v>
      </c>
      <c r="D15" s="43">
        <v>33250</v>
      </c>
      <c r="E15" s="42">
        <f t="shared" si="0"/>
        <v>33000</v>
      </c>
      <c r="F15" s="44">
        <v>33200</v>
      </c>
      <c r="G15" s="43">
        <v>33700</v>
      </c>
      <c r="H15" s="42">
        <f t="shared" si="1"/>
        <v>33450</v>
      </c>
      <c r="I15" s="44">
        <v>35535</v>
      </c>
      <c r="J15" s="43">
        <v>36535</v>
      </c>
      <c r="K15" s="42">
        <f t="shared" si="2"/>
        <v>36035</v>
      </c>
      <c r="L15" s="50">
        <v>33250</v>
      </c>
      <c r="M15" s="49">
        <v>1.3178000000000001</v>
      </c>
      <c r="N15" s="49">
        <v>1.1112</v>
      </c>
      <c r="O15" s="48">
        <v>147.87</v>
      </c>
      <c r="P15" s="41">
        <f t="shared" si="4"/>
        <v>25231.446349977232</v>
      </c>
      <c r="Q15" s="41">
        <f t="shared" si="5"/>
        <v>25572.92457125512</v>
      </c>
      <c r="R15" s="47">
        <f t="shared" si="3"/>
        <v>29922.606191504681</v>
      </c>
      <c r="S15" s="46">
        <v>1.3183</v>
      </c>
    </row>
    <row r="16" spans="1:19" x14ac:dyDescent="0.2">
      <c r="B16" s="45">
        <v>45790</v>
      </c>
      <c r="C16" s="44">
        <v>32750</v>
      </c>
      <c r="D16" s="43">
        <v>33250</v>
      </c>
      <c r="E16" s="42">
        <f t="shared" si="0"/>
        <v>33000</v>
      </c>
      <c r="F16" s="44">
        <v>33200</v>
      </c>
      <c r="G16" s="43">
        <v>33700</v>
      </c>
      <c r="H16" s="42">
        <f t="shared" si="1"/>
        <v>33450</v>
      </c>
      <c r="I16" s="44">
        <v>34780</v>
      </c>
      <c r="J16" s="43">
        <v>35780</v>
      </c>
      <c r="K16" s="42">
        <f t="shared" si="2"/>
        <v>35280</v>
      </c>
      <c r="L16" s="50">
        <v>33250</v>
      </c>
      <c r="M16" s="49">
        <v>1.3213999999999999</v>
      </c>
      <c r="N16" s="49">
        <v>1.1107</v>
      </c>
      <c r="O16" s="48">
        <v>148.12</v>
      </c>
      <c r="P16" s="41">
        <f t="shared" si="4"/>
        <v>25162.706220675045</v>
      </c>
      <c r="Q16" s="41">
        <f t="shared" si="5"/>
        <v>25503.254124413503</v>
      </c>
      <c r="R16" s="47">
        <f t="shared" si="3"/>
        <v>29936.076348248851</v>
      </c>
      <c r="S16" s="46">
        <v>1.3219000000000001</v>
      </c>
    </row>
    <row r="17" spans="2:19" x14ac:dyDescent="0.2">
      <c r="B17" s="45">
        <v>45791</v>
      </c>
      <c r="C17" s="44">
        <v>32750</v>
      </c>
      <c r="D17" s="43">
        <v>33250</v>
      </c>
      <c r="E17" s="42">
        <f t="shared" si="0"/>
        <v>33000</v>
      </c>
      <c r="F17" s="44">
        <v>33200</v>
      </c>
      <c r="G17" s="43">
        <v>33700</v>
      </c>
      <c r="H17" s="42">
        <f t="shared" si="1"/>
        <v>33450</v>
      </c>
      <c r="I17" s="44">
        <v>34775</v>
      </c>
      <c r="J17" s="43">
        <v>35775</v>
      </c>
      <c r="K17" s="42">
        <f t="shared" si="2"/>
        <v>35275</v>
      </c>
      <c r="L17" s="50">
        <v>33250</v>
      </c>
      <c r="M17" s="49">
        <v>1.3333999999999999</v>
      </c>
      <c r="N17" s="49">
        <v>1.1217999999999999</v>
      </c>
      <c r="O17" s="48">
        <v>146.18</v>
      </c>
      <c r="P17" s="41">
        <f t="shared" si="4"/>
        <v>24936.253187340633</v>
      </c>
      <c r="Q17" s="41">
        <f t="shared" si="5"/>
        <v>25273.736313184341</v>
      </c>
      <c r="R17" s="47">
        <f t="shared" si="3"/>
        <v>29639.864503476558</v>
      </c>
      <c r="S17" s="46">
        <v>1.3340000000000001</v>
      </c>
    </row>
    <row r="18" spans="2:19" x14ac:dyDescent="0.2">
      <c r="B18" s="45">
        <v>45792</v>
      </c>
      <c r="C18" s="44">
        <v>32760</v>
      </c>
      <c r="D18" s="43">
        <v>33260</v>
      </c>
      <c r="E18" s="42">
        <f t="shared" si="0"/>
        <v>33010</v>
      </c>
      <c r="F18" s="44">
        <v>33200</v>
      </c>
      <c r="G18" s="43">
        <v>33700</v>
      </c>
      <c r="H18" s="42">
        <f t="shared" si="1"/>
        <v>33450</v>
      </c>
      <c r="I18" s="44">
        <v>34770</v>
      </c>
      <c r="J18" s="43">
        <v>35770</v>
      </c>
      <c r="K18" s="42">
        <f t="shared" si="2"/>
        <v>35270</v>
      </c>
      <c r="L18" s="50">
        <v>33260</v>
      </c>
      <c r="M18" s="49">
        <v>1.327</v>
      </c>
      <c r="N18" s="49">
        <v>1.1183000000000001</v>
      </c>
      <c r="O18" s="48">
        <v>146.09</v>
      </c>
      <c r="P18" s="41">
        <f t="shared" si="4"/>
        <v>25064.05425772419</v>
      </c>
      <c r="Q18" s="41">
        <f t="shared" si="5"/>
        <v>25395.629238884703</v>
      </c>
      <c r="R18" s="47">
        <f t="shared" si="3"/>
        <v>29741.572028972547</v>
      </c>
      <c r="S18" s="46">
        <v>1.3275999999999999</v>
      </c>
    </row>
    <row r="19" spans="2:19" x14ac:dyDescent="0.2">
      <c r="B19" s="45">
        <v>45793</v>
      </c>
      <c r="C19" s="44">
        <v>32765</v>
      </c>
      <c r="D19" s="43">
        <v>33265</v>
      </c>
      <c r="E19" s="42">
        <f t="shared" si="0"/>
        <v>33015</v>
      </c>
      <c r="F19" s="44">
        <v>33200</v>
      </c>
      <c r="G19" s="43">
        <v>33700</v>
      </c>
      <c r="H19" s="42">
        <f t="shared" si="1"/>
        <v>33450</v>
      </c>
      <c r="I19" s="44">
        <v>34770</v>
      </c>
      <c r="J19" s="43">
        <v>35770</v>
      </c>
      <c r="K19" s="42">
        <f t="shared" si="2"/>
        <v>35270</v>
      </c>
      <c r="L19" s="50">
        <v>33265</v>
      </c>
      <c r="M19" s="49">
        <v>1.3283</v>
      </c>
      <c r="N19" s="49">
        <v>1.1194999999999999</v>
      </c>
      <c r="O19" s="48">
        <v>145.65</v>
      </c>
      <c r="P19" s="41">
        <f t="shared" si="4"/>
        <v>25043.288413761951</v>
      </c>
      <c r="Q19" s="41">
        <f t="shared" si="5"/>
        <v>25370.774674395845</v>
      </c>
      <c r="R19" s="47">
        <f t="shared" si="3"/>
        <v>29714.158106297455</v>
      </c>
      <c r="S19" s="46">
        <v>1.3288</v>
      </c>
    </row>
    <row r="20" spans="2:19" x14ac:dyDescent="0.2">
      <c r="B20" s="45">
        <v>45796</v>
      </c>
      <c r="C20" s="44">
        <v>32750</v>
      </c>
      <c r="D20" s="43">
        <v>33250</v>
      </c>
      <c r="E20" s="42">
        <f t="shared" si="0"/>
        <v>33000</v>
      </c>
      <c r="F20" s="44">
        <v>33200</v>
      </c>
      <c r="G20" s="43">
        <v>33700</v>
      </c>
      <c r="H20" s="42">
        <f t="shared" si="1"/>
        <v>33450</v>
      </c>
      <c r="I20" s="44">
        <v>34755</v>
      </c>
      <c r="J20" s="43">
        <v>35755</v>
      </c>
      <c r="K20" s="42">
        <f t="shared" si="2"/>
        <v>35255</v>
      </c>
      <c r="L20" s="50">
        <v>33250</v>
      </c>
      <c r="M20" s="49">
        <v>1.3382000000000001</v>
      </c>
      <c r="N20" s="49">
        <v>1.1273</v>
      </c>
      <c r="O20" s="48">
        <v>144.9</v>
      </c>
      <c r="P20" s="41">
        <f t="shared" si="4"/>
        <v>24846.809146614854</v>
      </c>
      <c r="Q20" s="41">
        <f t="shared" si="5"/>
        <v>25183.081751606634</v>
      </c>
      <c r="R20" s="47">
        <f t="shared" si="3"/>
        <v>29495.254147077088</v>
      </c>
      <c r="S20" s="46">
        <v>1.3388</v>
      </c>
    </row>
    <row r="21" spans="2:19" x14ac:dyDescent="0.2">
      <c r="B21" s="45">
        <v>45797</v>
      </c>
      <c r="C21" s="44">
        <v>32750</v>
      </c>
      <c r="D21" s="43">
        <v>33250</v>
      </c>
      <c r="E21" s="42">
        <f t="shared" si="0"/>
        <v>33000</v>
      </c>
      <c r="F21" s="44">
        <v>33200</v>
      </c>
      <c r="G21" s="43">
        <v>33700</v>
      </c>
      <c r="H21" s="42">
        <f t="shared" si="1"/>
        <v>33450</v>
      </c>
      <c r="I21" s="44">
        <v>34750</v>
      </c>
      <c r="J21" s="43">
        <v>35750</v>
      </c>
      <c r="K21" s="42">
        <f t="shared" si="2"/>
        <v>35250</v>
      </c>
      <c r="L21" s="50">
        <v>33250</v>
      </c>
      <c r="M21" s="49">
        <v>1.3362000000000001</v>
      </c>
      <c r="N21" s="49">
        <v>1.1246</v>
      </c>
      <c r="O21" s="48">
        <v>144.6</v>
      </c>
      <c r="P21" s="41">
        <f t="shared" si="4"/>
        <v>24883.99940128723</v>
      </c>
      <c r="Q21" s="41">
        <f t="shared" si="5"/>
        <v>25220.775333033976</v>
      </c>
      <c r="R21" s="47">
        <f t="shared" si="3"/>
        <v>29566.06793526587</v>
      </c>
      <c r="S21" s="46">
        <v>1.3368</v>
      </c>
    </row>
    <row r="22" spans="2:19" x14ac:dyDescent="0.2">
      <c r="B22" s="45">
        <v>45798</v>
      </c>
      <c r="C22" s="44">
        <v>32750</v>
      </c>
      <c r="D22" s="43">
        <v>33250</v>
      </c>
      <c r="E22" s="42">
        <f t="shared" si="0"/>
        <v>33000</v>
      </c>
      <c r="F22" s="44">
        <v>33200</v>
      </c>
      <c r="G22" s="43">
        <v>33700</v>
      </c>
      <c r="H22" s="42">
        <f t="shared" si="1"/>
        <v>33450</v>
      </c>
      <c r="I22" s="44">
        <v>34745</v>
      </c>
      <c r="J22" s="43">
        <v>35745</v>
      </c>
      <c r="K22" s="42">
        <f t="shared" si="2"/>
        <v>35245</v>
      </c>
      <c r="L22" s="50">
        <v>33250</v>
      </c>
      <c r="M22" s="49">
        <v>1.3413999999999999</v>
      </c>
      <c r="N22" s="49">
        <v>1.1324000000000001</v>
      </c>
      <c r="O22" s="48">
        <v>143.75</v>
      </c>
      <c r="P22" s="41">
        <f t="shared" si="4"/>
        <v>24787.535410764875</v>
      </c>
      <c r="Q22" s="41">
        <f t="shared" si="5"/>
        <v>25123.005814820339</v>
      </c>
      <c r="R22" s="47">
        <f t="shared" si="3"/>
        <v>29362.416107382549</v>
      </c>
      <c r="S22" s="46">
        <v>1.3420000000000001</v>
      </c>
    </row>
    <row r="23" spans="2:19" x14ac:dyDescent="0.2">
      <c r="B23" s="45">
        <v>45799</v>
      </c>
      <c r="C23" s="44">
        <v>32770</v>
      </c>
      <c r="D23" s="43">
        <v>33270</v>
      </c>
      <c r="E23" s="42">
        <f t="shared" si="0"/>
        <v>33020</v>
      </c>
      <c r="F23" s="44">
        <v>33200</v>
      </c>
      <c r="G23" s="43">
        <v>33700</v>
      </c>
      <c r="H23" s="42">
        <f t="shared" si="1"/>
        <v>33450</v>
      </c>
      <c r="I23" s="44">
        <v>34740</v>
      </c>
      <c r="J23" s="43">
        <v>35740</v>
      </c>
      <c r="K23" s="42">
        <f t="shared" si="2"/>
        <v>35240</v>
      </c>
      <c r="L23" s="50">
        <v>33270</v>
      </c>
      <c r="M23" s="49">
        <v>1.3420000000000001</v>
      </c>
      <c r="N23" s="49">
        <v>1.1309</v>
      </c>
      <c r="O23" s="48">
        <v>143.37</v>
      </c>
      <c r="P23" s="41">
        <f t="shared" si="4"/>
        <v>24791.356184798806</v>
      </c>
      <c r="Q23" s="41">
        <f t="shared" si="5"/>
        <v>25111.77347242921</v>
      </c>
      <c r="R23" s="47">
        <f t="shared" si="3"/>
        <v>29419.046776903349</v>
      </c>
      <c r="S23" s="46">
        <v>1.3426</v>
      </c>
    </row>
    <row r="24" spans="2:19" x14ac:dyDescent="0.2">
      <c r="B24" s="45">
        <v>45800</v>
      </c>
      <c r="C24" s="44">
        <v>32775</v>
      </c>
      <c r="D24" s="43">
        <v>33275</v>
      </c>
      <c r="E24" s="42">
        <f t="shared" si="0"/>
        <v>33025</v>
      </c>
      <c r="F24" s="44">
        <v>33200</v>
      </c>
      <c r="G24" s="43">
        <v>33700</v>
      </c>
      <c r="H24" s="42">
        <f t="shared" si="1"/>
        <v>33450</v>
      </c>
      <c r="I24" s="44">
        <v>34740</v>
      </c>
      <c r="J24" s="43">
        <v>35740</v>
      </c>
      <c r="K24" s="42">
        <f t="shared" si="2"/>
        <v>35240</v>
      </c>
      <c r="L24" s="50">
        <v>33275</v>
      </c>
      <c r="M24" s="49">
        <v>1.3489</v>
      </c>
      <c r="N24" s="49">
        <v>1.1322000000000001</v>
      </c>
      <c r="O24" s="48">
        <v>142.63</v>
      </c>
      <c r="P24" s="41">
        <f t="shared" si="4"/>
        <v>24668.248202238861</v>
      </c>
      <c r="Q24" s="41">
        <f t="shared" si="5"/>
        <v>24983.319742012009</v>
      </c>
      <c r="R24" s="47">
        <f t="shared" si="3"/>
        <v>29389.683801448504</v>
      </c>
      <c r="S24" s="46">
        <v>1.3494999999999999</v>
      </c>
    </row>
    <row r="25" spans="2:19" x14ac:dyDescent="0.2">
      <c r="B25" s="45">
        <v>45804</v>
      </c>
      <c r="C25" s="44">
        <v>32755</v>
      </c>
      <c r="D25" s="43">
        <v>33255</v>
      </c>
      <c r="E25" s="42">
        <f t="shared" si="0"/>
        <v>33005</v>
      </c>
      <c r="F25" s="44">
        <v>33200</v>
      </c>
      <c r="G25" s="43">
        <v>33700</v>
      </c>
      <c r="H25" s="42">
        <f t="shared" si="1"/>
        <v>33450</v>
      </c>
      <c r="I25" s="44">
        <v>34715</v>
      </c>
      <c r="J25" s="43">
        <v>35715</v>
      </c>
      <c r="K25" s="42">
        <f t="shared" si="2"/>
        <v>35215</v>
      </c>
      <c r="L25" s="50">
        <v>33255</v>
      </c>
      <c r="M25" s="49">
        <v>1.3548</v>
      </c>
      <c r="N25" s="49">
        <v>1.1352</v>
      </c>
      <c r="O25" s="48">
        <v>144.1</v>
      </c>
      <c r="P25" s="41">
        <f t="shared" si="4"/>
        <v>24546.05845881311</v>
      </c>
      <c r="Q25" s="41">
        <f t="shared" si="5"/>
        <v>24874.520224387365</v>
      </c>
      <c r="R25" s="47">
        <f t="shared" si="3"/>
        <v>29294.397463002115</v>
      </c>
      <c r="S25" s="46">
        <v>1.3553999999999999</v>
      </c>
    </row>
    <row r="26" spans="2:19" x14ac:dyDescent="0.2">
      <c r="B26" s="45">
        <v>45805</v>
      </c>
      <c r="C26" s="44">
        <v>32755</v>
      </c>
      <c r="D26" s="43">
        <v>33255</v>
      </c>
      <c r="E26" s="42">
        <f t="shared" si="0"/>
        <v>33005</v>
      </c>
      <c r="F26" s="44">
        <v>33200</v>
      </c>
      <c r="G26" s="43">
        <v>33700</v>
      </c>
      <c r="H26" s="42">
        <f t="shared" si="1"/>
        <v>33450</v>
      </c>
      <c r="I26" s="44">
        <v>34710</v>
      </c>
      <c r="J26" s="43">
        <v>35710</v>
      </c>
      <c r="K26" s="42">
        <f t="shared" si="2"/>
        <v>35210</v>
      </c>
      <c r="L26" s="50">
        <v>33255</v>
      </c>
      <c r="M26" s="49">
        <v>1.3479000000000001</v>
      </c>
      <c r="N26" s="49">
        <v>1.1317999999999999</v>
      </c>
      <c r="O26" s="48">
        <v>144.41999999999999</v>
      </c>
      <c r="P26" s="41">
        <f t="shared" si="4"/>
        <v>24671.711551302025</v>
      </c>
      <c r="Q26" s="41">
        <f t="shared" si="5"/>
        <v>25001.854736998292</v>
      </c>
      <c r="R26" s="47">
        <f t="shared" si="3"/>
        <v>29382.399717264536</v>
      </c>
      <c r="S26" s="46">
        <v>1.3485</v>
      </c>
    </row>
    <row r="27" spans="2:19" x14ac:dyDescent="0.2">
      <c r="B27" s="45">
        <v>45806</v>
      </c>
      <c r="C27" s="44">
        <v>32765</v>
      </c>
      <c r="D27" s="43">
        <v>33265</v>
      </c>
      <c r="E27" s="42">
        <f t="shared" si="0"/>
        <v>33015</v>
      </c>
      <c r="F27" s="44">
        <v>33200</v>
      </c>
      <c r="G27" s="43">
        <v>33700</v>
      </c>
      <c r="H27" s="42">
        <f t="shared" si="1"/>
        <v>33450</v>
      </c>
      <c r="I27" s="44">
        <v>34700</v>
      </c>
      <c r="J27" s="43">
        <v>35700</v>
      </c>
      <c r="K27" s="42">
        <f t="shared" si="2"/>
        <v>35200</v>
      </c>
      <c r="L27" s="50">
        <v>33265</v>
      </c>
      <c r="M27" s="49">
        <v>1.3461000000000001</v>
      </c>
      <c r="N27" s="49">
        <v>1.1271</v>
      </c>
      <c r="O27" s="48">
        <v>145.09</v>
      </c>
      <c r="P27" s="41">
        <f t="shared" si="4"/>
        <v>24712.131342396551</v>
      </c>
      <c r="Q27" s="41">
        <f t="shared" si="5"/>
        <v>25035.287125770745</v>
      </c>
      <c r="R27" s="47">
        <f t="shared" si="3"/>
        <v>29513.796468813769</v>
      </c>
      <c r="S27" s="46">
        <v>1.3467</v>
      </c>
    </row>
    <row r="28" spans="2:19" x14ac:dyDescent="0.2">
      <c r="B28" s="45">
        <v>45807</v>
      </c>
      <c r="C28" s="44">
        <v>32770</v>
      </c>
      <c r="D28" s="43">
        <v>33270</v>
      </c>
      <c r="E28" s="42">
        <f t="shared" si="0"/>
        <v>33020</v>
      </c>
      <c r="F28" s="44">
        <v>33200</v>
      </c>
      <c r="G28" s="43">
        <v>33700</v>
      </c>
      <c r="H28" s="42">
        <f t="shared" si="1"/>
        <v>33450</v>
      </c>
      <c r="I28" s="44">
        <v>34700</v>
      </c>
      <c r="J28" s="43">
        <v>35700</v>
      </c>
      <c r="K28" s="42">
        <f t="shared" si="2"/>
        <v>35200</v>
      </c>
      <c r="L28" s="50">
        <v>33270</v>
      </c>
      <c r="M28" s="49">
        <v>1.3475999999999999</v>
      </c>
      <c r="N28" s="49">
        <v>1.1338999999999999</v>
      </c>
      <c r="O28" s="48">
        <v>143.85</v>
      </c>
      <c r="P28" s="41">
        <f t="shared" si="4"/>
        <v>24688.334817453251</v>
      </c>
      <c r="Q28" s="41">
        <f t="shared" si="5"/>
        <v>25007.42059958445</v>
      </c>
      <c r="R28" s="47">
        <f t="shared" si="3"/>
        <v>29341.211747067646</v>
      </c>
      <c r="S28" s="46">
        <v>1.3482000000000001</v>
      </c>
    </row>
    <row r="29" spans="2:19" x14ac:dyDescent="0.2">
      <c r="B29" s="40" t="s">
        <v>11</v>
      </c>
      <c r="C29" s="39">
        <f>ROUND(AVERAGE(C9:C28),2)</f>
        <v>32758.75</v>
      </c>
      <c r="D29" s="38">
        <f>ROUND(AVERAGE(D9:D28),2)</f>
        <v>33258.75</v>
      </c>
      <c r="E29" s="37">
        <f>ROUND(AVERAGE(C29:D29),2)</f>
        <v>33008.75</v>
      </c>
      <c r="F29" s="39">
        <f>ROUND(AVERAGE(F9:F28),2)</f>
        <v>33200</v>
      </c>
      <c r="G29" s="38">
        <f>ROUND(AVERAGE(G9:G28),2)</f>
        <v>33700</v>
      </c>
      <c r="H29" s="37">
        <f>ROUND(AVERAGE(F29:G29),2)</f>
        <v>33450</v>
      </c>
      <c r="I29" s="39">
        <f>ROUND(AVERAGE(I9:I28),2)</f>
        <v>34804</v>
      </c>
      <c r="J29" s="38">
        <f>ROUND(AVERAGE(J9:J28),2)</f>
        <v>35804</v>
      </c>
      <c r="K29" s="37">
        <f>ROUND(AVERAGE(I29:J29),2)</f>
        <v>35304</v>
      </c>
      <c r="L29" s="36">
        <f>ROUND(AVERAGE(L9:L28),2)</f>
        <v>33258.75</v>
      </c>
      <c r="M29" s="35">
        <f>ROUND(AVERAGE(M9:M28),4)</f>
        <v>1.3363</v>
      </c>
      <c r="N29" s="34">
        <f>ROUND(AVERAGE(N9:N28),4)</f>
        <v>1.1274</v>
      </c>
      <c r="O29" s="167">
        <f>ROUND(AVERAGE(O9:O28),2)</f>
        <v>144.78</v>
      </c>
      <c r="P29" s="33">
        <f>AVERAGE(P9:P28)</f>
        <v>24890.671122857184</v>
      </c>
      <c r="Q29" s="33">
        <f>AVERAGE(Q9:Q28)</f>
        <v>25220.911247196007</v>
      </c>
      <c r="R29" s="33">
        <f>AVERAGE(R9:R28)</f>
        <v>29502.315229061329</v>
      </c>
      <c r="S29" s="32">
        <f>AVERAGE(S9:S28)</f>
        <v>1.3368349999999998</v>
      </c>
    </row>
    <row r="30" spans="2:19" x14ac:dyDescent="0.2">
      <c r="B30" s="31" t="s">
        <v>12</v>
      </c>
      <c r="C30" s="30">
        <f t="shared" ref="C30:S30" si="6">MAX(C9:C28)</f>
        <v>32775</v>
      </c>
      <c r="D30" s="29">
        <f t="shared" si="6"/>
        <v>33275</v>
      </c>
      <c r="E30" s="28">
        <f t="shared" si="6"/>
        <v>33025</v>
      </c>
      <c r="F30" s="30">
        <f t="shared" si="6"/>
        <v>33200</v>
      </c>
      <c r="G30" s="29">
        <f t="shared" si="6"/>
        <v>33700</v>
      </c>
      <c r="H30" s="28">
        <f t="shared" si="6"/>
        <v>33450</v>
      </c>
      <c r="I30" s="30">
        <f t="shared" si="6"/>
        <v>35535</v>
      </c>
      <c r="J30" s="29">
        <f t="shared" si="6"/>
        <v>36535</v>
      </c>
      <c r="K30" s="28">
        <f t="shared" si="6"/>
        <v>36035</v>
      </c>
      <c r="L30" s="27">
        <f t="shared" si="6"/>
        <v>33275</v>
      </c>
      <c r="M30" s="26">
        <f t="shared" si="6"/>
        <v>1.3548</v>
      </c>
      <c r="N30" s="25">
        <f t="shared" si="6"/>
        <v>1.1357999999999999</v>
      </c>
      <c r="O30" s="24">
        <f t="shared" si="6"/>
        <v>148.12</v>
      </c>
      <c r="P30" s="23">
        <f t="shared" si="6"/>
        <v>25231.446349977232</v>
      </c>
      <c r="Q30" s="23">
        <f t="shared" si="6"/>
        <v>25572.92457125512</v>
      </c>
      <c r="R30" s="23">
        <f t="shared" si="6"/>
        <v>29936.076348248851</v>
      </c>
      <c r="S30" s="22">
        <f t="shared" si="6"/>
        <v>1.3553999999999999</v>
      </c>
    </row>
    <row r="31" spans="2:19" ht="13.5" thickBot="1" x14ac:dyDescent="0.25">
      <c r="B31" s="21" t="s">
        <v>13</v>
      </c>
      <c r="C31" s="20">
        <f t="shared" ref="C31:S31" si="7">MIN(C9:C28)</f>
        <v>32750</v>
      </c>
      <c r="D31" s="19">
        <f t="shared" si="7"/>
        <v>33250</v>
      </c>
      <c r="E31" s="18">
        <f t="shared" si="7"/>
        <v>33000</v>
      </c>
      <c r="F31" s="20">
        <f t="shared" si="7"/>
        <v>33200</v>
      </c>
      <c r="G31" s="19">
        <f t="shared" si="7"/>
        <v>33700</v>
      </c>
      <c r="H31" s="18">
        <f t="shared" si="7"/>
        <v>33450</v>
      </c>
      <c r="I31" s="20">
        <f t="shared" si="7"/>
        <v>34700</v>
      </c>
      <c r="J31" s="19">
        <f t="shared" si="7"/>
        <v>35700</v>
      </c>
      <c r="K31" s="18">
        <f t="shared" si="7"/>
        <v>35200</v>
      </c>
      <c r="L31" s="17">
        <f t="shared" si="7"/>
        <v>33250</v>
      </c>
      <c r="M31" s="16">
        <f t="shared" si="7"/>
        <v>1.3178000000000001</v>
      </c>
      <c r="N31" s="15">
        <f t="shared" si="7"/>
        <v>1.1107</v>
      </c>
      <c r="O31" s="14">
        <f t="shared" si="7"/>
        <v>142.63</v>
      </c>
      <c r="P31" s="13">
        <f t="shared" si="7"/>
        <v>24546.05845881311</v>
      </c>
      <c r="Q31" s="13">
        <f t="shared" si="7"/>
        <v>24874.520224387365</v>
      </c>
      <c r="R31" s="13">
        <f t="shared" si="7"/>
        <v>29274.520162000354</v>
      </c>
      <c r="S31" s="12">
        <f t="shared" si="7"/>
        <v>1.3183</v>
      </c>
    </row>
    <row r="33" spans="2:14" x14ac:dyDescent="0.2">
      <c r="B33" s="6" t="s">
        <v>14</v>
      </c>
      <c r="C33" s="8"/>
      <c r="D33" s="8"/>
      <c r="E33" s="7"/>
      <c r="F33" s="8"/>
      <c r="G33" s="8"/>
      <c r="H33" s="7"/>
      <c r="I33" s="8"/>
      <c r="J33" s="8"/>
      <c r="K33" s="7"/>
      <c r="L33" s="8"/>
      <c r="M33" s="8"/>
      <c r="N33" s="7"/>
    </row>
    <row r="34" spans="2:14" x14ac:dyDescent="0.2">
      <c r="B34" s="6" t="s">
        <v>15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3" t="s">
        <v>39</v>
      </c>
    </row>
    <row r="3" spans="2:10" ht="13.5" thickBot="1" x14ac:dyDescent="0.25"/>
    <row r="4" spans="2:10" x14ac:dyDescent="0.2">
      <c r="C4" s="179" t="s">
        <v>38</v>
      </c>
      <c r="D4" s="180"/>
      <c r="F4" s="179" t="s">
        <v>37</v>
      </c>
      <c r="G4" s="180"/>
      <c r="I4" s="179" t="s">
        <v>36</v>
      </c>
      <c r="J4" s="180"/>
    </row>
    <row r="5" spans="2:10" x14ac:dyDescent="0.2">
      <c r="C5" s="72">
        <v>45807</v>
      </c>
      <c r="D5" s="71"/>
      <c r="F5" s="72">
        <v>45807</v>
      </c>
      <c r="G5" s="71"/>
      <c r="I5" s="72">
        <v>45807</v>
      </c>
      <c r="J5" s="71"/>
    </row>
    <row r="6" spans="2:10" x14ac:dyDescent="0.2">
      <c r="C6" s="70"/>
      <c r="D6" s="69" t="s">
        <v>35</v>
      </c>
      <c r="F6" s="70"/>
      <c r="G6" s="69" t="s">
        <v>35</v>
      </c>
      <c r="I6" s="70"/>
      <c r="J6" s="69" t="s">
        <v>35</v>
      </c>
    </row>
    <row r="7" spans="2:10" x14ac:dyDescent="0.2">
      <c r="C7" s="68"/>
      <c r="D7" s="67"/>
      <c r="F7" s="68"/>
      <c r="G7" s="67"/>
      <c r="I7" s="68"/>
      <c r="J7" s="67"/>
    </row>
    <row r="8" spans="2:10" x14ac:dyDescent="0.2">
      <c r="C8" s="66">
        <v>45778</v>
      </c>
      <c r="D8" s="65"/>
      <c r="F8" s="66">
        <f t="shared" ref="F8:F27" si="0">C8</f>
        <v>45778</v>
      </c>
      <c r="G8" s="65"/>
      <c r="I8" s="66">
        <f t="shared" ref="I8:I27" si="1">C8</f>
        <v>45778</v>
      </c>
      <c r="J8" s="65"/>
    </row>
    <row r="9" spans="2:10" x14ac:dyDescent="0.2">
      <c r="C9" s="66">
        <v>45779</v>
      </c>
      <c r="D9" s="65"/>
      <c r="F9" s="66">
        <f t="shared" si="0"/>
        <v>45779</v>
      </c>
      <c r="G9" s="65"/>
      <c r="I9" s="66">
        <f t="shared" si="1"/>
        <v>45779</v>
      </c>
      <c r="J9" s="65"/>
    </row>
    <row r="10" spans="2:10" x14ac:dyDescent="0.2">
      <c r="C10" s="66">
        <v>45783</v>
      </c>
      <c r="D10" s="65"/>
      <c r="F10" s="66">
        <f t="shared" si="0"/>
        <v>45783</v>
      </c>
      <c r="G10" s="65"/>
      <c r="I10" s="66">
        <f t="shared" si="1"/>
        <v>45783</v>
      </c>
      <c r="J10" s="65"/>
    </row>
    <row r="11" spans="2:10" x14ac:dyDescent="0.2">
      <c r="C11" s="66">
        <v>45784</v>
      </c>
      <c r="D11" s="65"/>
      <c r="F11" s="66">
        <f t="shared" si="0"/>
        <v>45784</v>
      </c>
      <c r="G11" s="65"/>
      <c r="I11" s="66">
        <f t="shared" si="1"/>
        <v>45784</v>
      </c>
      <c r="J11" s="65"/>
    </row>
    <row r="12" spans="2:10" x14ac:dyDescent="0.2">
      <c r="C12" s="66">
        <v>45785</v>
      </c>
      <c r="D12" s="65"/>
      <c r="F12" s="66">
        <f t="shared" si="0"/>
        <v>45785</v>
      </c>
      <c r="G12" s="65"/>
      <c r="I12" s="66">
        <f t="shared" si="1"/>
        <v>45785</v>
      </c>
      <c r="J12" s="65"/>
    </row>
    <row r="13" spans="2:10" x14ac:dyDescent="0.2">
      <c r="C13" s="66">
        <v>45786</v>
      </c>
      <c r="D13" s="65"/>
      <c r="F13" s="66">
        <f t="shared" si="0"/>
        <v>45786</v>
      </c>
      <c r="G13" s="65"/>
      <c r="I13" s="66">
        <f t="shared" si="1"/>
        <v>45786</v>
      </c>
      <c r="J13" s="65"/>
    </row>
    <row r="14" spans="2:10" x14ac:dyDescent="0.2">
      <c r="C14" s="66">
        <v>45789</v>
      </c>
      <c r="D14" s="65"/>
      <c r="F14" s="66">
        <f t="shared" si="0"/>
        <v>45789</v>
      </c>
      <c r="G14" s="65"/>
      <c r="I14" s="66">
        <f t="shared" si="1"/>
        <v>45789</v>
      </c>
      <c r="J14" s="65"/>
    </row>
    <row r="15" spans="2:10" x14ac:dyDescent="0.2">
      <c r="C15" s="66">
        <v>45790</v>
      </c>
      <c r="D15" s="65"/>
      <c r="F15" s="66">
        <f t="shared" si="0"/>
        <v>45790</v>
      </c>
      <c r="G15" s="65"/>
      <c r="I15" s="66">
        <f t="shared" si="1"/>
        <v>45790</v>
      </c>
      <c r="J15" s="65"/>
    </row>
    <row r="16" spans="2:10" x14ac:dyDescent="0.2">
      <c r="C16" s="66">
        <v>45791</v>
      </c>
      <c r="D16" s="65"/>
      <c r="F16" s="66">
        <f t="shared" si="0"/>
        <v>45791</v>
      </c>
      <c r="G16" s="65"/>
      <c r="I16" s="66">
        <f t="shared" si="1"/>
        <v>45791</v>
      </c>
      <c r="J16" s="65"/>
    </row>
    <row r="17" spans="3:10" x14ac:dyDescent="0.2">
      <c r="C17" s="66">
        <v>45792</v>
      </c>
      <c r="D17" s="65"/>
      <c r="F17" s="66">
        <f t="shared" si="0"/>
        <v>45792</v>
      </c>
      <c r="G17" s="65"/>
      <c r="I17" s="66">
        <f t="shared" si="1"/>
        <v>45792</v>
      </c>
      <c r="J17" s="65"/>
    </row>
    <row r="18" spans="3:10" x14ac:dyDescent="0.2">
      <c r="C18" s="66">
        <v>45793</v>
      </c>
      <c r="D18" s="65"/>
      <c r="F18" s="66">
        <f t="shared" si="0"/>
        <v>45793</v>
      </c>
      <c r="G18" s="65"/>
      <c r="I18" s="66">
        <f t="shared" si="1"/>
        <v>45793</v>
      </c>
      <c r="J18" s="65"/>
    </row>
    <row r="19" spans="3:10" x14ac:dyDescent="0.2">
      <c r="C19" s="66">
        <v>45796</v>
      </c>
      <c r="D19" s="65"/>
      <c r="F19" s="66">
        <f t="shared" si="0"/>
        <v>45796</v>
      </c>
      <c r="G19" s="65"/>
      <c r="I19" s="66">
        <f t="shared" si="1"/>
        <v>45796</v>
      </c>
      <c r="J19" s="65"/>
    </row>
    <row r="20" spans="3:10" x14ac:dyDescent="0.2">
      <c r="C20" s="66">
        <v>45797</v>
      </c>
      <c r="D20" s="65"/>
      <c r="F20" s="66">
        <f t="shared" si="0"/>
        <v>45797</v>
      </c>
      <c r="G20" s="65"/>
      <c r="I20" s="66">
        <f t="shared" si="1"/>
        <v>45797</v>
      </c>
      <c r="J20" s="65"/>
    </row>
    <row r="21" spans="3:10" x14ac:dyDescent="0.2">
      <c r="C21" s="66">
        <v>45798</v>
      </c>
      <c r="D21" s="65"/>
      <c r="F21" s="66">
        <f t="shared" si="0"/>
        <v>45798</v>
      </c>
      <c r="G21" s="65"/>
      <c r="I21" s="66">
        <f t="shared" si="1"/>
        <v>45798</v>
      </c>
      <c r="J21" s="65"/>
    </row>
    <row r="22" spans="3:10" x14ac:dyDescent="0.2">
      <c r="C22" s="66">
        <v>45799</v>
      </c>
      <c r="D22" s="65"/>
      <c r="F22" s="66">
        <f t="shared" si="0"/>
        <v>45799</v>
      </c>
      <c r="G22" s="65"/>
      <c r="I22" s="66">
        <f t="shared" si="1"/>
        <v>45799</v>
      </c>
      <c r="J22" s="65"/>
    </row>
    <row r="23" spans="3:10" x14ac:dyDescent="0.2">
      <c r="C23" s="66">
        <v>45800</v>
      </c>
      <c r="D23" s="65"/>
      <c r="F23" s="66">
        <f t="shared" si="0"/>
        <v>45800</v>
      </c>
      <c r="G23" s="65"/>
      <c r="I23" s="66">
        <f t="shared" si="1"/>
        <v>45800</v>
      </c>
      <c r="J23" s="65"/>
    </row>
    <row r="24" spans="3:10" x14ac:dyDescent="0.2">
      <c r="C24" s="66">
        <v>45804</v>
      </c>
      <c r="D24" s="65"/>
      <c r="F24" s="66">
        <f t="shared" si="0"/>
        <v>45804</v>
      </c>
      <c r="G24" s="65"/>
      <c r="I24" s="66">
        <f t="shared" si="1"/>
        <v>45804</v>
      </c>
      <c r="J24" s="65"/>
    </row>
    <row r="25" spans="3:10" x14ac:dyDescent="0.2">
      <c r="C25" s="66">
        <v>45805</v>
      </c>
      <c r="D25" s="65"/>
      <c r="F25" s="66">
        <f t="shared" si="0"/>
        <v>45805</v>
      </c>
      <c r="G25" s="65"/>
      <c r="I25" s="66">
        <f t="shared" si="1"/>
        <v>45805</v>
      </c>
      <c r="J25" s="65"/>
    </row>
    <row r="26" spans="3:10" x14ac:dyDescent="0.2">
      <c r="C26" s="66">
        <v>45806</v>
      </c>
      <c r="D26" s="65"/>
      <c r="F26" s="66">
        <f t="shared" si="0"/>
        <v>45806</v>
      </c>
      <c r="G26" s="65"/>
      <c r="I26" s="66">
        <f t="shared" si="1"/>
        <v>45806</v>
      </c>
      <c r="J26" s="65"/>
    </row>
    <row r="27" spans="3:10" ht="13.5" thickBot="1" x14ac:dyDescent="0.25">
      <c r="C27" s="66">
        <v>45807</v>
      </c>
      <c r="D27" s="65"/>
      <c r="F27" s="66">
        <f t="shared" si="0"/>
        <v>45807</v>
      </c>
      <c r="G27" s="65"/>
      <c r="I27" s="66">
        <f t="shared" si="1"/>
        <v>45807</v>
      </c>
      <c r="J27" s="65"/>
    </row>
    <row r="28" spans="3:10" x14ac:dyDescent="0.2">
      <c r="C28" s="64" t="s">
        <v>11</v>
      </c>
      <c r="D28" s="63" t="e">
        <f>ROUND(AVERAGE(D8:D27),2)</f>
        <v>#DIV/0!</v>
      </c>
      <c r="F28" s="64" t="s">
        <v>11</v>
      </c>
      <c r="G28" s="63" t="e">
        <f>ROUND(AVERAGE(G8:G27),2)</f>
        <v>#DIV/0!</v>
      </c>
      <c r="I28" s="64" t="s">
        <v>11</v>
      </c>
      <c r="J28" s="63" t="e">
        <f>ROUND(AVERAGE(J8:J27),2)</f>
        <v>#DIV/0!</v>
      </c>
    </row>
    <row r="29" spans="3:10" x14ac:dyDescent="0.2">
      <c r="C29" s="62" t="s">
        <v>12</v>
      </c>
      <c r="D29" s="61">
        <f>MAX(D8:D27)</f>
        <v>0</v>
      </c>
      <c r="F29" s="62" t="s">
        <v>12</v>
      </c>
      <c r="G29" s="61">
        <f>MAX(G8:G27)</f>
        <v>0</v>
      </c>
      <c r="I29" s="62" t="s">
        <v>12</v>
      </c>
      <c r="J29" s="61">
        <f>MAX(J8:J27)</f>
        <v>0</v>
      </c>
    </row>
    <row r="30" spans="3:10" x14ac:dyDescent="0.2">
      <c r="C30" s="60" t="s">
        <v>13</v>
      </c>
      <c r="D30" s="59">
        <f>MIN(D8:D27)</f>
        <v>0</v>
      </c>
      <c r="F30" s="60" t="s">
        <v>13</v>
      </c>
      <c r="G30" s="59">
        <f>MIN(G8:G27)</f>
        <v>0</v>
      </c>
      <c r="I30" s="60" t="s">
        <v>13</v>
      </c>
      <c r="J30" s="59">
        <f>MIN(J8:J27)</f>
        <v>0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29"/>
    <col min="2" max="2" width="15.5703125" style="129" customWidth="1"/>
    <col min="3" max="10" width="12.7109375" style="129" customWidth="1"/>
    <col min="11" max="16384" width="9.140625" style="129"/>
  </cols>
  <sheetData>
    <row r="3" spans="2:9" ht="15.75" x14ac:dyDescent="0.25">
      <c r="B3" s="166" t="s">
        <v>95</v>
      </c>
      <c r="C3" s="141"/>
      <c r="D3" s="166"/>
      <c r="G3" s="153"/>
      <c r="H3" s="153"/>
      <c r="I3" s="165"/>
    </row>
    <row r="4" spans="2:9" x14ac:dyDescent="0.2">
      <c r="B4" s="163" t="s">
        <v>94</v>
      </c>
      <c r="C4" s="164"/>
      <c r="D4" s="163"/>
      <c r="G4" s="162"/>
      <c r="H4" s="161"/>
      <c r="I4" s="153"/>
    </row>
    <row r="5" spans="2:9" x14ac:dyDescent="0.2">
      <c r="B5" s="160" t="s">
        <v>96</v>
      </c>
      <c r="C5" s="141"/>
      <c r="D5" s="159"/>
      <c r="G5" s="158"/>
      <c r="H5" s="153"/>
      <c r="I5" s="141"/>
    </row>
    <row r="6" spans="2:9" x14ac:dyDescent="0.2">
      <c r="B6" s="141"/>
      <c r="C6" s="141"/>
      <c r="D6" s="141"/>
      <c r="E6" s="141"/>
      <c r="F6" s="141"/>
      <c r="G6" s="141"/>
      <c r="H6" s="141"/>
      <c r="I6" s="141"/>
    </row>
    <row r="7" spans="2:9" x14ac:dyDescent="0.2">
      <c r="B7" s="152"/>
      <c r="C7" s="157" t="s">
        <v>93</v>
      </c>
      <c r="D7" s="157" t="s">
        <v>93</v>
      </c>
      <c r="E7" s="157" t="s">
        <v>93</v>
      </c>
    </row>
    <row r="8" spans="2:9" x14ac:dyDescent="0.2">
      <c r="B8" s="155"/>
      <c r="C8" s="156" t="s">
        <v>55</v>
      </c>
      <c r="D8" s="156" t="s">
        <v>83</v>
      </c>
      <c r="E8" s="156" t="s">
        <v>81</v>
      </c>
    </row>
    <row r="9" spans="2:9" x14ac:dyDescent="0.2">
      <c r="B9" s="155"/>
      <c r="C9" s="154" t="s">
        <v>80</v>
      </c>
      <c r="D9" s="154" t="s">
        <v>80</v>
      </c>
      <c r="E9" s="154" t="s">
        <v>80</v>
      </c>
    </row>
    <row r="10" spans="2:9" x14ac:dyDescent="0.2">
      <c r="B10" s="152"/>
      <c r="C10" s="151"/>
      <c r="D10" s="151"/>
      <c r="E10" s="151"/>
    </row>
    <row r="11" spans="2:9" x14ac:dyDescent="0.2">
      <c r="B11" s="150" t="s">
        <v>92</v>
      </c>
      <c r="C11" s="149" t="e">
        <f>ABR!D28</f>
        <v>#DIV/0!</v>
      </c>
      <c r="D11" s="149" t="e">
        <f>ABR!G28</f>
        <v>#DIV/0!</v>
      </c>
      <c r="E11" s="149" t="e">
        <f>ABR!J28</f>
        <v>#DIV/0!</v>
      </c>
    </row>
    <row r="15" spans="2:9" x14ac:dyDescent="0.2">
      <c r="B15" s="147" t="s">
        <v>48</v>
      </c>
      <c r="C15" s="148"/>
    </row>
    <row r="16" spans="2:9" x14ac:dyDescent="0.2">
      <c r="B16" s="147" t="s">
        <v>46</v>
      </c>
      <c r="C16" s="146"/>
    </row>
    <row r="17" spans="2:9" x14ac:dyDescent="0.2">
      <c r="B17" s="145" t="s">
        <v>10</v>
      </c>
      <c r="C17" s="143">
        <f>'[1]Averages Inc. Euro Eq'!F66</f>
        <v>1.3363</v>
      </c>
    </row>
    <row r="18" spans="2:9" x14ac:dyDescent="0.2">
      <c r="B18" s="145" t="s">
        <v>43</v>
      </c>
      <c r="C18" s="144">
        <f>'[1]Averages Inc. Euro Eq'!F67</f>
        <v>144.78</v>
      </c>
    </row>
    <row r="19" spans="2:9" x14ac:dyDescent="0.2">
      <c r="B19" s="145" t="s">
        <v>41</v>
      </c>
      <c r="C19" s="143">
        <f>'[1]Averages Inc. Euro Eq'!F68</f>
        <v>1.1274</v>
      </c>
    </row>
    <row r="21" spans="2:9" x14ac:dyDescent="0.2">
      <c r="B21" s="142" t="s">
        <v>40</v>
      </c>
    </row>
    <row r="24" spans="2:9" x14ac:dyDescent="0.2">
      <c r="B24" s="140" t="s">
        <v>14</v>
      </c>
      <c r="C24" s="139"/>
      <c r="D24" s="138"/>
      <c r="E24" s="137"/>
      <c r="F24" s="136"/>
      <c r="G24" s="135"/>
      <c r="H24" s="134"/>
      <c r="I24" s="133"/>
    </row>
    <row r="25" spans="2:9" x14ac:dyDescent="0.2">
      <c r="B25" s="132" t="s">
        <v>97</v>
      </c>
      <c r="C25" s="131"/>
      <c r="D25" s="131"/>
      <c r="E25" s="131"/>
      <c r="F25" s="131"/>
      <c r="G25" s="131"/>
      <c r="H25" s="131"/>
      <c r="I25" s="130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62DD-EFCD-46D3-BB87-23361F2B9477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28"/>
      <c r="C5" s="2"/>
      <c r="D5" s="127"/>
      <c r="F5" s="126" t="s">
        <v>91</v>
      </c>
      <c r="G5" s="114"/>
      <c r="H5" s="114"/>
      <c r="I5" s="125"/>
    </row>
    <row r="6" spans="2:13" x14ac:dyDescent="0.2">
      <c r="B6" s="124"/>
      <c r="C6" s="124"/>
      <c r="D6" s="73"/>
      <c r="F6" s="123" t="s">
        <v>90</v>
      </c>
      <c r="G6" s="114"/>
      <c r="H6" s="122"/>
      <c r="I6" s="114"/>
    </row>
    <row r="7" spans="2:13" x14ac:dyDescent="0.2">
      <c r="B7" s="2"/>
      <c r="C7" s="2"/>
      <c r="D7" s="121"/>
      <c r="F7" s="102" t="s">
        <v>96</v>
      </c>
      <c r="G7" s="120"/>
      <c r="H7" s="114"/>
      <c r="I7" s="2"/>
    </row>
    <row r="8" spans="2:13" ht="13.5" thickBot="1" x14ac:dyDescent="0.25"/>
    <row r="9" spans="2:13" x14ac:dyDescent="0.2">
      <c r="B9" s="119"/>
      <c r="C9" s="118" t="s">
        <v>89</v>
      </c>
      <c r="D9" s="117" t="s">
        <v>83</v>
      </c>
      <c r="E9" s="117" t="s">
        <v>55</v>
      </c>
      <c r="F9" s="117" t="s">
        <v>54</v>
      </c>
      <c r="G9" s="117" t="s">
        <v>53</v>
      </c>
      <c r="H9" s="117" t="s">
        <v>52</v>
      </c>
      <c r="I9" s="117" t="s">
        <v>88</v>
      </c>
      <c r="J9" s="117" t="s">
        <v>87</v>
      </c>
      <c r="K9" s="117" t="s">
        <v>86</v>
      </c>
      <c r="L9" s="117" t="s">
        <v>85</v>
      </c>
      <c r="M9" s="116" t="s">
        <v>84</v>
      </c>
    </row>
    <row r="10" spans="2:13" x14ac:dyDescent="0.2">
      <c r="B10" s="113"/>
      <c r="C10" s="115" t="s">
        <v>83</v>
      </c>
      <c r="D10" s="114" t="s">
        <v>82</v>
      </c>
      <c r="E10" s="114"/>
      <c r="F10" s="114"/>
      <c r="G10" s="114"/>
      <c r="H10" s="114"/>
      <c r="I10" s="114"/>
      <c r="J10" s="114"/>
      <c r="K10" s="114"/>
      <c r="L10" s="114"/>
      <c r="M10" s="3"/>
    </row>
    <row r="11" spans="2:13" x14ac:dyDescent="0.2">
      <c r="B11" s="113"/>
      <c r="C11" s="112" t="s">
        <v>80</v>
      </c>
      <c r="D11" s="112" t="s">
        <v>80</v>
      </c>
      <c r="E11" s="112" t="s">
        <v>80</v>
      </c>
      <c r="F11" s="112" t="s">
        <v>80</v>
      </c>
      <c r="G11" s="112" t="s">
        <v>80</v>
      </c>
      <c r="H11" s="112" t="s">
        <v>80</v>
      </c>
      <c r="I11" s="112" t="s">
        <v>80</v>
      </c>
      <c r="J11" s="112" t="s">
        <v>80</v>
      </c>
      <c r="K11" s="112" t="s">
        <v>80</v>
      </c>
      <c r="L11" s="112" t="s">
        <v>80</v>
      </c>
      <c r="M11" s="111" t="s">
        <v>80</v>
      </c>
    </row>
    <row r="12" spans="2:13" x14ac:dyDescent="0.2">
      <c r="B12" s="95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3"/>
    </row>
    <row r="13" spans="2:13" x14ac:dyDescent="0.2">
      <c r="B13" s="109" t="s">
        <v>79</v>
      </c>
      <c r="C13" s="108">
        <v>2441.5500000000002</v>
      </c>
      <c r="D13" s="108">
        <v>2499</v>
      </c>
      <c r="E13" s="108">
        <v>9528.33</v>
      </c>
      <c r="F13" s="108">
        <v>1957</v>
      </c>
      <c r="G13" s="108">
        <v>15310.25</v>
      </c>
      <c r="H13" s="108">
        <v>32108.5</v>
      </c>
      <c r="I13" s="108">
        <v>2645.3</v>
      </c>
      <c r="J13" s="108">
        <v>2390</v>
      </c>
      <c r="K13" s="108">
        <v>0.5</v>
      </c>
      <c r="L13" s="108">
        <v>32758.75</v>
      </c>
      <c r="M13" s="107">
        <v>0.5</v>
      </c>
    </row>
    <row r="14" spans="2:13" x14ac:dyDescent="0.2">
      <c r="B14" s="95" t="s">
        <v>78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3"/>
    </row>
    <row r="15" spans="2:13" x14ac:dyDescent="0.2">
      <c r="B15" s="109" t="s">
        <v>77</v>
      </c>
      <c r="C15" s="108">
        <v>2442.4</v>
      </c>
      <c r="D15" s="108">
        <v>2509</v>
      </c>
      <c r="E15" s="108">
        <v>9529.7800000000007</v>
      </c>
      <c r="F15" s="108">
        <v>1958.28</v>
      </c>
      <c r="G15" s="108">
        <v>15324.75</v>
      </c>
      <c r="H15" s="108">
        <v>32143.5</v>
      </c>
      <c r="I15" s="108">
        <v>2646.15</v>
      </c>
      <c r="J15" s="108">
        <v>2400</v>
      </c>
      <c r="K15" s="108">
        <v>1</v>
      </c>
      <c r="L15" s="108">
        <v>33258.75</v>
      </c>
      <c r="M15" s="107">
        <v>1</v>
      </c>
    </row>
    <row r="16" spans="2:13" x14ac:dyDescent="0.2">
      <c r="B16" s="95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3"/>
    </row>
    <row r="17" spans="2:13" x14ac:dyDescent="0.2">
      <c r="B17" s="109" t="s">
        <v>76</v>
      </c>
      <c r="C17" s="108">
        <v>2441.98</v>
      </c>
      <c r="D17" s="108">
        <v>2504</v>
      </c>
      <c r="E17" s="108">
        <v>9529.0499999999993</v>
      </c>
      <c r="F17" s="108">
        <v>1957.64</v>
      </c>
      <c r="G17" s="108">
        <v>15317.5</v>
      </c>
      <c r="H17" s="108">
        <v>32126</v>
      </c>
      <c r="I17" s="108">
        <v>2645.73</v>
      </c>
      <c r="J17" s="108">
        <v>2395</v>
      </c>
      <c r="K17" s="108">
        <v>0.75</v>
      </c>
      <c r="L17" s="108">
        <v>33008.75</v>
      </c>
      <c r="M17" s="107">
        <v>0.75</v>
      </c>
    </row>
    <row r="18" spans="2:13" x14ac:dyDescent="0.2">
      <c r="B18" s="95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3"/>
    </row>
    <row r="19" spans="2:13" x14ac:dyDescent="0.2">
      <c r="B19" s="109" t="s">
        <v>75</v>
      </c>
      <c r="C19" s="108">
        <v>2450.58</v>
      </c>
      <c r="D19" s="108">
        <v>2499</v>
      </c>
      <c r="E19" s="108">
        <v>9501.8799999999992</v>
      </c>
      <c r="F19" s="108">
        <v>1970.95</v>
      </c>
      <c r="G19" s="108">
        <v>15495.75</v>
      </c>
      <c r="H19" s="108">
        <v>32185.75</v>
      </c>
      <c r="I19" s="108">
        <v>2674.68</v>
      </c>
      <c r="J19" s="108">
        <v>2390</v>
      </c>
      <c r="K19" s="108">
        <v>0.5</v>
      </c>
      <c r="L19" s="108">
        <v>33200</v>
      </c>
      <c r="M19" s="107">
        <v>0.5</v>
      </c>
    </row>
    <row r="20" spans="2:13" x14ac:dyDescent="0.2">
      <c r="B20" s="95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3"/>
    </row>
    <row r="21" spans="2:13" x14ac:dyDescent="0.2">
      <c r="B21" s="109" t="s">
        <v>74</v>
      </c>
      <c r="C21" s="108">
        <v>2451.6</v>
      </c>
      <c r="D21" s="108">
        <v>2509</v>
      </c>
      <c r="E21" s="108">
        <v>9504.5</v>
      </c>
      <c r="F21" s="108">
        <v>1972.2</v>
      </c>
      <c r="G21" s="108">
        <v>15506.25</v>
      </c>
      <c r="H21" s="108">
        <v>32217.75</v>
      </c>
      <c r="I21" s="108">
        <v>2675.75</v>
      </c>
      <c r="J21" s="108">
        <v>2400</v>
      </c>
      <c r="K21" s="108">
        <v>1</v>
      </c>
      <c r="L21" s="108">
        <v>33700</v>
      </c>
      <c r="M21" s="107">
        <v>1</v>
      </c>
    </row>
    <row r="22" spans="2:13" x14ac:dyDescent="0.2">
      <c r="B22" s="95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3"/>
    </row>
    <row r="23" spans="2:13" x14ac:dyDescent="0.2">
      <c r="B23" s="109" t="s">
        <v>73</v>
      </c>
      <c r="C23" s="108">
        <v>2451.09</v>
      </c>
      <c r="D23" s="108">
        <v>2504</v>
      </c>
      <c r="E23" s="108">
        <v>9503.19</v>
      </c>
      <c r="F23" s="108">
        <v>1971.58</v>
      </c>
      <c r="G23" s="108">
        <v>15501</v>
      </c>
      <c r="H23" s="108">
        <v>32201.75</v>
      </c>
      <c r="I23" s="108">
        <v>2675.21</v>
      </c>
      <c r="J23" s="108">
        <v>2395</v>
      </c>
      <c r="K23" s="108">
        <v>0.75</v>
      </c>
      <c r="L23" s="108">
        <v>33450</v>
      </c>
      <c r="M23" s="107">
        <v>0.75</v>
      </c>
    </row>
    <row r="24" spans="2:13" x14ac:dyDescent="0.2">
      <c r="B24" s="95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3"/>
    </row>
    <row r="25" spans="2:13" x14ac:dyDescent="0.2">
      <c r="B25" s="109" t="s">
        <v>72</v>
      </c>
      <c r="C25" s="108">
        <v>2518</v>
      </c>
      <c r="D25" s="108">
        <v>2500</v>
      </c>
      <c r="E25" s="108">
        <v>9390.5</v>
      </c>
      <c r="F25" s="108">
        <v>2040.1</v>
      </c>
      <c r="G25" s="108">
        <v>16450</v>
      </c>
      <c r="H25" s="108"/>
      <c r="I25" s="108">
        <v>2703.65</v>
      </c>
      <c r="J25" s="108">
        <v>2390</v>
      </c>
      <c r="K25" s="108"/>
      <c r="L25" s="108"/>
      <c r="M25" s="107"/>
    </row>
    <row r="26" spans="2:13" x14ac:dyDescent="0.2">
      <c r="B26" s="95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3"/>
    </row>
    <row r="27" spans="2:13" x14ac:dyDescent="0.2">
      <c r="B27" s="109" t="s">
        <v>71</v>
      </c>
      <c r="C27" s="108">
        <v>2523</v>
      </c>
      <c r="D27" s="108">
        <v>2510</v>
      </c>
      <c r="E27" s="108">
        <v>9400.5</v>
      </c>
      <c r="F27" s="108">
        <v>2045.1</v>
      </c>
      <c r="G27" s="108">
        <v>16500</v>
      </c>
      <c r="H27" s="108"/>
      <c r="I27" s="108">
        <v>2708.65</v>
      </c>
      <c r="J27" s="108">
        <v>2400</v>
      </c>
      <c r="K27" s="108"/>
      <c r="L27" s="108"/>
      <c r="M27" s="107"/>
    </row>
    <row r="28" spans="2:13" x14ac:dyDescent="0.2">
      <c r="B28" s="95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3"/>
    </row>
    <row r="29" spans="2:13" x14ac:dyDescent="0.2">
      <c r="B29" s="109" t="s">
        <v>70</v>
      </c>
      <c r="C29" s="108">
        <v>2520.5</v>
      </c>
      <c r="D29" s="108">
        <v>2505</v>
      </c>
      <c r="E29" s="108">
        <v>9395.5</v>
      </c>
      <c r="F29" s="108">
        <v>2042.6</v>
      </c>
      <c r="G29" s="108">
        <v>16475</v>
      </c>
      <c r="H29" s="108"/>
      <c r="I29" s="108">
        <v>2706.15</v>
      </c>
      <c r="J29" s="108">
        <v>2395</v>
      </c>
      <c r="K29" s="108"/>
      <c r="L29" s="108"/>
      <c r="M29" s="107"/>
    </row>
    <row r="30" spans="2:13" x14ac:dyDescent="0.2">
      <c r="B30" s="95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3"/>
    </row>
    <row r="31" spans="2:13" x14ac:dyDescent="0.2">
      <c r="B31" s="109" t="s">
        <v>98</v>
      </c>
      <c r="C31" s="108">
        <v>2560.5500000000002</v>
      </c>
      <c r="D31" s="108"/>
      <c r="E31" s="108">
        <v>9429.5</v>
      </c>
      <c r="F31" s="108">
        <v>2083.1</v>
      </c>
      <c r="G31" s="108">
        <v>17143.25</v>
      </c>
      <c r="H31" s="108"/>
      <c r="I31" s="108">
        <v>2643.2</v>
      </c>
      <c r="J31" s="108"/>
      <c r="K31" s="108"/>
      <c r="L31" s="108"/>
      <c r="M31" s="107"/>
    </row>
    <row r="32" spans="2:13" x14ac:dyDescent="0.2">
      <c r="B32" s="95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3"/>
    </row>
    <row r="33" spans="2:13" x14ac:dyDescent="0.2">
      <c r="B33" s="109" t="s">
        <v>69</v>
      </c>
      <c r="C33" s="108">
        <v>2565.5500000000002</v>
      </c>
      <c r="D33" s="108"/>
      <c r="E33" s="108">
        <v>9439.5</v>
      </c>
      <c r="F33" s="108">
        <v>2088.1</v>
      </c>
      <c r="G33" s="108">
        <v>17193.25</v>
      </c>
      <c r="H33" s="108"/>
      <c r="I33" s="108">
        <v>2648.2</v>
      </c>
      <c r="J33" s="108"/>
      <c r="K33" s="108"/>
      <c r="L33" s="108"/>
      <c r="M33" s="107"/>
    </row>
    <row r="34" spans="2:13" x14ac:dyDescent="0.2">
      <c r="B34" s="95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3"/>
    </row>
    <row r="35" spans="2:13" x14ac:dyDescent="0.2">
      <c r="B35" s="109" t="s">
        <v>68</v>
      </c>
      <c r="C35" s="108">
        <v>2563.0500000000002</v>
      </c>
      <c r="D35" s="108"/>
      <c r="E35" s="108">
        <v>9434.5</v>
      </c>
      <c r="F35" s="108">
        <v>2085.6</v>
      </c>
      <c r="G35" s="108">
        <v>17168.25</v>
      </c>
      <c r="H35" s="108"/>
      <c r="I35" s="108">
        <v>2645.7</v>
      </c>
      <c r="J35" s="108"/>
      <c r="K35" s="108"/>
      <c r="L35" s="108"/>
      <c r="M35" s="107"/>
    </row>
    <row r="36" spans="2:13" x14ac:dyDescent="0.2">
      <c r="B36" s="95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3"/>
    </row>
    <row r="37" spans="2:13" x14ac:dyDescent="0.2">
      <c r="B37" s="109" t="s">
        <v>67</v>
      </c>
      <c r="C37" s="108">
        <v>2587.1999999999998</v>
      </c>
      <c r="D37" s="108"/>
      <c r="E37" s="108">
        <v>9465.75</v>
      </c>
      <c r="F37" s="108">
        <v>2128.1</v>
      </c>
      <c r="G37" s="108">
        <v>17843.25</v>
      </c>
      <c r="H37" s="108"/>
      <c r="I37" s="108">
        <v>2643.2</v>
      </c>
      <c r="J37" s="108"/>
      <c r="K37" s="108"/>
      <c r="L37" s="108"/>
      <c r="M37" s="107"/>
    </row>
    <row r="38" spans="2:13" x14ac:dyDescent="0.2">
      <c r="B38" s="95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3"/>
    </row>
    <row r="39" spans="2:13" x14ac:dyDescent="0.2">
      <c r="B39" s="109" t="s">
        <v>66</v>
      </c>
      <c r="C39" s="108">
        <v>2592.1999999999998</v>
      </c>
      <c r="D39" s="108"/>
      <c r="E39" s="108">
        <v>9475.75</v>
      </c>
      <c r="F39" s="108">
        <v>2133.1</v>
      </c>
      <c r="G39" s="108">
        <v>17893.25</v>
      </c>
      <c r="H39" s="108"/>
      <c r="I39" s="108">
        <v>2648.2</v>
      </c>
      <c r="J39" s="108"/>
      <c r="K39" s="108"/>
      <c r="L39" s="108"/>
      <c r="M39" s="107"/>
    </row>
    <row r="40" spans="2:13" x14ac:dyDescent="0.2">
      <c r="B40" s="95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3"/>
    </row>
    <row r="41" spans="2:13" x14ac:dyDescent="0.2">
      <c r="B41" s="109" t="s">
        <v>65</v>
      </c>
      <c r="C41" s="108">
        <v>2589.6999999999998</v>
      </c>
      <c r="D41" s="108"/>
      <c r="E41" s="108">
        <v>9470.75</v>
      </c>
      <c r="F41" s="108">
        <v>2130.6</v>
      </c>
      <c r="G41" s="108">
        <v>17868.25</v>
      </c>
      <c r="H41" s="108"/>
      <c r="I41" s="108">
        <v>2645.7</v>
      </c>
      <c r="J41" s="108"/>
      <c r="K41" s="108"/>
      <c r="L41" s="108"/>
      <c r="M41" s="107"/>
    </row>
    <row r="42" spans="2:13" x14ac:dyDescent="0.2">
      <c r="B42" s="95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3"/>
    </row>
    <row r="43" spans="2:13" x14ac:dyDescent="0.2">
      <c r="B43" s="109" t="s">
        <v>64</v>
      </c>
      <c r="C43" s="108"/>
      <c r="D43" s="108"/>
      <c r="E43" s="108"/>
      <c r="F43" s="108"/>
      <c r="G43" s="108"/>
      <c r="H43" s="108">
        <v>32183.25</v>
      </c>
      <c r="I43" s="108"/>
      <c r="J43" s="108"/>
      <c r="K43" s="108">
        <v>0.5</v>
      </c>
      <c r="L43" s="108">
        <v>34804</v>
      </c>
      <c r="M43" s="107">
        <v>0.5</v>
      </c>
    </row>
    <row r="44" spans="2:13" x14ac:dyDescent="0.2">
      <c r="B44" s="95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3"/>
    </row>
    <row r="45" spans="2:13" x14ac:dyDescent="0.2">
      <c r="B45" s="109" t="s">
        <v>63</v>
      </c>
      <c r="C45" s="108"/>
      <c r="D45" s="108"/>
      <c r="E45" s="108"/>
      <c r="F45" s="108"/>
      <c r="G45" s="108"/>
      <c r="H45" s="108">
        <v>32233.25</v>
      </c>
      <c r="I45" s="108"/>
      <c r="J45" s="108"/>
      <c r="K45" s="108">
        <v>1</v>
      </c>
      <c r="L45" s="108">
        <v>35804</v>
      </c>
      <c r="M45" s="107">
        <v>1</v>
      </c>
    </row>
    <row r="46" spans="2:13" x14ac:dyDescent="0.2">
      <c r="B46" s="95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3"/>
    </row>
    <row r="47" spans="2:13" ht="13.5" thickBot="1" x14ac:dyDescent="0.25">
      <c r="B47" s="106" t="s">
        <v>62</v>
      </c>
      <c r="C47" s="105"/>
      <c r="D47" s="105"/>
      <c r="E47" s="105"/>
      <c r="F47" s="105"/>
      <c r="G47" s="105"/>
      <c r="H47" s="105">
        <v>32208.25</v>
      </c>
      <c r="I47" s="105"/>
      <c r="J47" s="105"/>
      <c r="K47" s="105">
        <v>0.75</v>
      </c>
      <c r="L47" s="105">
        <v>35304</v>
      </c>
      <c r="M47" s="104">
        <v>0.75</v>
      </c>
    </row>
    <row r="49" spans="2:5" x14ac:dyDescent="0.2">
      <c r="B49" s="73" t="s">
        <v>61</v>
      </c>
    </row>
    <row r="50" spans="2:5" x14ac:dyDescent="0.2">
      <c r="B50" s="103" t="s">
        <v>96</v>
      </c>
    </row>
    <row r="52" spans="2:5" x14ac:dyDescent="0.2">
      <c r="B52" s="101" t="s">
        <v>60</v>
      </c>
      <c r="C52" s="100" t="s">
        <v>59</v>
      </c>
    </row>
    <row r="53" spans="2:5" x14ac:dyDescent="0.2">
      <c r="B53" s="99"/>
      <c r="C53" s="98" t="s">
        <v>58</v>
      </c>
    </row>
    <row r="54" spans="2:5" x14ac:dyDescent="0.2">
      <c r="B54" s="96" t="s">
        <v>57</v>
      </c>
      <c r="C54" s="97">
        <v>2166.67</v>
      </c>
    </row>
    <row r="55" spans="2:5" x14ac:dyDescent="0.2">
      <c r="B55" s="96" t="s">
        <v>56</v>
      </c>
      <c r="C55" s="97">
        <v>2225.62</v>
      </c>
    </row>
    <row r="56" spans="2:5" x14ac:dyDescent="0.2">
      <c r="B56" s="96" t="s">
        <v>55</v>
      </c>
      <c r="C56" s="97">
        <v>8453.5400000000009</v>
      </c>
    </row>
    <row r="57" spans="2:5" x14ac:dyDescent="0.2">
      <c r="B57" s="96" t="s">
        <v>54</v>
      </c>
      <c r="C57" s="97">
        <v>1737.21</v>
      </c>
    </row>
    <row r="58" spans="2:5" x14ac:dyDescent="0.2">
      <c r="B58" s="96" t="s">
        <v>53</v>
      </c>
      <c r="C58" s="97">
        <v>13594.46</v>
      </c>
    </row>
    <row r="59" spans="2:5" x14ac:dyDescent="0.2">
      <c r="B59" s="96" t="s">
        <v>52</v>
      </c>
      <c r="C59" s="97">
        <v>28515.43</v>
      </c>
    </row>
    <row r="60" spans="2:5" x14ac:dyDescent="0.2">
      <c r="B60" s="96" t="s">
        <v>51</v>
      </c>
      <c r="C60" s="97">
        <v>2347.4</v>
      </c>
    </row>
    <row r="61" spans="2:5" ht="13.5" thickBot="1" x14ac:dyDescent="0.25">
      <c r="B61" s="94" t="s">
        <v>50</v>
      </c>
      <c r="C61" s="93">
        <v>2128.9299999999998</v>
      </c>
    </row>
    <row r="63" spans="2:5" x14ac:dyDescent="0.2">
      <c r="B63" s="86" t="s">
        <v>49</v>
      </c>
    </row>
    <row r="64" spans="2:5" x14ac:dyDescent="0.2">
      <c r="E64" s="92" t="s">
        <v>48</v>
      </c>
    </row>
    <row r="65" spans="2:9" x14ac:dyDescent="0.2">
      <c r="B65" s="2" t="s">
        <v>47</v>
      </c>
      <c r="D65" s="89">
        <v>7131.8</v>
      </c>
      <c r="E65" s="92" t="s">
        <v>46</v>
      </c>
    </row>
    <row r="66" spans="2:9" x14ac:dyDescent="0.2">
      <c r="B66" s="2" t="s">
        <v>45</v>
      </c>
      <c r="D66" s="89">
        <v>7109.87</v>
      </c>
      <c r="E66" s="91" t="s">
        <v>10</v>
      </c>
      <c r="F66" s="87">
        <v>1.3363</v>
      </c>
    </row>
    <row r="67" spans="2:9" x14ac:dyDescent="0.2">
      <c r="B67" s="2" t="s">
        <v>44</v>
      </c>
      <c r="D67" s="89">
        <v>1465.63</v>
      </c>
      <c r="E67" s="91" t="s">
        <v>43</v>
      </c>
      <c r="F67" s="90">
        <v>144.78</v>
      </c>
    </row>
    <row r="68" spans="2:9" x14ac:dyDescent="0.2">
      <c r="B68" s="2" t="s">
        <v>42</v>
      </c>
      <c r="D68" s="89">
        <v>1475.37</v>
      </c>
      <c r="E68" s="88" t="s">
        <v>41</v>
      </c>
      <c r="F68" s="87">
        <v>1.1274</v>
      </c>
    </row>
    <row r="69" spans="2:9" x14ac:dyDescent="0.2">
      <c r="H69" s="85" t="s">
        <v>40</v>
      </c>
    </row>
    <row r="70" spans="2:9" x14ac:dyDescent="0.2">
      <c r="B70" s="84" t="s">
        <v>14</v>
      </c>
      <c r="C70" s="83"/>
      <c r="D70" s="82"/>
      <c r="E70" s="81"/>
      <c r="F70" s="80"/>
      <c r="G70" s="79"/>
      <c r="H70" s="78"/>
      <c r="I70" s="77"/>
    </row>
    <row r="71" spans="2:9" x14ac:dyDescent="0.2">
      <c r="B71" s="76" t="s">
        <v>97</v>
      </c>
      <c r="C71" s="75"/>
      <c r="D71" s="75"/>
      <c r="E71" s="75"/>
      <c r="F71" s="75"/>
      <c r="G71" s="75"/>
      <c r="H71" s="75"/>
      <c r="I71" s="74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Max Hall</cp:lastModifiedBy>
  <cp:lastPrinted>2011-08-25T10:07:39Z</cp:lastPrinted>
  <dcterms:created xsi:type="dcterms:W3CDTF">2012-05-31T12:49:12Z</dcterms:created>
  <dcterms:modified xsi:type="dcterms:W3CDTF">2025-05-30T12:34:20Z</dcterms:modified>
</cp:coreProperties>
</file>