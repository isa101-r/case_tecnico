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370" yWindow="720" windowWidth="20730" windowHeight="11205" tabRatio="993" activeTab="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3" i="12"/>
  <c r="G33" i="12"/>
  <c r="D33" i="12"/>
  <c r="J32" i="12"/>
  <c r="G32" i="12"/>
  <c r="D32" i="12"/>
  <c r="J31" i="12"/>
  <c r="E11" i="13" s="1"/>
  <c r="G31" i="12"/>
  <c r="D11" i="13" s="1"/>
  <c r="D31" i="12"/>
  <c r="C11" i="13" s="1"/>
  <c r="I30" i="12"/>
  <c r="F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4" i="10"/>
  <c r="Q34" i="10"/>
  <c r="P34" i="10"/>
  <c r="O34" i="10"/>
  <c r="N34" i="10"/>
  <c r="M34" i="10"/>
  <c r="L34" i="10"/>
  <c r="J34" i="10"/>
  <c r="I34" i="10"/>
  <c r="G34" i="10"/>
  <c r="F34" i="10"/>
  <c r="D34" i="10"/>
  <c r="C34" i="10"/>
  <c r="S33" i="10"/>
  <c r="R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K32" i="10"/>
  <c r="J32" i="10"/>
  <c r="I32" i="10"/>
  <c r="G32" i="10"/>
  <c r="H32" i="10" s="1"/>
  <c r="F32" i="10"/>
  <c r="D32" i="10"/>
  <c r="C32" i="10"/>
  <c r="E32" i="10" s="1"/>
  <c r="R31" i="10"/>
  <c r="K31" i="10"/>
  <c r="H31" i="10"/>
  <c r="E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4" i="10" s="1"/>
  <c r="K9" i="10"/>
  <c r="K34" i="10" s="1"/>
  <c r="H9" i="10"/>
  <c r="H33" i="10" s="1"/>
  <c r="E9" i="10"/>
  <c r="E34" i="10" s="1"/>
  <c r="Y34" i="8"/>
  <c r="W34" i="8"/>
  <c r="V34" i="8"/>
  <c r="U34" i="8"/>
  <c r="T34" i="8"/>
  <c r="S34" i="8"/>
  <c r="R34" i="8"/>
  <c r="P34" i="8"/>
  <c r="O34" i="8"/>
  <c r="M34" i="8"/>
  <c r="L34" i="8"/>
  <c r="J34" i="8"/>
  <c r="I34" i="8"/>
  <c r="G34" i="8"/>
  <c r="F34" i="8"/>
  <c r="D34" i="8"/>
  <c r="C34" i="8"/>
  <c r="Y33" i="8"/>
  <c r="X33" i="8"/>
  <c r="W33" i="8"/>
  <c r="V33" i="8"/>
  <c r="U33" i="8"/>
  <c r="T33" i="8"/>
  <c r="S33" i="8"/>
  <c r="R33" i="8"/>
  <c r="P33" i="8"/>
  <c r="O33" i="8"/>
  <c r="M33" i="8"/>
  <c r="L33" i="8"/>
  <c r="J33" i="8"/>
  <c r="I33" i="8"/>
  <c r="H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Q32" i="8" s="1"/>
  <c r="M32" i="8"/>
  <c r="L32" i="8"/>
  <c r="N32" i="8" s="1"/>
  <c r="K32" i="8"/>
  <c r="J32" i="8"/>
  <c r="I32" i="8"/>
  <c r="G32" i="8"/>
  <c r="H32" i="8" s="1"/>
  <c r="F32" i="8"/>
  <c r="D32" i="8"/>
  <c r="C32" i="8"/>
  <c r="E32" i="8" s="1"/>
  <c r="X31" i="8"/>
  <c r="Q31" i="8"/>
  <c r="N31" i="8"/>
  <c r="K31" i="8"/>
  <c r="H31" i="8"/>
  <c r="E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Q34" i="8" s="1"/>
  <c r="N10" i="8"/>
  <c r="K10" i="8"/>
  <c r="H10" i="8"/>
  <c r="E10" i="8"/>
  <c r="E34" i="8" s="1"/>
  <c r="X9" i="8"/>
  <c r="X32" i="8" s="1"/>
  <c r="Q9" i="8"/>
  <c r="Q33" i="8" s="1"/>
  <c r="N9" i="8"/>
  <c r="N33" i="8" s="1"/>
  <c r="K9" i="8"/>
  <c r="K34" i="8" s="1"/>
  <c r="H9" i="8"/>
  <c r="H34" i="8" s="1"/>
  <c r="E9" i="8"/>
  <c r="E33" i="8" s="1"/>
  <c r="S34" i="7"/>
  <c r="R34" i="7"/>
  <c r="Q34" i="7"/>
  <c r="P34" i="7"/>
  <c r="O34" i="7"/>
  <c r="N34" i="7"/>
  <c r="M34" i="7"/>
  <c r="L34" i="7"/>
  <c r="J34" i="7"/>
  <c r="I34" i="7"/>
  <c r="G34" i="7"/>
  <c r="F34" i="7"/>
  <c r="D34" i="7"/>
  <c r="C34" i="7"/>
  <c r="S33" i="7"/>
  <c r="Q33" i="7"/>
  <c r="P33" i="7"/>
  <c r="O33" i="7"/>
  <c r="N33" i="7"/>
  <c r="M33" i="7"/>
  <c r="L33" i="7"/>
  <c r="K33" i="7"/>
  <c r="J33" i="7"/>
  <c r="I33" i="7"/>
  <c r="G33" i="7"/>
  <c r="F33" i="7"/>
  <c r="E33" i="7"/>
  <c r="D33" i="7"/>
  <c r="C33" i="7"/>
  <c r="S32" i="7"/>
  <c r="Q32" i="7"/>
  <c r="P32" i="7"/>
  <c r="O32" i="7"/>
  <c r="N32" i="7"/>
  <c r="M32" i="7"/>
  <c r="L32" i="7"/>
  <c r="J32" i="7"/>
  <c r="I32" i="7"/>
  <c r="K32" i="7" s="1"/>
  <c r="H32" i="7"/>
  <c r="G32" i="7"/>
  <c r="F32" i="7"/>
  <c r="D32" i="7"/>
  <c r="E32" i="7" s="1"/>
  <c r="C32" i="7"/>
  <c r="R31" i="7"/>
  <c r="K31" i="7"/>
  <c r="H31" i="7"/>
  <c r="E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2" i="7" s="1"/>
  <c r="K9" i="7"/>
  <c r="K34" i="7" s="1"/>
  <c r="H9" i="7"/>
  <c r="H34" i="7" s="1"/>
  <c r="E9" i="7"/>
  <c r="E34" i="7" s="1"/>
  <c r="Y34" i="6"/>
  <c r="W34" i="6"/>
  <c r="V34" i="6"/>
  <c r="U34" i="6"/>
  <c r="T34" i="6"/>
  <c r="S34" i="6"/>
  <c r="R34" i="6"/>
  <c r="P34" i="6"/>
  <c r="O34" i="6"/>
  <c r="M34" i="6"/>
  <c r="L34" i="6"/>
  <c r="J34" i="6"/>
  <c r="I34" i="6"/>
  <c r="G34" i="6"/>
  <c r="F34" i="6"/>
  <c r="D34" i="6"/>
  <c r="C34" i="6"/>
  <c r="Y33" i="6"/>
  <c r="W33" i="6"/>
  <c r="V33" i="6"/>
  <c r="U33" i="6"/>
  <c r="T33" i="6"/>
  <c r="S33" i="6"/>
  <c r="R33" i="6"/>
  <c r="P33" i="6"/>
  <c r="O33" i="6"/>
  <c r="N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Q32" i="6"/>
  <c r="P32" i="6"/>
  <c r="O32" i="6"/>
  <c r="M32" i="6"/>
  <c r="N32" i="6" s="1"/>
  <c r="L32" i="6"/>
  <c r="J32" i="6"/>
  <c r="I32" i="6"/>
  <c r="K32" i="6" s="1"/>
  <c r="G32" i="6"/>
  <c r="F32" i="6"/>
  <c r="H32" i="6" s="1"/>
  <c r="E32" i="6"/>
  <c r="D32" i="6"/>
  <c r="C32" i="6"/>
  <c r="X31" i="6"/>
  <c r="Q31" i="6"/>
  <c r="N31" i="6"/>
  <c r="K31" i="6"/>
  <c r="H31" i="6"/>
  <c r="E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K34" i="6" s="1"/>
  <c r="H10" i="6"/>
  <c r="E10" i="6"/>
  <c r="X9" i="6"/>
  <c r="X33" i="6" s="1"/>
  <c r="Q9" i="6"/>
  <c r="Q34" i="6" s="1"/>
  <c r="N9" i="6"/>
  <c r="N34" i="6" s="1"/>
  <c r="K9" i="6"/>
  <c r="K33" i="6" s="1"/>
  <c r="H9" i="6"/>
  <c r="H33" i="6" s="1"/>
  <c r="E9" i="6"/>
  <c r="E34" i="6" s="1"/>
  <c r="Y34" i="5"/>
  <c r="W34" i="5"/>
  <c r="V34" i="5"/>
  <c r="U34" i="5"/>
  <c r="T34" i="5"/>
  <c r="S34" i="5"/>
  <c r="R34" i="5"/>
  <c r="P34" i="5"/>
  <c r="O34" i="5"/>
  <c r="M34" i="5"/>
  <c r="L34" i="5"/>
  <c r="J34" i="5"/>
  <c r="I34" i="5"/>
  <c r="G34" i="5"/>
  <c r="F34" i="5"/>
  <c r="D34" i="5"/>
  <c r="C34" i="5"/>
  <c r="Y33" i="5"/>
  <c r="W33" i="5"/>
  <c r="V33" i="5"/>
  <c r="U33" i="5"/>
  <c r="T33" i="5"/>
  <c r="S33" i="5"/>
  <c r="R33" i="5"/>
  <c r="Q33" i="5"/>
  <c r="P33" i="5"/>
  <c r="O33" i="5"/>
  <c r="M33" i="5"/>
  <c r="L33" i="5"/>
  <c r="J33" i="5"/>
  <c r="I33" i="5"/>
  <c r="G33" i="5"/>
  <c r="F33" i="5"/>
  <c r="E33" i="5"/>
  <c r="D33" i="5"/>
  <c r="C33" i="5"/>
  <c r="Y32" i="5"/>
  <c r="W32" i="5"/>
  <c r="V32" i="5"/>
  <c r="U32" i="5"/>
  <c r="T32" i="5"/>
  <c r="S32" i="5"/>
  <c r="R32" i="5"/>
  <c r="P32" i="5"/>
  <c r="Q32" i="5" s="1"/>
  <c r="O32" i="5"/>
  <c r="M32" i="5"/>
  <c r="L32" i="5"/>
  <c r="N32" i="5" s="1"/>
  <c r="J32" i="5"/>
  <c r="I32" i="5"/>
  <c r="K32" i="5" s="1"/>
  <c r="H32" i="5"/>
  <c r="G32" i="5"/>
  <c r="F32" i="5"/>
  <c r="D32" i="5"/>
  <c r="E32" i="5" s="1"/>
  <c r="C32" i="5"/>
  <c r="X31" i="5"/>
  <c r="Q31" i="5"/>
  <c r="N31" i="5"/>
  <c r="K31" i="5"/>
  <c r="H31" i="5"/>
  <c r="E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2" i="5" s="1"/>
  <c r="Q10" i="5"/>
  <c r="N10" i="5"/>
  <c r="K10" i="5"/>
  <c r="H10" i="5"/>
  <c r="E10" i="5"/>
  <c r="X9" i="5"/>
  <c r="X34" i="5" s="1"/>
  <c r="Q9" i="5"/>
  <c r="Q34" i="5" s="1"/>
  <c r="N9" i="5"/>
  <c r="N34" i="5" s="1"/>
  <c r="K9" i="5"/>
  <c r="K33" i="5" s="1"/>
  <c r="H9" i="5"/>
  <c r="H34" i="5" s="1"/>
  <c r="E9" i="5"/>
  <c r="E34" i="5" s="1"/>
  <c r="Y34" i="4"/>
  <c r="W34" i="4"/>
  <c r="V34" i="4"/>
  <c r="U34" i="4"/>
  <c r="T34" i="4"/>
  <c r="S34" i="4"/>
  <c r="R34" i="4"/>
  <c r="P34" i="4"/>
  <c r="O34" i="4"/>
  <c r="M34" i="4"/>
  <c r="L34" i="4"/>
  <c r="J34" i="4"/>
  <c r="I34" i="4"/>
  <c r="G34" i="4"/>
  <c r="F34" i="4"/>
  <c r="D34" i="4"/>
  <c r="C34" i="4"/>
  <c r="Y33" i="4"/>
  <c r="X33" i="4"/>
  <c r="W33" i="4"/>
  <c r="V33" i="4"/>
  <c r="U33" i="4"/>
  <c r="T33" i="4"/>
  <c r="S33" i="4"/>
  <c r="R33" i="4"/>
  <c r="P33" i="4"/>
  <c r="O33" i="4"/>
  <c r="M33" i="4"/>
  <c r="L33" i="4"/>
  <c r="J33" i="4"/>
  <c r="I33" i="4"/>
  <c r="H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Q32" i="4" s="1"/>
  <c r="M32" i="4"/>
  <c r="L32" i="4"/>
  <c r="N32" i="4" s="1"/>
  <c r="K32" i="4"/>
  <c r="J32" i="4"/>
  <c r="I32" i="4"/>
  <c r="G32" i="4"/>
  <c r="H32" i="4" s="1"/>
  <c r="F32" i="4"/>
  <c r="D32" i="4"/>
  <c r="C32" i="4"/>
  <c r="E32" i="4" s="1"/>
  <c r="X31" i="4"/>
  <c r="Q31" i="4"/>
  <c r="N31" i="4"/>
  <c r="K31" i="4"/>
  <c r="H31" i="4"/>
  <c r="E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Q34" i="4" s="1"/>
  <c r="N10" i="4"/>
  <c r="K10" i="4"/>
  <c r="H10" i="4"/>
  <c r="E10" i="4"/>
  <c r="E34" i="4" s="1"/>
  <c r="X9" i="4"/>
  <c r="X32" i="4" s="1"/>
  <c r="Q9" i="4"/>
  <c r="Q33" i="4" s="1"/>
  <c r="N9" i="4"/>
  <c r="N33" i="4" s="1"/>
  <c r="K9" i="4"/>
  <c r="K34" i="4" s="1"/>
  <c r="H9" i="4"/>
  <c r="H34" i="4" s="1"/>
  <c r="E9" i="4"/>
  <c r="E33" i="4" s="1"/>
  <c r="S34" i="3"/>
  <c r="R34" i="3"/>
  <c r="Q34" i="3"/>
  <c r="P34" i="3"/>
  <c r="O34" i="3"/>
  <c r="N34" i="3"/>
  <c r="M34" i="3"/>
  <c r="L34" i="3"/>
  <c r="J34" i="3"/>
  <c r="I34" i="3"/>
  <c r="G34" i="3"/>
  <c r="F34" i="3"/>
  <c r="D34" i="3"/>
  <c r="C34" i="3"/>
  <c r="S33" i="3"/>
  <c r="Q33" i="3"/>
  <c r="P33" i="3"/>
  <c r="O33" i="3"/>
  <c r="N33" i="3"/>
  <c r="M33" i="3"/>
  <c r="L33" i="3"/>
  <c r="K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K32" i="3" s="1"/>
  <c r="H32" i="3"/>
  <c r="G32" i="3"/>
  <c r="F32" i="3"/>
  <c r="D32" i="3"/>
  <c r="C32" i="3"/>
  <c r="E32" i="3" s="1"/>
  <c r="R31" i="3"/>
  <c r="K31" i="3"/>
  <c r="H31" i="3"/>
  <c r="E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2" i="3" s="1"/>
  <c r="K9" i="3"/>
  <c r="K34" i="3" s="1"/>
  <c r="H9" i="3"/>
  <c r="H34" i="3" s="1"/>
  <c r="E9" i="3"/>
  <c r="E33" i="3" s="1"/>
  <c r="S34" i="2"/>
  <c r="Q34" i="2"/>
  <c r="P34" i="2"/>
  <c r="O34" i="2"/>
  <c r="N34" i="2"/>
  <c r="M34" i="2"/>
  <c r="L34" i="2"/>
  <c r="J34" i="2"/>
  <c r="I34" i="2"/>
  <c r="G34" i="2"/>
  <c r="F34" i="2"/>
  <c r="D34" i="2"/>
  <c r="C34" i="2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H32" i="2" s="1"/>
  <c r="D32" i="2"/>
  <c r="C32" i="2"/>
  <c r="E32" i="2" s="1"/>
  <c r="R31" i="2"/>
  <c r="K31" i="2"/>
  <c r="H31" i="2"/>
  <c r="E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4" i="2" s="1"/>
  <c r="K9" i="2"/>
  <c r="K34" i="2" s="1"/>
  <c r="H9" i="2"/>
  <c r="H33" i="2" s="1"/>
  <c r="E9" i="2"/>
  <c r="E34" i="2" s="1"/>
  <c r="Y34" i="1"/>
  <c r="W34" i="1"/>
  <c r="V34" i="1"/>
  <c r="U34" i="1"/>
  <c r="T34" i="1"/>
  <c r="S34" i="1"/>
  <c r="R34" i="1"/>
  <c r="P34" i="1"/>
  <c r="O34" i="1"/>
  <c r="M34" i="1"/>
  <c r="L34" i="1"/>
  <c r="J34" i="1"/>
  <c r="I34" i="1"/>
  <c r="G34" i="1"/>
  <c r="F34" i="1"/>
  <c r="D34" i="1"/>
  <c r="C34" i="1"/>
  <c r="Y33" i="1"/>
  <c r="W33" i="1"/>
  <c r="V33" i="1"/>
  <c r="U33" i="1"/>
  <c r="T33" i="1"/>
  <c r="S33" i="1"/>
  <c r="R33" i="1"/>
  <c r="Q33" i="1"/>
  <c r="P33" i="1"/>
  <c r="O33" i="1"/>
  <c r="M33" i="1"/>
  <c r="L33" i="1"/>
  <c r="J33" i="1"/>
  <c r="I33" i="1"/>
  <c r="G33" i="1"/>
  <c r="F33" i="1"/>
  <c r="E33" i="1"/>
  <c r="D33" i="1"/>
  <c r="C33" i="1"/>
  <c r="Y32" i="1"/>
  <c r="W32" i="1"/>
  <c r="V32" i="1"/>
  <c r="U32" i="1"/>
  <c r="T32" i="1"/>
  <c r="S32" i="1"/>
  <c r="R32" i="1"/>
  <c r="P32" i="1"/>
  <c r="Q32" i="1" s="1"/>
  <c r="O32" i="1"/>
  <c r="M32" i="1"/>
  <c r="L32" i="1"/>
  <c r="N32" i="1" s="1"/>
  <c r="J32" i="1"/>
  <c r="I32" i="1"/>
  <c r="K32" i="1" s="1"/>
  <c r="H32" i="1"/>
  <c r="G32" i="1"/>
  <c r="F32" i="1"/>
  <c r="D32" i="1"/>
  <c r="E32" i="1" s="1"/>
  <c r="C32" i="1"/>
  <c r="X31" i="1"/>
  <c r="Q31" i="1"/>
  <c r="N31" i="1"/>
  <c r="K31" i="1"/>
  <c r="H31" i="1"/>
  <c r="E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32" i="1" s="1"/>
  <c r="Q10" i="1"/>
  <c r="N10" i="1"/>
  <c r="K10" i="1"/>
  <c r="H10" i="1"/>
  <c r="E10" i="1"/>
  <c r="X9" i="1"/>
  <c r="X34" i="1" s="1"/>
  <c r="Q9" i="1"/>
  <c r="Q34" i="1" s="1"/>
  <c r="N9" i="1"/>
  <c r="N34" i="1" s="1"/>
  <c r="K9" i="1"/>
  <c r="K33" i="1" s="1"/>
  <c r="H9" i="1"/>
  <c r="H34" i="1" s="1"/>
  <c r="E9" i="1"/>
  <c r="E34" i="1" s="1"/>
  <c r="H33" i="1" l="1"/>
  <c r="X33" i="1"/>
  <c r="R32" i="2"/>
  <c r="E33" i="2"/>
  <c r="H34" i="2"/>
  <c r="R33" i="3"/>
  <c r="E34" i="3"/>
  <c r="K33" i="4"/>
  <c r="X34" i="4"/>
  <c r="H33" i="5"/>
  <c r="X33" i="5"/>
  <c r="X32" i="6"/>
  <c r="E33" i="6"/>
  <c r="Q33" i="6"/>
  <c r="R33" i="7"/>
  <c r="K33" i="8"/>
  <c r="X34" i="8"/>
  <c r="R32" i="10"/>
  <c r="E33" i="10"/>
  <c r="H34" i="10"/>
  <c r="N33" i="1"/>
  <c r="K34" i="1"/>
  <c r="K33" i="2"/>
  <c r="H33" i="3"/>
  <c r="N34" i="4"/>
  <c r="N33" i="5"/>
  <c r="K34" i="5"/>
  <c r="H34" i="6"/>
  <c r="X34" i="6"/>
  <c r="H33" i="7"/>
  <c r="N34" i="8"/>
  <c r="K33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<sst xmlns="http://schemas.openxmlformats.org/spreadsheetml/2006/main" count="429" uniqueCount="99">
  <si>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</si>
  <si>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</si>
  <si>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</si>
  <si>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</si>
  <si>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</si>
  <si>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</si>
  <si>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</si>
  <si>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</si>
  <si>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</si>
  <si>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</si>
  <si>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</si>
  <si>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</si>
  <si>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</si>
  <si>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</si>
  <si>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</si>
  <si>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</si>
  <si>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</si>
  <si>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</si>
  <si>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</si>
  <si>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</si>
  <si>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</si>
  <si>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</si>
  <si>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</si>
  <si>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</si>
  <si>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</si>
  <si>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</si>
  <si>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</si>
  <si>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</si>
  <si>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</si>
  <si>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</si>
  <si>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</si>
  <si>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</si>
  <si>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</si>
  <si>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</si>
  <si>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</si>
  <si>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</si>
  <si>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</si>
  <si>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</si>
  <si>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</si>
  <si>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</si>
  <si>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</si>
  <si>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</si>
  <si>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</si>
  <si>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</si>
  <si>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</si>
  <si>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</si>
  <si>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</si>
  <si>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</si>
  <si>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</si>
  <si>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</si>
  <si>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</si>
  <si>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</si>
  <si>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</si>
  <si>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</si>
  <si>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</si>
  <si>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</si>
  <si>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</si>
  <si>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</si>
  <si>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</si>
  <si>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</si>
  <si>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</si>
  <si>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</si>
  <si>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</si>
  <si>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</si>
  <si>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</si>
  <si>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</si>
  <si>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</si>
  <si>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</si>
  <si>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</si>
  <si>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</si>
  <si>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</si>
  <si>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</si>
  <si>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</si>
  <si>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</si>
  <si>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</si>
  <si>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</si>
  <si>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</si>
  <si>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</si>
  <si>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</si>
  <si>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</si>
  <si>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</si>
  <si>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</si>
  <si>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</si>
  <si>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</si>
  <si>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</si>
  <si>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</si>
  <si>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</si>
  <si>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</si>
  <si>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</si>
  <si>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</si>
  <si>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</si>
  <si>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</si>
  <si>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</si>
  <si>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</si>
  <si>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</si>
  <si>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JULY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</si>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</sst>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44013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44013</v>
      </c>
      <c r="C9" s="46">
        <v>6016.5</v>
      </c>
      <c r="D9" s="45">
        <v>6016.5</v>
      </c>
      <c r="E9" s="44">
        <f t="shared" ref="E9:E31" si="0">AVERAGE(C9:D9)</f>
        <v>6016.5</v>
      </c>
      <c r="F9" s="46">
        <v>6023.5</v>
      </c>
      <c r="G9" s="45">
        <v>6023.5</v>
      </c>
      <c r="H9" s="44">
        <f t="shared" ref="H9:H31" si="1">AVERAGE(F9:G9)</f>
        <v>6023.5</v>
      </c>
      <c r="I9" s="46">
        <v>6060.5</v>
      </c>
      <c r="J9" s="45">
        <v>6060.5</v>
      </c>
      <c r="K9" s="44">
        <f t="shared" ref="K9:K31" si="2">AVERAGE(I9:J9)</f>
        <v>6060.5</v>
      </c>
      <c r="L9" s="46">
        <v>6099.5</v>
      </c>
      <c r="M9" s="45">
        <v>6099.5</v>
      </c>
      <c r="N9" s="44">
        <f t="shared" ref="N9:N31" si="3">AVERAGE(L9:M9)</f>
        <v>6099.5</v>
      </c>
      <c r="O9" s="46">
        <v>6150.5</v>
      </c>
      <c r="P9" s="45">
        <v>6150.5</v>
      </c>
      <c r="Q9" s="44">
        <f t="shared" ref="Q9:Q31" si="4">AVERAGE(O9:P9)</f>
        <v>6150.5</v>
      </c>
      <c r="R9" s="52">
        <v>6016.5</v>
      </c>
      <c r="S9" s="51">
        <v>1.2390000000000001</v>
      </c>
      <c r="T9" s="53">
        <v>1.1204000000000001</v>
      </c>
      <c r="U9" s="50">
        <v>107.46</v>
      </c>
      <c r="V9" s="43">
        <v>4855.93</v>
      </c>
      <c r="W9" s="43">
        <v>4858.84</v>
      </c>
      <c r="X9" s="49">
        <f t="shared" ref="X9:X31" si="5">R9/T9</f>
        <v>5369.9571581578002</v>
      </c>
      <c r="Y9" s="48">
        <v>1.2397</v>
      </c>
    </row>
    <row r="10" spans="1:25" x14ac:dyDescent="0.2">
      <c r="B10" s="47">
        <v>44014</v>
      </c>
      <c r="C10" s="46">
        <v>6080</v>
      </c>
      <c r="D10" s="45">
        <v>6080</v>
      </c>
      <c r="E10" s="44">
        <f t="shared" si="0"/>
        <v>6080</v>
      </c>
      <c r="F10" s="46">
        <v>6083</v>
      </c>
      <c r="G10" s="45">
        <v>6083</v>
      </c>
      <c r="H10" s="44">
        <f t="shared" si="1"/>
        <v>6083</v>
      </c>
      <c r="I10" s="46">
        <v>6118</v>
      </c>
      <c r="J10" s="45">
        <v>6118</v>
      </c>
      <c r="K10" s="44">
        <f t="shared" si="2"/>
        <v>6118</v>
      </c>
      <c r="L10" s="46">
        <v>6156</v>
      </c>
      <c r="M10" s="45">
        <v>6156</v>
      </c>
      <c r="N10" s="44">
        <f t="shared" si="3"/>
        <v>6156</v>
      </c>
      <c r="O10" s="46">
        <v>6206</v>
      </c>
      <c r="P10" s="45">
        <v>6206</v>
      </c>
      <c r="Q10" s="44">
        <f t="shared" si="4"/>
        <v>6206</v>
      </c>
      <c r="R10" s="52">
        <v>6080</v>
      </c>
      <c r="S10" s="51">
        <v>1.2519</v>
      </c>
      <c r="T10" s="51">
        <v>1.1287</v>
      </c>
      <c r="U10" s="50">
        <v>107.46</v>
      </c>
      <c r="V10" s="43">
        <v>4856.62</v>
      </c>
      <c r="W10" s="43">
        <v>4856.3</v>
      </c>
      <c r="X10" s="49">
        <f t="shared" si="5"/>
        <v>5386.7280942677417</v>
      </c>
      <c r="Y10" s="48">
        <v>1.2525999999999999</v>
      </c>
    </row>
    <row r="11" spans="1:25" x14ac:dyDescent="0.2">
      <c r="B11" s="47">
        <v>44015</v>
      </c>
      <c r="C11" s="46">
        <v>6022.5</v>
      </c>
      <c r="D11" s="45">
        <v>6022.5</v>
      </c>
      <c r="E11" s="44">
        <f t="shared" si="0"/>
        <v>6022.5</v>
      </c>
      <c r="F11" s="46">
        <v>6021</v>
      </c>
      <c r="G11" s="45">
        <v>6021</v>
      </c>
      <c r="H11" s="44">
        <f t="shared" si="1"/>
        <v>6021</v>
      </c>
      <c r="I11" s="46">
        <v>6056</v>
      </c>
      <c r="J11" s="45">
        <v>6056</v>
      </c>
      <c r="K11" s="44">
        <f t="shared" si="2"/>
        <v>6056</v>
      </c>
      <c r="L11" s="46">
        <v>6094</v>
      </c>
      <c r="M11" s="45">
        <v>6094</v>
      </c>
      <c r="N11" s="44">
        <f t="shared" si="3"/>
        <v>6094</v>
      </c>
      <c r="O11" s="46">
        <v>6144</v>
      </c>
      <c r="P11" s="45">
        <v>6144</v>
      </c>
      <c r="Q11" s="44">
        <f t="shared" si="4"/>
        <v>6144</v>
      </c>
      <c r="R11" s="52">
        <v>6022.5</v>
      </c>
      <c r="S11" s="51">
        <v>1.2454000000000001</v>
      </c>
      <c r="T11" s="51">
        <v>1.1224000000000001</v>
      </c>
      <c r="U11" s="50">
        <v>107.53</v>
      </c>
      <c r="V11" s="43">
        <v>4835.8</v>
      </c>
      <c r="W11" s="43">
        <v>4832.26</v>
      </c>
      <c r="X11" s="49">
        <f t="shared" si="5"/>
        <v>5365.7341411261577</v>
      </c>
      <c r="Y11" s="48">
        <v>1.246</v>
      </c>
    </row>
    <row r="12" spans="1:25" x14ac:dyDescent="0.2">
      <c r="B12" s="47">
        <v>44018</v>
      </c>
      <c r="C12" s="46">
        <v>6112</v>
      </c>
      <c r="D12" s="45">
        <v>6112</v>
      </c>
      <c r="E12" s="44">
        <f t="shared" si="0"/>
        <v>6112</v>
      </c>
      <c r="F12" s="46">
        <v>6105</v>
      </c>
      <c r="G12" s="45">
        <v>6105</v>
      </c>
      <c r="H12" s="44">
        <f t="shared" si="1"/>
        <v>6105</v>
      </c>
      <c r="I12" s="46">
        <v>6128</v>
      </c>
      <c r="J12" s="45">
        <v>6128</v>
      </c>
      <c r="K12" s="44">
        <f t="shared" si="2"/>
        <v>6128</v>
      </c>
      <c r="L12" s="46">
        <v>6160</v>
      </c>
      <c r="M12" s="45">
        <v>6160</v>
      </c>
      <c r="N12" s="44">
        <f t="shared" si="3"/>
        <v>6160</v>
      </c>
      <c r="O12" s="46">
        <v>6210</v>
      </c>
      <c r="P12" s="45">
        <v>6210</v>
      </c>
      <c r="Q12" s="44">
        <f t="shared" si="4"/>
        <v>6210</v>
      </c>
      <c r="R12" s="52">
        <v>6112</v>
      </c>
      <c r="S12" s="51">
        <v>1.2509999999999999</v>
      </c>
      <c r="T12" s="51">
        <v>1.1318999999999999</v>
      </c>
      <c r="U12" s="50">
        <v>107.53</v>
      </c>
      <c r="V12" s="43">
        <v>4885.6899999999996</v>
      </c>
      <c r="W12" s="43">
        <v>4877.37</v>
      </c>
      <c r="X12" s="49">
        <f t="shared" si="5"/>
        <v>5399.7702977294821</v>
      </c>
      <c r="Y12" s="48">
        <v>1.2517</v>
      </c>
    </row>
    <row r="13" spans="1:25" x14ac:dyDescent="0.2">
      <c r="B13" s="47">
        <v>44019</v>
      </c>
      <c r="C13" s="46">
        <v>6086</v>
      </c>
      <c r="D13" s="45">
        <v>6086</v>
      </c>
      <c r="E13" s="44">
        <f t="shared" si="0"/>
        <v>6086</v>
      </c>
      <c r="F13" s="46">
        <v>6089</v>
      </c>
      <c r="G13" s="45">
        <v>6089</v>
      </c>
      <c r="H13" s="44">
        <f t="shared" si="1"/>
        <v>6089</v>
      </c>
      <c r="I13" s="46">
        <v>6107.5</v>
      </c>
      <c r="J13" s="45">
        <v>6107.5</v>
      </c>
      <c r="K13" s="44">
        <f t="shared" si="2"/>
        <v>6107.5</v>
      </c>
      <c r="L13" s="46">
        <v>6137.5</v>
      </c>
      <c r="M13" s="45">
        <v>6137.5</v>
      </c>
      <c r="N13" s="44">
        <f t="shared" si="3"/>
        <v>6137.5</v>
      </c>
      <c r="O13" s="46">
        <v>6182.5</v>
      </c>
      <c r="P13" s="45">
        <v>6182.5</v>
      </c>
      <c r="Q13" s="44">
        <f t="shared" si="4"/>
        <v>6182.5</v>
      </c>
      <c r="R13" s="52">
        <v>6086</v>
      </c>
      <c r="S13" s="51">
        <v>1.2519</v>
      </c>
      <c r="T13" s="51">
        <v>1.1291</v>
      </c>
      <c r="U13" s="50">
        <v>107.72</v>
      </c>
      <c r="V13" s="43">
        <v>4861.41</v>
      </c>
      <c r="W13" s="43">
        <v>4861.09</v>
      </c>
      <c r="X13" s="49">
        <f t="shared" si="5"/>
        <v>5390.1337348330526</v>
      </c>
      <c r="Y13" s="48">
        <v>1.2525999999999999</v>
      </c>
    </row>
    <row r="14" spans="1:25" x14ac:dyDescent="0.2">
      <c r="B14" s="47">
        <v>44020</v>
      </c>
      <c r="C14" s="46">
        <v>6194</v>
      </c>
      <c r="D14" s="45">
        <v>6194</v>
      </c>
      <c r="E14" s="44">
        <f t="shared" si="0"/>
        <v>6194</v>
      </c>
      <c r="F14" s="46">
        <v>6197.5</v>
      </c>
      <c r="G14" s="45">
        <v>6197.5</v>
      </c>
      <c r="H14" s="44">
        <f t="shared" si="1"/>
        <v>6197.5</v>
      </c>
      <c r="I14" s="46">
        <v>6207.5</v>
      </c>
      <c r="J14" s="45">
        <v>6207.5</v>
      </c>
      <c r="K14" s="44">
        <f t="shared" si="2"/>
        <v>6207.5</v>
      </c>
      <c r="L14" s="46">
        <v>6235.5</v>
      </c>
      <c r="M14" s="45">
        <v>6235.5</v>
      </c>
      <c r="N14" s="44">
        <f t="shared" si="3"/>
        <v>6235.5</v>
      </c>
      <c r="O14" s="46">
        <v>6280.5</v>
      </c>
      <c r="P14" s="45">
        <v>6280.5</v>
      </c>
      <c r="Q14" s="44">
        <f t="shared" si="4"/>
        <v>6280.5</v>
      </c>
      <c r="R14" s="52">
        <v>6194</v>
      </c>
      <c r="S14" s="51">
        <v>1.2559</v>
      </c>
      <c r="T14" s="51">
        <v>1.129</v>
      </c>
      <c r="U14" s="50">
        <v>107.52</v>
      </c>
      <c r="V14" s="43">
        <v>4931.92</v>
      </c>
      <c r="W14" s="43">
        <v>4931.96</v>
      </c>
      <c r="X14" s="49">
        <f t="shared" si="5"/>
        <v>5486.2710363153237</v>
      </c>
      <c r="Y14" s="48">
        <v>1.2565999999999999</v>
      </c>
    </row>
    <row r="15" spans="1:25" x14ac:dyDescent="0.2">
      <c r="B15" s="47">
        <v>44021</v>
      </c>
      <c r="C15" s="46">
        <v>6339.5</v>
      </c>
      <c r="D15" s="45">
        <v>6339.5</v>
      </c>
      <c r="E15" s="44">
        <f t="shared" si="0"/>
        <v>6339.5</v>
      </c>
      <c r="F15" s="46">
        <v>6339.5</v>
      </c>
      <c r="G15" s="45">
        <v>6339.5</v>
      </c>
      <c r="H15" s="44">
        <f t="shared" si="1"/>
        <v>6339.5</v>
      </c>
      <c r="I15" s="46">
        <v>6337.5</v>
      </c>
      <c r="J15" s="45">
        <v>6337.5</v>
      </c>
      <c r="K15" s="44">
        <f t="shared" si="2"/>
        <v>6337.5</v>
      </c>
      <c r="L15" s="46">
        <v>6362.5</v>
      </c>
      <c r="M15" s="45">
        <v>6362.5</v>
      </c>
      <c r="N15" s="44">
        <f t="shared" si="3"/>
        <v>6362.5</v>
      </c>
      <c r="O15" s="46">
        <v>6407.5</v>
      </c>
      <c r="P15" s="45">
        <v>6407.5</v>
      </c>
      <c r="Q15" s="44">
        <f t="shared" si="4"/>
        <v>6407.5</v>
      </c>
      <c r="R15" s="52">
        <v>6339.5</v>
      </c>
      <c r="S15" s="51">
        <v>1.2652000000000001</v>
      </c>
      <c r="T15" s="51">
        <v>1.1343000000000001</v>
      </c>
      <c r="U15" s="50">
        <v>107.29</v>
      </c>
      <c r="V15" s="43">
        <v>5010.67</v>
      </c>
      <c r="W15" s="43">
        <v>5008.3</v>
      </c>
      <c r="X15" s="49">
        <f t="shared" si="5"/>
        <v>5588.9094595785946</v>
      </c>
      <c r="Y15" s="48">
        <v>1.2658</v>
      </c>
    </row>
    <row r="16" spans="1:25" x14ac:dyDescent="0.2">
      <c r="B16" s="47">
        <v>44022</v>
      </c>
      <c r="C16" s="46">
        <v>6322.5</v>
      </c>
      <c r="D16" s="45">
        <v>6322.5</v>
      </c>
      <c r="E16" s="44">
        <f t="shared" si="0"/>
        <v>6322.5</v>
      </c>
      <c r="F16" s="46">
        <v>6320</v>
      </c>
      <c r="G16" s="45">
        <v>6320</v>
      </c>
      <c r="H16" s="44">
        <f t="shared" si="1"/>
        <v>6320</v>
      </c>
      <c r="I16" s="46">
        <v>6326</v>
      </c>
      <c r="J16" s="45">
        <v>6326</v>
      </c>
      <c r="K16" s="44">
        <f t="shared" si="2"/>
        <v>6326</v>
      </c>
      <c r="L16" s="46">
        <v>6351.5</v>
      </c>
      <c r="M16" s="45">
        <v>6351.5</v>
      </c>
      <c r="N16" s="44">
        <f t="shared" si="3"/>
        <v>6351.5</v>
      </c>
      <c r="O16" s="46">
        <v>6396</v>
      </c>
      <c r="P16" s="45">
        <v>6396</v>
      </c>
      <c r="Q16" s="44">
        <f t="shared" si="4"/>
        <v>6396</v>
      </c>
      <c r="R16" s="52">
        <v>6322.5</v>
      </c>
      <c r="S16" s="51">
        <v>1.2599</v>
      </c>
      <c r="T16" s="51">
        <v>1.1286</v>
      </c>
      <c r="U16" s="50">
        <v>106.86</v>
      </c>
      <c r="V16" s="43">
        <v>5018.26</v>
      </c>
      <c r="W16" s="43">
        <v>5013.49</v>
      </c>
      <c r="X16" s="49">
        <f t="shared" si="5"/>
        <v>5602.0733652312601</v>
      </c>
      <c r="Y16" s="48">
        <v>1.2605999999999999</v>
      </c>
    </row>
    <row r="17" spans="2:25" x14ac:dyDescent="0.2">
      <c r="B17" s="47">
        <v>44025</v>
      </c>
      <c r="C17" s="46">
        <v>6545</v>
      </c>
      <c r="D17" s="45">
        <v>6545</v>
      </c>
      <c r="E17" s="44">
        <f t="shared" si="0"/>
        <v>6545</v>
      </c>
      <c r="F17" s="46">
        <v>6537</v>
      </c>
      <c r="G17" s="45">
        <v>6537</v>
      </c>
      <c r="H17" s="44">
        <f t="shared" si="1"/>
        <v>6537</v>
      </c>
      <c r="I17" s="46">
        <v>6514</v>
      </c>
      <c r="J17" s="45">
        <v>6514</v>
      </c>
      <c r="K17" s="44">
        <f t="shared" si="2"/>
        <v>6514</v>
      </c>
      <c r="L17" s="46">
        <v>6529</v>
      </c>
      <c r="M17" s="45">
        <v>6529</v>
      </c>
      <c r="N17" s="44">
        <f t="shared" si="3"/>
        <v>6529</v>
      </c>
      <c r="O17" s="46">
        <v>6564</v>
      </c>
      <c r="P17" s="45">
        <v>6564</v>
      </c>
      <c r="Q17" s="44">
        <f t="shared" si="4"/>
        <v>6564</v>
      </c>
      <c r="R17" s="52">
        <v>6545</v>
      </c>
      <c r="S17" s="51">
        <v>1.2604</v>
      </c>
      <c r="T17" s="51">
        <v>1.1335</v>
      </c>
      <c r="U17" s="50">
        <v>107.1</v>
      </c>
      <c r="V17" s="43">
        <v>5192.8</v>
      </c>
      <c r="W17" s="43">
        <v>5183.16</v>
      </c>
      <c r="X17" s="49">
        <f t="shared" si="5"/>
        <v>5774.1508601676223</v>
      </c>
      <c r="Y17" s="48">
        <v>1.2612000000000001</v>
      </c>
    </row>
    <row r="18" spans="2:25" x14ac:dyDescent="0.2">
      <c r="B18" s="47">
        <v>44026</v>
      </c>
      <c r="C18" s="46">
        <v>6489.5</v>
      </c>
      <c r="D18" s="45">
        <v>6489.5</v>
      </c>
      <c r="E18" s="44">
        <f t="shared" si="0"/>
        <v>6489.5</v>
      </c>
      <c r="F18" s="46">
        <v>6491</v>
      </c>
      <c r="G18" s="45">
        <v>6491</v>
      </c>
      <c r="H18" s="44">
        <f t="shared" si="1"/>
        <v>6491</v>
      </c>
      <c r="I18" s="46">
        <v>6474</v>
      </c>
      <c r="J18" s="45">
        <v>6474</v>
      </c>
      <c r="K18" s="44">
        <f t="shared" si="2"/>
        <v>6474</v>
      </c>
      <c r="L18" s="46">
        <v>6489</v>
      </c>
      <c r="M18" s="45">
        <v>6489</v>
      </c>
      <c r="N18" s="44">
        <f t="shared" si="3"/>
        <v>6489</v>
      </c>
      <c r="O18" s="46">
        <v>6524</v>
      </c>
      <c r="P18" s="45">
        <v>6524</v>
      </c>
      <c r="Q18" s="44">
        <f t="shared" si="4"/>
        <v>6524</v>
      </c>
      <c r="R18" s="52">
        <v>6489.5</v>
      </c>
      <c r="S18" s="51">
        <v>1.2529999999999999</v>
      </c>
      <c r="T18" s="51">
        <v>1.1377999999999999</v>
      </c>
      <c r="U18" s="50">
        <v>107.37</v>
      </c>
      <c r="V18" s="43">
        <v>5179.17</v>
      </c>
      <c r="W18" s="43">
        <v>5177.47</v>
      </c>
      <c r="X18" s="49">
        <f t="shared" si="5"/>
        <v>5703.5507119001586</v>
      </c>
      <c r="Y18" s="48">
        <v>1.2537</v>
      </c>
    </row>
    <row r="19" spans="2:25" x14ac:dyDescent="0.2">
      <c r="B19" s="47">
        <v>44027</v>
      </c>
      <c r="C19" s="46">
        <v>6507</v>
      </c>
      <c r="D19" s="45">
        <v>6507</v>
      </c>
      <c r="E19" s="44">
        <f t="shared" si="0"/>
        <v>6507</v>
      </c>
      <c r="F19" s="46">
        <v>6510</v>
      </c>
      <c r="G19" s="45">
        <v>6510</v>
      </c>
      <c r="H19" s="44">
        <f t="shared" si="1"/>
        <v>6510</v>
      </c>
      <c r="I19" s="46">
        <v>6504.5</v>
      </c>
      <c r="J19" s="45">
        <v>6504.5</v>
      </c>
      <c r="K19" s="44">
        <f t="shared" si="2"/>
        <v>6504.5</v>
      </c>
      <c r="L19" s="46">
        <v>6520.5</v>
      </c>
      <c r="M19" s="45">
        <v>6520.5</v>
      </c>
      <c r="N19" s="44">
        <f t="shared" si="3"/>
        <v>6520.5</v>
      </c>
      <c r="O19" s="46">
        <v>6555.5</v>
      </c>
      <c r="P19" s="45">
        <v>6555.5</v>
      </c>
      <c r="Q19" s="44">
        <f t="shared" si="4"/>
        <v>6555.5</v>
      </c>
      <c r="R19" s="52">
        <v>6507</v>
      </c>
      <c r="S19" s="51">
        <v>1.2632000000000001</v>
      </c>
      <c r="T19" s="51">
        <v>1.1438999999999999</v>
      </c>
      <c r="U19" s="50">
        <v>106.9</v>
      </c>
      <c r="V19" s="43">
        <v>5151.2</v>
      </c>
      <c r="W19" s="43">
        <v>5150.72</v>
      </c>
      <c r="X19" s="49">
        <f t="shared" si="5"/>
        <v>5688.4343036978762</v>
      </c>
      <c r="Y19" s="48">
        <v>1.2639</v>
      </c>
    </row>
    <row r="20" spans="2:25" x14ac:dyDescent="0.2">
      <c r="B20" s="47">
        <v>44028</v>
      </c>
      <c r="C20" s="46">
        <v>6385</v>
      </c>
      <c r="D20" s="45">
        <v>6385</v>
      </c>
      <c r="E20" s="44">
        <f t="shared" si="0"/>
        <v>6385</v>
      </c>
      <c r="F20" s="46">
        <v>6384</v>
      </c>
      <c r="G20" s="45">
        <v>6384</v>
      </c>
      <c r="H20" s="44">
        <f t="shared" si="1"/>
        <v>6384</v>
      </c>
      <c r="I20" s="46">
        <v>6377</v>
      </c>
      <c r="J20" s="45">
        <v>6377</v>
      </c>
      <c r="K20" s="44">
        <f t="shared" si="2"/>
        <v>6377</v>
      </c>
      <c r="L20" s="46">
        <v>6394.5</v>
      </c>
      <c r="M20" s="45">
        <v>6394.5</v>
      </c>
      <c r="N20" s="44">
        <f t="shared" si="3"/>
        <v>6394.5</v>
      </c>
      <c r="O20" s="46">
        <v>6429.5</v>
      </c>
      <c r="P20" s="45">
        <v>6429.5</v>
      </c>
      <c r="Q20" s="44">
        <f t="shared" si="4"/>
        <v>6429.5</v>
      </c>
      <c r="R20" s="52">
        <v>6385</v>
      </c>
      <c r="S20" s="51">
        <v>1.2555000000000001</v>
      </c>
      <c r="T20" s="51">
        <v>1.1413</v>
      </c>
      <c r="U20" s="50">
        <v>107.09</v>
      </c>
      <c r="V20" s="43">
        <v>5085.62</v>
      </c>
      <c r="W20" s="43">
        <v>5082.3999999999996</v>
      </c>
      <c r="X20" s="49">
        <f t="shared" si="5"/>
        <v>5594.4975028476301</v>
      </c>
      <c r="Y20" s="48">
        <v>1.2561</v>
      </c>
    </row>
    <row r="21" spans="2:25" x14ac:dyDescent="0.2">
      <c r="B21" s="47">
        <v>44029</v>
      </c>
      <c r="C21" s="46">
        <v>6454.5</v>
      </c>
      <c r="D21" s="45">
        <v>6454.5</v>
      </c>
      <c r="E21" s="44">
        <f t="shared" si="0"/>
        <v>6454.5</v>
      </c>
      <c r="F21" s="46">
        <v>6447</v>
      </c>
      <c r="G21" s="45">
        <v>6447</v>
      </c>
      <c r="H21" s="44">
        <f t="shared" si="1"/>
        <v>6447</v>
      </c>
      <c r="I21" s="46">
        <v>6434.5</v>
      </c>
      <c r="J21" s="45">
        <v>6434.5</v>
      </c>
      <c r="K21" s="44">
        <f t="shared" si="2"/>
        <v>6434.5</v>
      </c>
      <c r="L21" s="46">
        <v>6452</v>
      </c>
      <c r="M21" s="45">
        <v>6452</v>
      </c>
      <c r="N21" s="44">
        <f t="shared" si="3"/>
        <v>6452</v>
      </c>
      <c r="O21" s="46">
        <v>6487</v>
      </c>
      <c r="P21" s="45">
        <v>6487</v>
      </c>
      <c r="Q21" s="44">
        <f t="shared" si="4"/>
        <v>6487</v>
      </c>
      <c r="R21" s="52">
        <v>6454.5</v>
      </c>
      <c r="S21" s="51">
        <v>1.2546999999999999</v>
      </c>
      <c r="T21" s="51">
        <v>1.1422000000000001</v>
      </c>
      <c r="U21" s="50">
        <v>107.22</v>
      </c>
      <c r="V21" s="43">
        <v>5144.26</v>
      </c>
      <c r="W21" s="43">
        <v>5135.82</v>
      </c>
      <c r="X21" s="49">
        <f t="shared" si="5"/>
        <v>5650.9367886534756</v>
      </c>
      <c r="Y21" s="48">
        <v>1.2553000000000001</v>
      </c>
    </row>
    <row r="22" spans="2:25" x14ac:dyDescent="0.2">
      <c r="B22" s="47">
        <v>44032</v>
      </c>
      <c r="C22" s="46">
        <v>6416.5</v>
      </c>
      <c r="D22" s="45">
        <v>6416.5</v>
      </c>
      <c r="E22" s="44">
        <f t="shared" si="0"/>
        <v>6416.5</v>
      </c>
      <c r="F22" s="46">
        <v>6410.5</v>
      </c>
      <c r="G22" s="45">
        <v>6410.5</v>
      </c>
      <c r="H22" s="44">
        <f t="shared" si="1"/>
        <v>6410.5</v>
      </c>
      <c r="I22" s="46">
        <v>6402</v>
      </c>
      <c r="J22" s="45">
        <v>6402</v>
      </c>
      <c r="K22" s="44">
        <f t="shared" si="2"/>
        <v>6402</v>
      </c>
      <c r="L22" s="46">
        <v>6422</v>
      </c>
      <c r="M22" s="45">
        <v>6422</v>
      </c>
      <c r="N22" s="44">
        <f t="shared" si="3"/>
        <v>6422</v>
      </c>
      <c r="O22" s="46">
        <v>6457</v>
      </c>
      <c r="P22" s="45">
        <v>6457</v>
      </c>
      <c r="Q22" s="44">
        <f t="shared" si="4"/>
        <v>6457</v>
      </c>
      <c r="R22" s="52">
        <v>6416.5</v>
      </c>
      <c r="S22" s="51">
        <v>1.2634000000000001</v>
      </c>
      <c r="T22" s="51">
        <v>1.1447000000000001</v>
      </c>
      <c r="U22" s="50">
        <v>107.1</v>
      </c>
      <c r="V22" s="43">
        <v>5078.76</v>
      </c>
      <c r="W22" s="43">
        <v>5071.2</v>
      </c>
      <c r="X22" s="49">
        <f t="shared" si="5"/>
        <v>5605.3987944439586</v>
      </c>
      <c r="Y22" s="48">
        <v>1.2641</v>
      </c>
    </row>
    <row r="23" spans="2:25" x14ac:dyDescent="0.2">
      <c r="B23" s="47">
        <v>44033</v>
      </c>
      <c r="C23" s="46">
        <v>6513</v>
      </c>
      <c r="D23" s="45">
        <v>6513</v>
      </c>
      <c r="E23" s="44">
        <f t="shared" si="0"/>
        <v>6513</v>
      </c>
      <c r="F23" s="46">
        <v>6505</v>
      </c>
      <c r="G23" s="45">
        <v>6505</v>
      </c>
      <c r="H23" s="44">
        <f t="shared" si="1"/>
        <v>6505</v>
      </c>
      <c r="I23" s="46">
        <v>6494</v>
      </c>
      <c r="J23" s="45">
        <v>6494</v>
      </c>
      <c r="K23" s="44">
        <f t="shared" si="2"/>
        <v>6494</v>
      </c>
      <c r="L23" s="46">
        <v>6509</v>
      </c>
      <c r="M23" s="45">
        <v>6509</v>
      </c>
      <c r="N23" s="44">
        <f t="shared" si="3"/>
        <v>6509</v>
      </c>
      <c r="O23" s="46">
        <v>6544</v>
      </c>
      <c r="P23" s="45">
        <v>6544</v>
      </c>
      <c r="Q23" s="44">
        <f t="shared" si="4"/>
        <v>6544</v>
      </c>
      <c r="R23" s="52">
        <v>6513</v>
      </c>
      <c r="S23" s="51">
        <v>1.2694000000000001</v>
      </c>
      <c r="T23" s="51">
        <v>1.1436999999999999</v>
      </c>
      <c r="U23" s="50">
        <v>107.24</v>
      </c>
      <c r="V23" s="43">
        <v>5130.7700000000004</v>
      </c>
      <c r="W23" s="43">
        <v>5122.05</v>
      </c>
      <c r="X23" s="49">
        <f t="shared" si="5"/>
        <v>5694.6751770569208</v>
      </c>
      <c r="Y23" s="48">
        <v>1.27</v>
      </c>
    </row>
    <row r="24" spans="2:25" x14ac:dyDescent="0.2">
      <c r="B24" s="47">
        <v>44034</v>
      </c>
      <c r="C24" s="46">
        <v>6527</v>
      </c>
      <c r="D24" s="45">
        <v>6527</v>
      </c>
      <c r="E24" s="44">
        <f t="shared" si="0"/>
        <v>6527</v>
      </c>
      <c r="F24" s="46">
        <v>6506</v>
      </c>
      <c r="G24" s="45">
        <v>6506</v>
      </c>
      <c r="H24" s="44">
        <f t="shared" si="1"/>
        <v>6506</v>
      </c>
      <c r="I24" s="46">
        <v>6490.5</v>
      </c>
      <c r="J24" s="45">
        <v>6490.5</v>
      </c>
      <c r="K24" s="44">
        <f t="shared" si="2"/>
        <v>6490.5</v>
      </c>
      <c r="L24" s="46">
        <v>6503.5</v>
      </c>
      <c r="M24" s="45">
        <v>6503.5</v>
      </c>
      <c r="N24" s="44">
        <f t="shared" si="3"/>
        <v>6503.5</v>
      </c>
      <c r="O24" s="46">
        <v>6538.5</v>
      </c>
      <c r="P24" s="45">
        <v>6538.5</v>
      </c>
      <c r="Q24" s="44">
        <f t="shared" si="4"/>
        <v>6538.5</v>
      </c>
      <c r="R24" s="52">
        <v>6527</v>
      </c>
      <c r="S24" s="51">
        <v>1.2698</v>
      </c>
      <c r="T24" s="51">
        <v>1.1577999999999999</v>
      </c>
      <c r="U24" s="50">
        <v>106.98</v>
      </c>
      <c r="V24" s="43">
        <v>5140.18</v>
      </c>
      <c r="W24" s="43">
        <v>5121.22</v>
      </c>
      <c r="X24" s="49">
        <f t="shared" si="5"/>
        <v>5637.4157885645191</v>
      </c>
      <c r="Y24" s="48">
        <v>1.2704</v>
      </c>
    </row>
    <row r="25" spans="2:25" x14ac:dyDescent="0.2">
      <c r="B25" s="47">
        <v>44035</v>
      </c>
      <c r="C25" s="46">
        <v>6533.5</v>
      </c>
      <c r="D25" s="45">
        <v>6533.5</v>
      </c>
      <c r="E25" s="44">
        <f t="shared" si="0"/>
        <v>6533.5</v>
      </c>
      <c r="F25" s="46">
        <v>6510.5</v>
      </c>
      <c r="G25" s="45">
        <v>6510.5</v>
      </c>
      <c r="H25" s="44">
        <f t="shared" si="1"/>
        <v>6510.5</v>
      </c>
      <c r="I25" s="46">
        <v>6479</v>
      </c>
      <c r="J25" s="45">
        <v>6479</v>
      </c>
      <c r="K25" s="44">
        <f t="shared" si="2"/>
        <v>6479</v>
      </c>
      <c r="L25" s="46">
        <v>6487</v>
      </c>
      <c r="M25" s="45">
        <v>6487</v>
      </c>
      <c r="N25" s="44">
        <f t="shared" si="3"/>
        <v>6487</v>
      </c>
      <c r="O25" s="46">
        <v>6522</v>
      </c>
      <c r="P25" s="45">
        <v>6522</v>
      </c>
      <c r="Q25" s="44">
        <f t="shared" si="4"/>
        <v>6522</v>
      </c>
      <c r="R25" s="52">
        <v>6533.5</v>
      </c>
      <c r="S25" s="51">
        <v>1.2689999999999999</v>
      </c>
      <c r="T25" s="51">
        <v>1.1572</v>
      </c>
      <c r="U25" s="50">
        <v>107.18</v>
      </c>
      <c r="V25" s="43">
        <v>5148.54</v>
      </c>
      <c r="W25" s="43">
        <v>5127.99</v>
      </c>
      <c r="X25" s="49">
        <f t="shared" si="5"/>
        <v>5645.955755271345</v>
      </c>
      <c r="Y25" s="48">
        <v>1.2696000000000001</v>
      </c>
    </row>
    <row r="26" spans="2:25" x14ac:dyDescent="0.2">
      <c r="B26" s="47">
        <v>44036</v>
      </c>
      <c r="C26" s="46">
        <v>6412.5</v>
      </c>
      <c r="D26" s="45">
        <v>6412.5</v>
      </c>
      <c r="E26" s="44">
        <f t="shared" si="0"/>
        <v>6412.5</v>
      </c>
      <c r="F26" s="46">
        <v>6389.5</v>
      </c>
      <c r="G26" s="45">
        <v>6389.5</v>
      </c>
      <c r="H26" s="44">
        <f t="shared" si="1"/>
        <v>6389.5</v>
      </c>
      <c r="I26" s="46">
        <v>6355.5</v>
      </c>
      <c r="J26" s="45">
        <v>6355.5</v>
      </c>
      <c r="K26" s="44">
        <f t="shared" si="2"/>
        <v>6355.5</v>
      </c>
      <c r="L26" s="46">
        <v>6358.5</v>
      </c>
      <c r="M26" s="45">
        <v>6358.5</v>
      </c>
      <c r="N26" s="44">
        <f t="shared" si="3"/>
        <v>6358.5</v>
      </c>
      <c r="O26" s="46">
        <v>6388.5</v>
      </c>
      <c r="P26" s="45">
        <v>6388.5</v>
      </c>
      <c r="Q26" s="44">
        <f t="shared" si="4"/>
        <v>6388.5</v>
      </c>
      <c r="R26" s="52">
        <v>6412.5</v>
      </c>
      <c r="S26" s="51">
        <v>1.2754000000000001</v>
      </c>
      <c r="T26" s="51">
        <v>1.1600999999999999</v>
      </c>
      <c r="U26" s="50">
        <v>106.22</v>
      </c>
      <c r="V26" s="43">
        <v>5027.83</v>
      </c>
      <c r="W26" s="43">
        <v>5007.45</v>
      </c>
      <c r="X26" s="49">
        <f t="shared" si="5"/>
        <v>5527.5407292474792</v>
      </c>
      <c r="Y26" s="48">
        <v>1.276</v>
      </c>
    </row>
    <row r="27" spans="2:25" x14ac:dyDescent="0.2">
      <c r="B27" s="47">
        <v>44039</v>
      </c>
      <c r="C27" s="46">
        <v>6425.5</v>
      </c>
      <c r="D27" s="45">
        <v>6425.5</v>
      </c>
      <c r="E27" s="44">
        <f t="shared" si="0"/>
        <v>6425.5</v>
      </c>
      <c r="F27" s="46">
        <v>6420</v>
      </c>
      <c r="G27" s="45">
        <v>6420</v>
      </c>
      <c r="H27" s="44">
        <f t="shared" si="1"/>
        <v>6420</v>
      </c>
      <c r="I27" s="46">
        <v>6396</v>
      </c>
      <c r="J27" s="45">
        <v>6396</v>
      </c>
      <c r="K27" s="44">
        <f t="shared" si="2"/>
        <v>6396</v>
      </c>
      <c r="L27" s="46">
        <v>6403</v>
      </c>
      <c r="M27" s="45">
        <v>6403</v>
      </c>
      <c r="N27" s="44">
        <f t="shared" si="3"/>
        <v>6403</v>
      </c>
      <c r="O27" s="46">
        <v>6433</v>
      </c>
      <c r="P27" s="45">
        <v>6433</v>
      </c>
      <c r="Q27" s="44">
        <f t="shared" si="4"/>
        <v>6433</v>
      </c>
      <c r="R27" s="52">
        <v>6425.5</v>
      </c>
      <c r="S27" s="51">
        <v>1.2873000000000001</v>
      </c>
      <c r="T27" s="51">
        <v>1.1744000000000001</v>
      </c>
      <c r="U27" s="50">
        <v>105.31</v>
      </c>
      <c r="V27" s="43">
        <v>4991.45</v>
      </c>
      <c r="W27" s="43">
        <v>4984.8599999999997</v>
      </c>
      <c r="X27" s="49">
        <f t="shared" si="5"/>
        <v>5471.3044959128056</v>
      </c>
      <c r="Y27" s="48">
        <v>1.2879</v>
      </c>
    </row>
    <row r="28" spans="2:25" x14ac:dyDescent="0.2">
      <c r="B28" s="47">
        <v>44040</v>
      </c>
      <c r="C28" s="46">
        <v>6399.5</v>
      </c>
      <c r="D28" s="45">
        <v>6399.5</v>
      </c>
      <c r="E28" s="44">
        <f t="shared" si="0"/>
        <v>6399.5</v>
      </c>
      <c r="F28" s="46">
        <v>6393</v>
      </c>
      <c r="G28" s="45">
        <v>6393</v>
      </c>
      <c r="H28" s="44">
        <f t="shared" si="1"/>
        <v>6393</v>
      </c>
      <c r="I28" s="46">
        <v>6380</v>
      </c>
      <c r="J28" s="45">
        <v>6380</v>
      </c>
      <c r="K28" s="44">
        <f t="shared" si="2"/>
        <v>6380</v>
      </c>
      <c r="L28" s="46">
        <v>6390</v>
      </c>
      <c r="M28" s="45">
        <v>6390</v>
      </c>
      <c r="N28" s="44">
        <f t="shared" si="3"/>
        <v>6390</v>
      </c>
      <c r="O28" s="46">
        <v>6420</v>
      </c>
      <c r="P28" s="45">
        <v>6420</v>
      </c>
      <c r="Q28" s="44">
        <f t="shared" si="4"/>
        <v>6420</v>
      </c>
      <c r="R28" s="52">
        <v>6399.5</v>
      </c>
      <c r="S28" s="51">
        <v>1.2864</v>
      </c>
      <c r="T28" s="51">
        <v>1.1705000000000001</v>
      </c>
      <c r="U28" s="50">
        <v>105.36</v>
      </c>
      <c r="V28" s="43">
        <v>4974.74</v>
      </c>
      <c r="W28" s="43">
        <v>4966.9799999999996</v>
      </c>
      <c r="X28" s="49">
        <f t="shared" si="5"/>
        <v>5467.3216574113621</v>
      </c>
      <c r="Y28" s="48">
        <v>1.2870999999999999</v>
      </c>
    </row>
    <row r="29" spans="2:25" x14ac:dyDescent="0.2">
      <c r="B29" s="47">
        <v>44041</v>
      </c>
      <c r="C29" s="46">
        <v>6475</v>
      </c>
      <c r="D29" s="45">
        <v>6475</v>
      </c>
      <c r="E29" s="44">
        <f t="shared" si="0"/>
        <v>6475</v>
      </c>
      <c r="F29" s="46">
        <v>6468</v>
      </c>
      <c r="G29" s="45">
        <v>6468</v>
      </c>
      <c r="H29" s="44">
        <f t="shared" si="1"/>
        <v>6468</v>
      </c>
      <c r="I29" s="46">
        <v>6449</v>
      </c>
      <c r="J29" s="45">
        <v>6449</v>
      </c>
      <c r="K29" s="44">
        <f t="shared" si="2"/>
        <v>6449</v>
      </c>
      <c r="L29" s="46">
        <v>6458</v>
      </c>
      <c r="M29" s="45">
        <v>6458</v>
      </c>
      <c r="N29" s="44">
        <f t="shared" si="3"/>
        <v>6458</v>
      </c>
      <c r="O29" s="46">
        <v>6452.5</v>
      </c>
      <c r="P29" s="45">
        <v>6452.5</v>
      </c>
      <c r="Q29" s="44">
        <f t="shared" si="4"/>
        <v>6452.5</v>
      </c>
      <c r="R29" s="52">
        <v>6475</v>
      </c>
      <c r="S29" s="51">
        <v>1.2965</v>
      </c>
      <c r="T29" s="51">
        <v>1.1722999999999999</v>
      </c>
      <c r="U29" s="50">
        <v>105.15</v>
      </c>
      <c r="V29" s="43">
        <v>4994.22</v>
      </c>
      <c r="W29" s="43">
        <v>4986.12</v>
      </c>
      <c r="X29" s="49">
        <f t="shared" si="5"/>
        <v>5523.3302055787772</v>
      </c>
      <c r="Y29" s="48">
        <v>1.2971999999999999</v>
      </c>
    </row>
    <row r="30" spans="2:25" x14ac:dyDescent="0.2">
      <c r="B30" s="47">
        <v>44042</v>
      </c>
      <c r="C30" s="46">
        <v>6433.5</v>
      </c>
      <c r="D30" s="45">
        <v>6433.5</v>
      </c>
      <c r="E30" s="44">
        <f t="shared" si="0"/>
        <v>6433.5</v>
      </c>
      <c r="F30" s="46">
        <v>6428</v>
      </c>
      <c r="G30" s="45">
        <v>6428</v>
      </c>
      <c r="H30" s="44">
        <f t="shared" si="1"/>
        <v>6428</v>
      </c>
      <c r="I30" s="46">
        <v>6420</v>
      </c>
      <c r="J30" s="45">
        <v>6420</v>
      </c>
      <c r="K30" s="44">
        <f t="shared" si="2"/>
        <v>6420</v>
      </c>
      <c r="L30" s="46">
        <v>6430.5</v>
      </c>
      <c r="M30" s="45">
        <v>6430.5</v>
      </c>
      <c r="N30" s="44">
        <f t="shared" si="3"/>
        <v>6430.5</v>
      </c>
      <c r="O30" s="46">
        <v>6455.5</v>
      </c>
      <c r="P30" s="45">
        <v>6455.5</v>
      </c>
      <c r="Q30" s="44">
        <f t="shared" si="4"/>
        <v>6455.5</v>
      </c>
      <c r="R30" s="52">
        <v>6433.5</v>
      </c>
      <c r="S30" s="51">
        <v>1.3019000000000001</v>
      </c>
      <c r="T30" s="51">
        <v>1.1749000000000001</v>
      </c>
      <c r="U30" s="50">
        <v>105.19</v>
      </c>
      <c r="V30" s="43">
        <v>4941.62</v>
      </c>
      <c r="W30" s="43">
        <v>4935.12</v>
      </c>
      <c r="X30" s="49">
        <f t="shared" si="5"/>
        <v>5475.78517320623</v>
      </c>
      <c r="Y30" s="48">
        <v>1.3025</v>
      </c>
    </row>
    <row r="31" spans="2:25" x14ac:dyDescent="0.2">
      <c r="B31" s="47">
        <v>44043</v>
      </c>
      <c r="C31" s="46">
        <v>6446.5</v>
      </c>
      <c r="D31" s="45">
        <v>6446.5</v>
      </c>
      <c r="E31" s="44">
        <f t="shared" si="0"/>
        <v>6446.5</v>
      </c>
      <c r="F31" s="46">
        <v>6439.5</v>
      </c>
      <c r="G31" s="45">
        <v>6439.5</v>
      </c>
      <c r="H31" s="44">
        <f t="shared" si="1"/>
        <v>6439.5</v>
      </c>
      <c r="I31" s="46">
        <v>6429.5</v>
      </c>
      <c r="J31" s="45">
        <v>6429.5</v>
      </c>
      <c r="K31" s="44">
        <f t="shared" si="2"/>
        <v>6429.5</v>
      </c>
      <c r="L31" s="46">
        <v>6445</v>
      </c>
      <c r="M31" s="45">
        <v>6445</v>
      </c>
      <c r="N31" s="44">
        <f t="shared" si="3"/>
        <v>6445</v>
      </c>
      <c r="O31" s="46">
        <v>6470</v>
      </c>
      <c r="P31" s="45">
        <v>6470</v>
      </c>
      <c r="Q31" s="44">
        <f t="shared" si="4"/>
        <v>6470</v>
      </c>
      <c r="R31" s="52">
        <v>6446.5</v>
      </c>
      <c r="S31" s="51">
        <v>1.3142</v>
      </c>
      <c r="T31" s="51">
        <v>1.1840999999999999</v>
      </c>
      <c r="U31" s="50">
        <v>104.91</v>
      </c>
      <c r="V31" s="43">
        <v>4905.2700000000004</v>
      </c>
      <c r="W31" s="43">
        <v>4897.7</v>
      </c>
      <c r="X31" s="49">
        <f t="shared" si="5"/>
        <v>5444.2192382400135</v>
      </c>
      <c r="Y31" s="48">
        <v>1.3148</v>
      </c>
    </row>
    <row r="32" spans="2:25" s="10" customFormat="1" x14ac:dyDescent="0.2">
      <c r="B32" s="42" t="s">
        <v>11</v>
      </c>
      <c r="C32" s="41">
        <f>ROUND(AVERAGE(C9:C31),2)</f>
        <v>6353.76</v>
      </c>
      <c r="D32" s="40">
        <f>ROUND(AVERAGE(D9:D31),2)</f>
        <v>6353.76</v>
      </c>
      <c r="E32" s="39">
        <f>ROUND(AVERAGE(C32:D32),2)</f>
        <v>6353.76</v>
      </c>
      <c r="F32" s="41">
        <f>ROUND(AVERAGE(F9:F31),2)</f>
        <v>6348.59</v>
      </c>
      <c r="G32" s="40">
        <f>ROUND(AVERAGE(G9:G31),2)</f>
        <v>6348.59</v>
      </c>
      <c r="H32" s="39">
        <f>ROUND(AVERAGE(F32:G32),2)</f>
        <v>6348.59</v>
      </c>
      <c r="I32" s="41">
        <f>ROUND(AVERAGE(I9:I31),2)</f>
        <v>6345.24</v>
      </c>
      <c r="J32" s="40">
        <f>ROUND(AVERAGE(J9:J31),2)</f>
        <v>6345.24</v>
      </c>
      <c r="K32" s="39">
        <f>ROUND(AVERAGE(I32:J32),2)</f>
        <v>6345.24</v>
      </c>
      <c r="L32" s="41">
        <f>ROUND(AVERAGE(L9:L31),2)</f>
        <v>6364.7</v>
      </c>
      <c r="M32" s="40">
        <f>ROUND(AVERAGE(M9:M31),2)</f>
        <v>6364.7</v>
      </c>
      <c r="N32" s="39">
        <f>ROUND(AVERAGE(L32:M32),2)</f>
        <v>6364.7</v>
      </c>
      <c r="O32" s="41">
        <f>ROUND(AVERAGE(O9:O31),2)</f>
        <v>6400.78</v>
      </c>
      <c r="P32" s="40">
        <f>ROUND(AVERAGE(P9:P31),2)</f>
        <v>6400.78</v>
      </c>
      <c r="Q32" s="39">
        <f>ROUND(AVERAGE(O32:P32),2)</f>
        <v>6400.78</v>
      </c>
      <c r="R32" s="38">
        <f>ROUND(AVERAGE(R9:R31),2)</f>
        <v>6353.76</v>
      </c>
      <c r="S32" s="37">
        <f>ROUND(AVERAGE(S9:S31),4)</f>
        <v>1.2669999999999999</v>
      </c>
      <c r="T32" s="36">
        <f>ROUND(AVERAGE(T9:T31),4)</f>
        <v>1.1462000000000001</v>
      </c>
      <c r="U32" s="175">
        <f>ROUND(AVERAGE(U9:U31),2)</f>
        <v>106.77</v>
      </c>
      <c r="V32" s="35">
        <f>AVERAGE(V9:V31)</f>
        <v>5014.9013043478262</v>
      </c>
      <c r="W32" s="35">
        <f>AVERAGE(W9:W31)</f>
        <v>5008.2552173913045</v>
      </c>
      <c r="X32" s="35">
        <f>AVERAGE(X9:X31)</f>
        <v>5543.2214986712861</v>
      </c>
      <c r="Y32" s="34">
        <f>AVERAGE(Y9:Y31)</f>
        <v>1.2676260869565217</v>
      </c>
    </row>
    <row r="33" spans="2:25" s="5" customFormat="1" x14ac:dyDescent="0.2">
      <c r="B33" s="33" t="s">
        <v>12</v>
      </c>
      <c r="C33" s="32">
        <f t="shared" ref="C33:Y33" si="6">MAX(C9:C31)</f>
        <v>6545</v>
      </c>
      <c r="D33" s="31">
        <f t="shared" si="6"/>
        <v>6545</v>
      </c>
      <c r="E33" s="30">
        <f t="shared" si="6"/>
        <v>6545</v>
      </c>
      <c r="F33" s="32">
        <f t="shared" si="6"/>
        <v>6537</v>
      </c>
      <c r="G33" s="31">
        <f t="shared" si="6"/>
        <v>6537</v>
      </c>
      <c r="H33" s="30">
        <f t="shared" si="6"/>
        <v>6537</v>
      </c>
      <c r="I33" s="32">
        <f t="shared" si="6"/>
        <v>6514</v>
      </c>
      <c r="J33" s="31">
        <f t="shared" si="6"/>
        <v>6514</v>
      </c>
      <c r="K33" s="30">
        <f t="shared" si="6"/>
        <v>6514</v>
      </c>
      <c r="L33" s="32">
        <f t="shared" si="6"/>
        <v>6529</v>
      </c>
      <c r="M33" s="31">
        <f t="shared" si="6"/>
        <v>6529</v>
      </c>
      <c r="N33" s="30">
        <f t="shared" si="6"/>
        <v>6529</v>
      </c>
      <c r="O33" s="32">
        <f t="shared" si="6"/>
        <v>6564</v>
      </c>
      <c r="P33" s="31">
        <f t="shared" si="6"/>
        <v>6564</v>
      </c>
      <c r="Q33" s="30">
        <f t="shared" si="6"/>
        <v>6564</v>
      </c>
      <c r="R33" s="29">
        <f t="shared" si="6"/>
        <v>6545</v>
      </c>
      <c r="S33" s="28">
        <f t="shared" si="6"/>
        <v>1.3142</v>
      </c>
      <c r="T33" s="27">
        <f t="shared" si="6"/>
        <v>1.1840999999999999</v>
      </c>
      <c r="U33" s="26">
        <f t="shared" si="6"/>
        <v>107.72</v>
      </c>
      <c r="V33" s="25">
        <f t="shared" si="6"/>
        <v>5192.8</v>
      </c>
      <c r="W33" s="25">
        <f t="shared" si="6"/>
        <v>5183.16</v>
      </c>
      <c r="X33" s="25">
        <f t="shared" si="6"/>
        <v>5774.1508601676223</v>
      </c>
      <c r="Y33" s="24">
        <f t="shared" si="6"/>
        <v>1.3148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6016.5</v>
      </c>
      <c r="D34" s="21">
        <f t="shared" si="7"/>
        <v>6016.5</v>
      </c>
      <c r="E34" s="20">
        <f t="shared" si="7"/>
        <v>6016.5</v>
      </c>
      <c r="F34" s="22">
        <f t="shared" si="7"/>
        <v>6021</v>
      </c>
      <c r="G34" s="21">
        <f t="shared" si="7"/>
        <v>6021</v>
      </c>
      <c r="H34" s="20">
        <f t="shared" si="7"/>
        <v>6021</v>
      </c>
      <c r="I34" s="22">
        <f t="shared" si="7"/>
        <v>6056</v>
      </c>
      <c r="J34" s="21">
        <f t="shared" si="7"/>
        <v>6056</v>
      </c>
      <c r="K34" s="20">
        <f t="shared" si="7"/>
        <v>6056</v>
      </c>
      <c r="L34" s="22">
        <f t="shared" si="7"/>
        <v>6094</v>
      </c>
      <c r="M34" s="21">
        <f t="shared" si="7"/>
        <v>6094</v>
      </c>
      <c r="N34" s="20">
        <f t="shared" si="7"/>
        <v>6094</v>
      </c>
      <c r="O34" s="22">
        <f t="shared" si="7"/>
        <v>6144</v>
      </c>
      <c r="P34" s="21">
        <f t="shared" si="7"/>
        <v>6144</v>
      </c>
      <c r="Q34" s="20">
        <f t="shared" si="7"/>
        <v>6144</v>
      </c>
      <c r="R34" s="19">
        <f t="shared" si="7"/>
        <v>6016.5</v>
      </c>
      <c r="S34" s="18">
        <f t="shared" si="7"/>
        <v>1.2390000000000001</v>
      </c>
      <c r="T34" s="17">
        <f t="shared" si="7"/>
        <v>1.1204000000000001</v>
      </c>
      <c r="U34" s="16">
        <f t="shared" si="7"/>
        <v>104.91</v>
      </c>
      <c r="V34" s="15">
        <f t="shared" si="7"/>
        <v>4835.8</v>
      </c>
      <c r="W34" s="15">
        <f t="shared" si="7"/>
        <v>4832.26</v>
      </c>
      <c r="X34" s="15">
        <f t="shared" si="7"/>
        <v>5365.7341411261577</v>
      </c>
      <c r="Y34" s="14">
        <f t="shared" si="7"/>
        <v>1.2397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44013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44013</v>
      </c>
      <c r="C9" s="46">
        <v>1215</v>
      </c>
      <c r="D9" s="45">
        <v>1215</v>
      </c>
      <c r="E9" s="44">
        <f t="shared" ref="E9:E31" si="0">AVERAGE(C9:D9)</f>
        <v>1215</v>
      </c>
      <c r="F9" s="46">
        <v>1210</v>
      </c>
      <c r="G9" s="45">
        <v>1210</v>
      </c>
      <c r="H9" s="44">
        <f t="shared" ref="H9:H31" si="1">AVERAGE(F9:G9)</f>
        <v>1210</v>
      </c>
      <c r="I9" s="46">
        <v>1209</v>
      </c>
      <c r="J9" s="45">
        <v>1209</v>
      </c>
      <c r="K9" s="44">
        <f t="shared" ref="K9:K31" si="2">AVERAGE(I9:J9)</f>
        <v>1209</v>
      </c>
      <c r="L9" s="52">
        <v>1215</v>
      </c>
      <c r="M9" s="51">
        <v>1.2390000000000001</v>
      </c>
      <c r="N9" s="53">
        <v>1.1204000000000001</v>
      </c>
      <c r="O9" s="50">
        <v>107.46</v>
      </c>
      <c r="P9" s="43">
        <v>980.63</v>
      </c>
      <c r="Q9" s="43">
        <v>976.04</v>
      </c>
      <c r="R9" s="49">
        <f t="shared" ref="R9:R31" si="3">L9/N9</f>
        <v>1084.4341306676185</v>
      </c>
      <c r="S9" s="48">
        <v>1.2397</v>
      </c>
    </row>
    <row r="10" spans="1:19" x14ac:dyDescent="0.2">
      <c r="B10" s="47">
        <v>44014</v>
      </c>
      <c r="C10" s="46">
        <v>1215</v>
      </c>
      <c r="D10" s="45">
        <v>1215</v>
      </c>
      <c r="E10" s="44">
        <f t="shared" si="0"/>
        <v>1215</v>
      </c>
      <c r="F10" s="46">
        <v>1210</v>
      </c>
      <c r="G10" s="45">
        <v>1210</v>
      </c>
      <c r="H10" s="44">
        <f t="shared" si="1"/>
        <v>1210</v>
      </c>
      <c r="I10" s="46">
        <v>1209</v>
      </c>
      <c r="J10" s="45">
        <v>1209</v>
      </c>
      <c r="K10" s="44">
        <f t="shared" si="2"/>
        <v>1209</v>
      </c>
      <c r="L10" s="52">
        <v>1215</v>
      </c>
      <c r="M10" s="51">
        <v>1.2519</v>
      </c>
      <c r="N10" s="51">
        <v>1.1287</v>
      </c>
      <c r="O10" s="50">
        <v>107.46</v>
      </c>
      <c r="P10" s="43">
        <v>970.52</v>
      </c>
      <c r="Q10" s="43">
        <v>965.99</v>
      </c>
      <c r="R10" s="49">
        <f t="shared" si="3"/>
        <v>1076.4596438380438</v>
      </c>
      <c r="S10" s="48">
        <v>1.2525999999999999</v>
      </c>
    </row>
    <row r="11" spans="1:19" x14ac:dyDescent="0.2">
      <c r="B11" s="47">
        <v>44015</v>
      </c>
      <c r="C11" s="46">
        <v>1190</v>
      </c>
      <c r="D11" s="45">
        <v>1190</v>
      </c>
      <c r="E11" s="44">
        <f t="shared" si="0"/>
        <v>1190</v>
      </c>
      <c r="F11" s="46">
        <v>1200</v>
      </c>
      <c r="G11" s="45">
        <v>1200</v>
      </c>
      <c r="H11" s="44">
        <f t="shared" si="1"/>
        <v>1200</v>
      </c>
      <c r="I11" s="46">
        <v>1199</v>
      </c>
      <c r="J11" s="45">
        <v>1199</v>
      </c>
      <c r="K11" s="44">
        <f t="shared" si="2"/>
        <v>1199</v>
      </c>
      <c r="L11" s="52">
        <v>1190</v>
      </c>
      <c r="M11" s="51">
        <v>1.2454000000000001</v>
      </c>
      <c r="N11" s="51">
        <v>1.1224000000000001</v>
      </c>
      <c r="O11" s="50">
        <v>107.53</v>
      </c>
      <c r="P11" s="43">
        <v>955.52</v>
      </c>
      <c r="Q11" s="43">
        <v>963.08</v>
      </c>
      <c r="R11" s="49">
        <f t="shared" si="3"/>
        <v>1060.2280826799715</v>
      </c>
      <c r="S11" s="48">
        <v>1.246</v>
      </c>
    </row>
    <row r="12" spans="1:19" x14ac:dyDescent="0.2">
      <c r="B12" s="47">
        <v>44018</v>
      </c>
      <c r="C12" s="46">
        <v>1220</v>
      </c>
      <c r="D12" s="45">
        <v>1220</v>
      </c>
      <c r="E12" s="44">
        <f t="shared" si="0"/>
        <v>1220</v>
      </c>
      <c r="F12" s="46">
        <v>1220</v>
      </c>
      <c r="G12" s="45">
        <v>1220</v>
      </c>
      <c r="H12" s="44">
        <f t="shared" si="1"/>
        <v>1220</v>
      </c>
      <c r="I12" s="46">
        <v>1219</v>
      </c>
      <c r="J12" s="45">
        <v>1219</v>
      </c>
      <c r="K12" s="44">
        <f t="shared" si="2"/>
        <v>1219</v>
      </c>
      <c r="L12" s="52">
        <v>1220</v>
      </c>
      <c r="M12" s="51">
        <v>1.2509999999999999</v>
      </c>
      <c r="N12" s="51">
        <v>1.1318999999999999</v>
      </c>
      <c r="O12" s="50">
        <v>107.53</v>
      </c>
      <c r="P12" s="43">
        <v>975.22</v>
      </c>
      <c r="Q12" s="43">
        <v>974.67</v>
      </c>
      <c r="R12" s="49">
        <f t="shared" si="3"/>
        <v>1077.8337308949556</v>
      </c>
      <c r="S12" s="48">
        <v>1.2517</v>
      </c>
    </row>
    <row r="13" spans="1:19" x14ac:dyDescent="0.2">
      <c r="B13" s="47">
        <v>44019</v>
      </c>
      <c r="C13" s="46">
        <v>1180</v>
      </c>
      <c r="D13" s="45">
        <v>1180</v>
      </c>
      <c r="E13" s="44">
        <f t="shared" si="0"/>
        <v>1180</v>
      </c>
      <c r="F13" s="46">
        <v>1180</v>
      </c>
      <c r="G13" s="45">
        <v>1180</v>
      </c>
      <c r="H13" s="44">
        <f t="shared" si="1"/>
        <v>1180</v>
      </c>
      <c r="I13" s="46">
        <v>1179</v>
      </c>
      <c r="J13" s="45">
        <v>1179</v>
      </c>
      <c r="K13" s="44">
        <f t="shared" si="2"/>
        <v>1179</v>
      </c>
      <c r="L13" s="52">
        <v>1180</v>
      </c>
      <c r="M13" s="51">
        <v>1.2519</v>
      </c>
      <c r="N13" s="51">
        <v>1.1291</v>
      </c>
      <c r="O13" s="50">
        <v>107.72</v>
      </c>
      <c r="P13" s="43">
        <v>942.57</v>
      </c>
      <c r="Q13" s="43">
        <v>942.04</v>
      </c>
      <c r="R13" s="49">
        <f t="shared" si="3"/>
        <v>1045.080152333717</v>
      </c>
      <c r="S13" s="48">
        <v>1.2525999999999999</v>
      </c>
    </row>
    <row r="14" spans="1:19" x14ac:dyDescent="0.2">
      <c r="B14" s="47">
        <v>44020</v>
      </c>
      <c r="C14" s="46">
        <v>1150</v>
      </c>
      <c r="D14" s="45">
        <v>1150</v>
      </c>
      <c r="E14" s="44">
        <f t="shared" si="0"/>
        <v>1150</v>
      </c>
      <c r="F14" s="46">
        <v>1150</v>
      </c>
      <c r="G14" s="45">
        <v>1150</v>
      </c>
      <c r="H14" s="44">
        <f t="shared" si="1"/>
        <v>1150</v>
      </c>
      <c r="I14" s="46">
        <v>1149</v>
      </c>
      <c r="J14" s="45">
        <v>1149</v>
      </c>
      <c r="K14" s="44">
        <f t="shared" si="2"/>
        <v>1149</v>
      </c>
      <c r="L14" s="52">
        <v>1150</v>
      </c>
      <c r="M14" s="51">
        <v>1.2559</v>
      </c>
      <c r="N14" s="51">
        <v>1.129</v>
      </c>
      <c r="O14" s="50">
        <v>107.52</v>
      </c>
      <c r="P14" s="43">
        <v>915.68</v>
      </c>
      <c r="Q14" s="43">
        <v>915.17</v>
      </c>
      <c r="R14" s="49">
        <f t="shared" si="3"/>
        <v>1018.6005314437556</v>
      </c>
      <c r="S14" s="48">
        <v>1.2565999999999999</v>
      </c>
    </row>
    <row r="15" spans="1:19" x14ac:dyDescent="0.2">
      <c r="B15" s="47">
        <v>44021</v>
      </c>
      <c r="C15" s="46">
        <v>1180.5</v>
      </c>
      <c r="D15" s="45">
        <v>1180.5</v>
      </c>
      <c r="E15" s="44">
        <f t="shared" si="0"/>
        <v>1180.5</v>
      </c>
      <c r="F15" s="46">
        <v>1180</v>
      </c>
      <c r="G15" s="45">
        <v>1180</v>
      </c>
      <c r="H15" s="44">
        <f t="shared" si="1"/>
        <v>1180</v>
      </c>
      <c r="I15" s="46">
        <v>1177.5</v>
      </c>
      <c r="J15" s="45">
        <v>1177.5</v>
      </c>
      <c r="K15" s="44">
        <f t="shared" si="2"/>
        <v>1177.5</v>
      </c>
      <c r="L15" s="52">
        <v>1180.5</v>
      </c>
      <c r="M15" s="51">
        <v>1.2652000000000001</v>
      </c>
      <c r="N15" s="51">
        <v>1.1343000000000001</v>
      </c>
      <c r="O15" s="50">
        <v>107.29</v>
      </c>
      <c r="P15" s="43">
        <v>933.05</v>
      </c>
      <c r="Q15" s="43">
        <v>932.22</v>
      </c>
      <c r="R15" s="49">
        <f t="shared" si="3"/>
        <v>1040.7299656175614</v>
      </c>
      <c r="S15" s="48">
        <v>1.2658</v>
      </c>
    </row>
    <row r="16" spans="1:19" x14ac:dyDescent="0.2">
      <c r="B16" s="47">
        <v>44022</v>
      </c>
      <c r="C16" s="46">
        <v>1205</v>
      </c>
      <c r="D16" s="45">
        <v>1205</v>
      </c>
      <c r="E16" s="44">
        <f t="shared" si="0"/>
        <v>1205</v>
      </c>
      <c r="F16" s="46">
        <v>1205</v>
      </c>
      <c r="G16" s="45">
        <v>1205</v>
      </c>
      <c r="H16" s="44">
        <f t="shared" si="1"/>
        <v>1205</v>
      </c>
      <c r="I16" s="46">
        <v>1202</v>
      </c>
      <c r="J16" s="45">
        <v>1202</v>
      </c>
      <c r="K16" s="44">
        <f t="shared" si="2"/>
        <v>1202</v>
      </c>
      <c r="L16" s="52">
        <v>1205</v>
      </c>
      <c r="M16" s="51">
        <v>1.2599</v>
      </c>
      <c r="N16" s="51">
        <v>1.1286</v>
      </c>
      <c r="O16" s="50">
        <v>106.86</v>
      </c>
      <c r="P16" s="43">
        <v>956.43</v>
      </c>
      <c r="Q16" s="43">
        <v>955.89</v>
      </c>
      <c r="R16" s="49">
        <f t="shared" si="3"/>
        <v>1067.6944887471202</v>
      </c>
      <c r="S16" s="48">
        <v>1.2605999999999999</v>
      </c>
    </row>
    <row r="17" spans="2:19" x14ac:dyDescent="0.2">
      <c r="B17" s="47">
        <v>44025</v>
      </c>
      <c r="C17" s="46">
        <v>1240</v>
      </c>
      <c r="D17" s="45">
        <v>1240</v>
      </c>
      <c r="E17" s="44">
        <f t="shared" si="0"/>
        <v>1240</v>
      </c>
      <c r="F17" s="46">
        <v>1240</v>
      </c>
      <c r="G17" s="45">
        <v>1240</v>
      </c>
      <c r="H17" s="44">
        <f t="shared" si="1"/>
        <v>1240</v>
      </c>
      <c r="I17" s="46">
        <v>1237</v>
      </c>
      <c r="J17" s="45">
        <v>1237</v>
      </c>
      <c r="K17" s="44">
        <f t="shared" si="2"/>
        <v>1237</v>
      </c>
      <c r="L17" s="52">
        <v>1240</v>
      </c>
      <c r="M17" s="51">
        <v>1.2604</v>
      </c>
      <c r="N17" s="51">
        <v>1.1335</v>
      </c>
      <c r="O17" s="50">
        <v>107.1</v>
      </c>
      <c r="P17" s="43">
        <v>983.81</v>
      </c>
      <c r="Q17" s="43">
        <v>983.19</v>
      </c>
      <c r="R17" s="49">
        <f t="shared" si="3"/>
        <v>1093.956771063079</v>
      </c>
      <c r="S17" s="48">
        <v>1.2612000000000001</v>
      </c>
    </row>
    <row r="18" spans="2:19" x14ac:dyDescent="0.2">
      <c r="B18" s="47">
        <v>44026</v>
      </c>
      <c r="C18" s="46">
        <v>1240</v>
      </c>
      <c r="D18" s="45">
        <v>1240</v>
      </c>
      <c r="E18" s="44">
        <f t="shared" si="0"/>
        <v>1240</v>
      </c>
      <c r="F18" s="46">
        <v>1240</v>
      </c>
      <c r="G18" s="45">
        <v>1240</v>
      </c>
      <c r="H18" s="44">
        <f t="shared" si="1"/>
        <v>1240</v>
      </c>
      <c r="I18" s="46">
        <v>1237</v>
      </c>
      <c r="J18" s="45">
        <v>1237</v>
      </c>
      <c r="K18" s="44">
        <f t="shared" si="2"/>
        <v>1237</v>
      </c>
      <c r="L18" s="52">
        <v>1240</v>
      </c>
      <c r="M18" s="51">
        <v>1.2529999999999999</v>
      </c>
      <c r="N18" s="51">
        <v>1.1377999999999999</v>
      </c>
      <c r="O18" s="50">
        <v>107.37</v>
      </c>
      <c r="P18" s="43">
        <v>989.62</v>
      </c>
      <c r="Q18" s="43">
        <v>989.07</v>
      </c>
      <c r="R18" s="49">
        <f t="shared" si="3"/>
        <v>1089.8224644049922</v>
      </c>
      <c r="S18" s="48">
        <v>1.2537</v>
      </c>
    </row>
    <row r="19" spans="2:19" x14ac:dyDescent="0.2">
      <c r="B19" s="47">
        <v>44027</v>
      </c>
      <c r="C19" s="46">
        <v>1260</v>
      </c>
      <c r="D19" s="45">
        <v>1260</v>
      </c>
      <c r="E19" s="44">
        <f t="shared" si="0"/>
        <v>1260</v>
      </c>
      <c r="F19" s="46">
        <v>1260</v>
      </c>
      <c r="G19" s="45">
        <v>1260</v>
      </c>
      <c r="H19" s="44">
        <f t="shared" si="1"/>
        <v>1260</v>
      </c>
      <c r="I19" s="46">
        <v>1257</v>
      </c>
      <c r="J19" s="45">
        <v>1257</v>
      </c>
      <c r="K19" s="44">
        <f t="shared" si="2"/>
        <v>1257</v>
      </c>
      <c r="L19" s="52">
        <v>1260</v>
      </c>
      <c r="M19" s="51">
        <v>1.2632000000000001</v>
      </c>
      <c r="N19" s="51">
        <v>1.1438999999999999</v>
      </c>
      <c r="O19" s="50">
        <v>106.9</v>
      </c>
      <c r="P19" s="43">
        <v>997.47</v>
      </c>
      <c r="Q19" s="43">
        <v>996.91</v>
      </c>
      <c r="R19" s="49">
        <f t="shared" si="3"/>
        <v>1101.4948859166011</v>
      </c>
      <c r="S19" s="48">
        <v>1.2639</v>
      </c>
    </row>
    <row r="20" spans="2:19" x14ac:dyDescent="0.2">
      <c r="B20" s="47">
        <v>44028</v>
      </c>
      <c r="C20" s="46">
        <v>1260</v>
      </c>
      <c r="D20" s="45">
        <v>1260</v>
      </c>
      <c r="E20" s="44">
        <f t="shared" si="0"/>
        <v>1260</v>
      </c>
      <c r="F20" s="46">
        <v>1260</v>
      </c>
      <c r="G20" s="45">
        <v>1260</v>
      </c>
      <c r="H20" s="44">
        <f t="shared" si="1"/>
        <v>1260</v>
      </c>
      <c r="I20" s="46">
        <v>1256</v>
      </c>
      <c r="J20" s="45">
        <v>1256</v>
      </c>
      <c r="K20" s="44">
        <f t="shared" si="2"/>
        <v>1256</v>
      </c>
      <c r="L20" s="52">
        <v>1260</v>
      </c>
      <c r="M20" s="51">
        <v>1.2555000000000001</v>
      </c>
      <c r="N20" s="51">
        <v>1.1413</v>
      </c>
      <c r="O20" s="50">
        <v>107.09</v>
      </c>
      <c r="P20" s="43">
        <v>1003.58</v>
      </c>
      <c r="Q20" s="43">
        <v>1003.1</v>
      </c>
      <c r="R20" s="49">
        <f t="shared" si="3"/>
        <v>1104.0042057303076</v>
      </c>
      <c r="S20" s="48">
        <v>1.2561</v>
      </c>
    </row>
    <row r="21" spans="2:19" x14ac:dyDescent="0.2">
      <c r="B21" s="47">
        <v>44029</v>
      </c>
      <c r="C21" s="46">
        <v>1250</v>
      </c>
      <c r="D21" s="45">
        <v>1250</v>
      </c>
      <c r="E21" s="44">
        <f t="shared" si="0"/>
        <v>1250</v>
      </c>
      <c r="F21" s="46">
        <v>1250</v>
      </c>
      <c r="G21" s="45">
        <v>1250</v>
      </c>
      <c r="H21" s="44">
        <f t="shared" si="1"/>
        <v>1250</v>
      </c>
      <c r="I21" s="46">
        <v>1246</v>
      </c>
      <c r="J21" s="45">
        <v>1246</v>
      </c>
      <c r="K21" s="44">
        <f t="shared" si="2"/>
        <v>1246</v>
      </c>
      <c r="L21" s="52">
        <v>1250</v>
      </c>
      <c r="M21" s="51">
        <v>1.2546999999999999</v>
      </c>
      <c r="N21" s="51">
        <v>1.1422000000000001</v>
      </c>
      <c r="O21" s="50">
        <v>107.22</v>
      </c>
      <c r="P21" s="43">
        <v>996.25</v>
      </c>
      <c r="Q21" s="43">
        <v>995.78</v>
      </c>
      <c r="R21" s="49">
        <f t="shared" si="3"/>
        <v>1094.3792680791455</v>
      </c>
      <c r="S21" s="48">
        <v>1.2553000000000001</v>
      </c>
    </row>
    <row r="22" spans="2:19" x14ac:dyDescent="0.2">
      <c r="B22" s="47">
        <v>44032</v>
      </c>
      <c r="C22" s="46">
        <v>1250</v>
      </c>
      <c r="D22" s="45">
        <v>1250</v>
      </c>
      <c r="E22" s="44">
        <f t="shared" si="0"/>
        <v>1250</v>
      </c>
      <c r="F22" s="46">
        <v>1250</v>
      </c>
      <c r="G22" s="45">
        <v>1250</v>
      </c>
      <c r="H22" s="44">
        <f t="shared" si="1"/>
        <v>1250</v>
      </c>
      <c r="I22" s="46">
        <v>1246</v>
      </c>
      <c r="J22" s="45">
        <v>1246</v>
      </c>
      <c r="K22" s="44">
        <f t="shared" si="2"/>
        <v>1246</v>
      </c>
      <c r="L22" s="52">
        <v>1250</v>
      </c>
      <c r="M22" s="51">
        <v>1.2634000000000001</v>
      </c>
      <c r="N22" s="51">
        <v>1.1447000000000001</v>
      </c>
      <c r="O22" s="50">
        <v>107.1</v>
      </c>
      <c r="P22" s="43">
        <v>989.39</v>
      </c>
      <c r="Q22" s="43">
        <v>988.85</v>
      </c>
      <c r="R22" s="49">
        <f t="shared" si="3"/>
        <v>1091.9891674674586</v>
      </c>
      <c r="S22" s="48">
        <v>1.2641</v>
      </c>
    </row>
    <row r="23" spans="2:19" x14ac:dyDescent="0.2">
      <c r="B23" s="47">
        <v>44033</v>
      </c>
      <c r="C23" s="46">
        <v>1260</v>
      </c>
      <c r="D23" s="45">
        <v>1260</v>
      </c>
      <c r="E23" s="44">
        <f t="shared" si="0"/>
        <v>1260</v>
      </c>
      <c r="F23" s="46">
        <v>1260</v>
      </c>
      <c r="G23" s="45">
        <v>1260</v>
      </c>
      <c r="H23" s="44">
        <f t="shared" si="1"/>
        <v>1260</v>
      </c>
      <c r="I23" s="46">
        <v>1252.5</v>
      </c>
      <c r="J23" s="45">
        <v>1252.5</v>
      </c>
      <c r="K23" s="44">
        <f t="shared" si="2"/>
        <v>1252.5</v>
      </c>
      <c r="L23" s="52">
        <v>1260</v>
      </c>
      <c r="M23" s="51">
        <v>1.2694000000000001</v>
      </c>
      <c r="N23" s="51">
        <v>1.1436999999999999</v>
      </c>
      <c r="O23" s="50">
        <v>107.24</v>
      </c>
      <c r="P23" s="43">
        <v>992.59</v>
      </c>
      <c r="Q23" s="43">
        <v>992.13</v>
      </c>
      <c r="R23" s="49">
        <f t="shared" si="3"/>
        <v>1101.6875054647198</v>
      </c>
      <c r="S23" s="48">
        <v>1.27</v>
      </c>
    </row>
    <row r="24" spans="2:19" x14ac:dyDescent="0.2">
      <c r="B24" s="47">
        <v>44034</v>
      </c>
      <c r="C24" s="46">
        <v>1280</v>
      </c>
      <c r="D24" s="45">
        <v>1280</v>
      </c>
      <c r="E24" s="44">
        <f t="shared" si="0"/>
        <v>1280</v>
      </c>
      <c r="F24" s="46">
        <v>1280</v>
      </c>
      <c r="G24" s="45">
        <v>1280</v>
      </c>
      <c r="H24" s="44">
        <f t="shared" si="1"/>
        <v>1280</v>
      </c>
      <c r="I24" s="46">
        <v>1271</v>
      </c>
      <c r="J24" s="45">
        <v>1271</v>
      </c>
      <c r="K24" s="44">
        <f t="shared" si="2"/>
        <v>1271</v>
      </c>
      <c r="L24" s="52">
        <v>1280</v>
      </c>
      <c r="M24" s="51">
        <v>1.2698</v>
      </c>
      <c r="N24" s="51">
        <v>1.1577999999999999</v>
      </c>
      <c r="O24" s="50">
        <v>106.98</v>
      </c>
      <c r="P24" s="43">
        <v>1008.03</v>
      </c>
      <c r="Q24" s="43">
        <v>1007.56</v>
      </c>
      <c r="R24" s="49">
        <f t="shared" si="3"/>
        <v>1105.544999136293</v>
      </c>
      <c r="S24" s="48">
        <v>1.2704</v>
      </c>
    </row>
    <row r="25" spans="2:19" x14ac:dyDescent="0.2">
      <c r="B25" s="47">
        <v>44035</v>
      </c>
      <c r="C25" s="46">
        <v>1305</v>
      </c>
      <c r="D25" s="45">
        <v>1305</v>
      </c>
      <c r="E25" s="44">
        <f t="shared" si="0"/>
        <v>1305</v>
      </c>
      <c r="F25" s="46">
        <v>1305</v>
      </c>
      <c r="G25" s="45">
        <v>1305</v>
      </c>
      <c r="H25" s="44">
        <f t="shared" si="1"/>
        <v>1305</v>
      </c>
      <c r="I25" s="46">
        <v>1293</v>
      </c>
      <c r="J25" s="45">
        <v>1293</v>
      </c>
      <c r="K25" s="44">
        <f t="shared" si="2"/>
        <v>1293</v>
      </c>
      <c r="L25" s="52">
        <v>1305</v>
      </c>
      <c r="M25" s="51">
        <v>1.2689999999999999</v>
      </c>
      <c r="N25" s="51">
        <v>1.1572</v>
      </c>
      <c r="O25" s="50">
        <v>107.18</v>
      </c>
      <c r="P25" s="43">
        <v>1028.3699999999999</v>
      </c>
      <c r="Q25" s="43">
        <v>1027.8800000000001</v>
      </c>
      <c r="R25" s="49">
        <f t="shared" si="3"/>
        <v>1127.7220877981333</v>
      </c>
      <c r="S25" s="48">
        <v>1.2696000000000001</v>
      </c>
    </row>
    <row r="26" spans="2:19" x14ac:dyDescent="0.2">
      <c r="B26" s="47">
        <v>44036</v>
      </c>
      <c r="C26" s="46">
        <v>1315.5</v>
      </c>
      <c r="D26" s="45">
        <v>1315.5</v>
      </c>
      <c r="E26" s="44">
        <f t="shared" si="0"/>
        <v>1315.5</v>
      </c>
      <c r="F26" s="46">
        <v>1315</v>
      </c>
      <c r="G26" s="45">
        <v>1315</v>
      </c>
      <c r="H26" s="44">
        <f t="shared" si="1"/>
        <v>1315</v>
      </c>
      <c r="I26" s="46">
        <v>1303</v>
      </c>
      <c r="J26" s="45">
        <v>1303</v>
      </c>
      <c r="K26" s="44">
        <f t="shared" si="2"/>
        <v>1303</v>
      </c>
      <c r="L26" s="52">
        <v>1315.5</v>
      </c>
      <c r="M26" s="51">
        <v>1.2754000000000001</v>
      </c>
      <c r="N26" s="51">
        <v>1.1600999999999999</v>
      </c>
      <c r="O26" s="50">
        <v>106.22</v>
      </c>
      <c r="P26" s="43">
        <v>1031.44</v>
      </c>
      <c r="Q26" s="43">
        <v>1030.56</v>
      </c>
      <c r="R26" s="49">
        <f t="shared" si="3"/>
        <v>1133.9539694853893</v>
      </c>
      <c r="S26" s="48">
        <v>1.276</v>
      </c>
    </row>
    <row r="27" spans="2:19" x14ac:dyDescent="0.2">
      <c r="B27" s="47">
        <v>44039</v>
      </c>
      <c r="C27" s="46">
        <v>1310</v>
      </c>
      <c r="D27" s="45">
        <v>1310</v>
      </c>
      <c r="E27" s="44">
        <f t="shared" si="0"/>
        <v>1310</v>
      </c>
      <c r="F27" s="46">
        <v>1310</v>
      </c>
      <c r="G27" s="45">
        <v>1310</v>
      </c>
      <c r="H27" s="44">
        <f t="shared" si="1"/>
        <v>1310</v>
      </c>
      <c r="I27" s="46">
        <v>1298</v>
      </c>
      <c r="J27" s="45">
        <v>1298</v>
      </c>
      <c r="K27" s="44">
        <f t="shared" si="2"/>
        <v>1298</v>
      </c>
      <c r="L27" s="52">
        <v>1310</v>
      </c>
      <c r="M27" s="51">
        <v>1.2873000000000001</v>
      </c>
      <c r="N27" s="51">
        <v>1.1744000000000001</v>
      </c>
      <c r="O27" s="50">
        <v>105.31</v>
      </c>
      <c r="P27" s="43">
        <v>1017.63</v>
      </c>
      <c r="Q27" s="43">
        <v>1017.16</v>
      </c>
      <c r="R27" s="49">
        <f t="shared" si="3"/>
        <v>1115.4632152588554</v>
      </c>
      <c r="S27" s="48">
        <v>1.2879</v>
      </c>
    </row>
    <row r="28" spans="2:19" x14ac:dyDescent="0.2">
      <c r="B28" s="47">
        <v>44040</v>
      </c>
      <c r="C28" s="46">
        <v>1300</v>
      </c>
      <c r="D28" s="45">
        <v>1300</v>
      </c>
      <c r="E28" s="44">
        <f t="shared" si="0"/>
        <v>1300</v>
      </c>
      <c r="F28" s="46">
        <v>1310</v>
      </c>
      <c r="G28" s="45">
        <v>1310</v>
      </c>
      <c r="H28" s="44">
        <f t="shared" si="1"/>
        <v>1310</v>
      </c>
      <c r="I28" s="46">
        <v>1298.5</v>
      </c>
      <c r="J28" s="45">
        <v>1298.5</v>
      </c>
      <c r="K28" s="44">
        <f t="shared" si="2"/>
        <v>1298.5</v>
      </c>
      <c r="L28" s="52">
        <v>1300</v>
      </c>
      <c r="M28" s="51">
        <v>1.2864</v>
      </c>
      <c r="N28" s="51">
        <v>1.1705000000000001</v>
      </c>
      <c r="O28" s="50">
        <v>105.36</v>
      </c>
      <c r="P28" s="43">
        <v>1010.57</v>
      </c>
      <c r="Q28" s="43">
        <v>1017.79</v>
      </c>
      <c r="R28" s="49">
        <f t="shared" si="3"/>
        <v>1110.6364801366935</v>
      </c>
      <c r="S28" s="48">
        <v>1.2870999999999999</v>
      </c>
    </row>
    <row r="29" spans="2:19" x14ac:dyDescent="0.2">
      <c r="B29" s="47">
        <v>44041</v>
      </c>
      <c r="C29" s="46">
        <v>1300</v>
      </c>
      <c r="D29" s="45">
        <v>1300</v>
      </c>
      <c r="E29" s="44">
        <f t="shared" si="0"/>
        <v>1300</v>
      </c>
      <c r="F29" s="46">
        <v>1315</v>
      </c>
      <c r="G29" s="45">
        <v>1315</v>
      </c>
      <c r="H29" s="44">
        <f t="shared" si="1"/>
        <v>1315</v>
      </c>
      <c r="I29" s="46">
        <v>1303.5</v>
      </c>
      <c r="J29" s="45">
        <v>1303.5</v>
      </c>
      <c r="K29" s="44">
        <f t="shared" si="2"/>
        <v>1303.5</v>
      </c>
      <c r="L29" s="52">
        <v>1300</v>
      </c>
      <c r="M29" s="51">
        <v>1.2965</v>
      </c>
      <c r="N29" s="51">
        <v>1.1722999999999999</v>
      </c>
      <c r="O29" s="50">
        <v>105.15</v>
      </c>
      <c r="P29" s="43">
        <v>1002.7</v>
      </c>
      <c r="Q29" s="43">
        <v>1013.72</v>
      </c>
      <c r="R29" s="49">
        <f t="shared" si="3"/>
        <v>1108.9311609656231</v>
      </c>
      <c r="S29" s="48">
        <v>1.2971999999999999</v>
      </c>
    </row>
    <row r="30" spans="2:19" x14ac:dyDescent="0.2">
      <c r="B30" s="47">
        <v>44042</v>
      </c>
      <c r="C30" s="46">
        <v>1300</v>
      </c>
      <c r="D30" s="45">
        <v>1300</v>
      </c>
      <c r="E30" s="44">
        <f t="shared" si="0"/>
        <v>1300</v>
      </c>
      <c r="F30" s="46">
        <v>1315</v>
      </c>
      <c r="G30" s="45">
        <v>1315</v>
      </c>
      <c r="H30" s="44">
        <f t="shared" si="1"/>
        <v>1315</v>
      </c>
      <c r="I30" s="46">
        <v>1304</v>
      </c>
      <c r="J30" s="45">
        <v>1304</v>
      </c>
      <c r="K30" s="44">
        <f t="shared" si="2"/>
        <v>1304</v>
      </c>
      <c r="L30" s="52">
        <v>1300</v>
      </c>
      <c r="M30" s="51">
        <v>1.3019000000000001</v>
      </c>
      <c r="N30" s="51">
        <v>1.1749000000000001</v>
      </c>
      <c r="O30" s="50">
        <v>105.19</v>
      </c>
      <c r="P30" s="43">
        <v>998.54</v>
      </c>
      <c r="Q30" s="43">
        <v>1009.6</v>
      </c>
      <c r="R30" s="49">
        <f t="shared" si="3"/>
        <v>1106.4771469912332</v>
      </c>
      <c r="S30" s="48">
        <v>1.3025</v>
      </c>
    </row>
    <row r="31" spans="2:19" x14ac:dyDescent="0.2">
      <c r="B31" s="47">
        <v>44043</v>
      </c>
      <c r="C31" s="46">
        <v>1318.5</v>
      </c>
      <c r="D31" s="45">
        <v>1318.5</v>
      </c>
      <c r="E31" s="44">
        <f t="shared" si="0"/>
        <v>1318.5</v>
      </c>
      <c r="F31" s="46">
        <v>1325</v>
      </c>
      <c r="G31" s="45">
        <v>1325</v>
      </c>
      <c r="H31" s="44">
        <f t="shared" si="1"/>
        <v>1325</v>
      </c>
      <c r="I31" s="46">
        <v>1336</v>
      </c>
      <c r="J31" s="45">
        <v>1336</v>
      </c>
      <c r="K31" s="44">
        <f t="shared" si="2"/>
        <v>1336</v>
      </c>
      <c r="L31" s="52">
        <v>1318.5</v>
      </c>
      <c r="M31" s="51">
        <v>1.3142</v>
      </c>
      <c r="N31" s="51">
        <v>1.1840999999999999</v>
      </c>
      <c r="O31" s="50">
        <v>104.91</v>
      </c>
      <c r="P31" s="43">
        <v>1003.27</v>
      </c>
      <c r="Q31" s="43">
        <v>1007.76</v>
      </c>
      <c r="R31" s="49">
        <f t="shared" si="3"/>
        <v>1113.5039270331899</v>
      </c>
      <c r="S31" s="48">
        <v>1.3148</v>
      </c>
    </row>
    <row r="32" spans="2:19" s="10" customFormat="1" x14ac:dyDescent="0.2">
      <c r="B32" s="42" t="s">
        <v>11</v>
      </c>
      <c r="C32" s="41">
        <f>ROUND(AVERAGE(C9:C31),2)</f>
        <v>1249.76</v>
      </c>
      <c r="D32" s="40">
        <f>ROUND(AVERAGE(D9:D31),2)</f>
        <v>1249.76</v>
      </c>
      <c r="E32" s="39">
        <f>ROUND(AVERAGE(C32:D32),2)</f>
        <v>1249.76</v>
      </c>
      <c r="F32" s="41">
        <f>ROUND(AVERAGE(F9:F31),2)</f>
        <v>1251.74</v>
      </c>
      <c r="G32" s="40">
        <f>ROUND(AVERAGE(G9:G31),2)</f>
        <v>1251.74</v>
      </c>
      <c r="H32" s="39">
        <f>ROUND(AVERAGE(F32:G32),2)</f>
        <v>1251.74</v>
      </c>
      <c r="I32" s="41">
        <f>ROUND(AVERAGE(I9:I31),2)</f>
        <v>1247.04</v>
      </c>
      <c r="J32" s="40">
        <f>ROUND(AVERAGE(J9:J31),2)</f>
        <v>1247.04</v>
      </c>
      <c r="K32" s="39">
        <f>ROUND(AVERAGE(I32:J32),2)</f>
        <v>1247.04</v>
      </c>
      <c r="L32" s="38">
        <f>ROUND(AVERAGE(L9:L31),2)</f>
        <v>1249.76</v>
      </c>
      <c r="M32" s="37">
        <f>ROUND(AVERAGE(M9:M31),4)</f>
        <v>1.2669999999999999</v>
      </c>
      <c r="N32" s="36">
        <f>ROUND(AVERAGE(N9:N31),4)</f>
        <v>1.1462000000000001</v>
      </c>
      <c r="O32" s="175">
        <f>ROUND(AVERAGE(O9:O31),2)</f>
        <v>106.77</v>
      </c>
      <c r="P32" s="35">
        <f>AVERAGE(P9:P31)</f>
        <v>986.21217391304356</v>
      </c>
      <c r="Q32" s="35">
        <f>AVERAGE(Q9:Q31)</f>
        <v>987.22434782608696</v>
      </c>
      <c r="R32" s="35">
        <f>AVERAGE(R9:R31)</f>
        <v>1090.0273035284547</v>
      </c>
      <c r="S32" s="34">
        <f>AVERAGE(S9:S31)</f>
        <v>1.2676260869565217</v>
      </c>
    </row>
    <row r="33" spans="2:19" s="5" customFormat="1" x14ac:dyDescent="0.2">
      <c r="B33" s="33" t="s">
        <v>12</v>
      </c>
      <c r="C33" s="32">
        <f t="shared" ref="C33:S33" si="4">MAX(C9:C31)</f>
        <v>1318.5</v>
      </c>
      <c r="D33" s="31">
        <f t="shared" si="4"/>
        <v>1318.5</v>
      </c>
      <c r="E33" s="30">
        <f t="shared" si="4"/>
        <v>1318.5</v>
      </c>
      <c r="F33" s="32">
        <f t="shared" si="4"/>
        <v>1325</v>
      </c>
      <c r="G33" s="31">
        <f t="shared" si="4"/>
        <v>1325</v>
      </c>
      <c r="H33" s="30">
        <f t="shared" si="4"/>
        <v>1325</v>
      </c>
      <c r="I33" s="32">
        <f t="shared" si="4"/>
        <v>1336</v>
      </c>
      <c r="J33" s="31">
        <f t="shared" si="4"/>
        <v>1336</v>
      </c>
      <c r="K33" s="30">
        <f t="shared" si="4"/>
        <v>1336</v>
      </c>
      <c r="L33" s="29">
        <f t="shared" si="4"/>
        <v>1318.5</v>
      </c>
      <c r="M33" s="28">
        <f t="shared" si="4"/>
        <v>1.3142</v>
      </c>
      <c r="N33" s="27">
        <f t="shared" si="4"/>
        <v>1.1840999999999999</v>
      </c>
      <c r="O33" s="26">
        <f t="shared" si="4"/>
        <v>107.72</v>
      </c>
      <c r="P33" s="25">
        <f t="shared" si="4"/>
        <v>1031.44</v>
      </c>
      <c r="Q33" s="25">
        <f t="shared" si="4"/>
        <v>1030.56</v>
      </c>
      <c r="R33" s="25">
        <f t="shared" si="4"/>
        <v>1133.9539694853893</v>
      </c>
      <c r="S33" s="24">
        <f t="shared" si="4"/>
        <v>1.3148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1150</v>
      </c>
      <c r="D34" s="21">
        <f t="shared" si="5"/>
        <v>1150</v>
      </c>
      <c r="E34" s="20">
        <f t="shared" si="5"/>
        <v>1150</v>
      </c>
      <c r="F34" s="22">
        <f t="shared" si="5"/>
        <v>1150</v>
      </c>
      <c r="G34" s="21">
        <f t="shared" si="5"/>
        <v>1150</v>
      </c>
      <c r="H34" s="20">
        <f t="shared" si="5"/>
        <v>1150</v>
      </c>
      <c r="I34" s="22">
        <f t="shared" si="5"/>
        <v>1149</v>
      </c>
      <c r="J34" s="21">
        <f t="shared" si="5"/>
        <v>1149</v>
      </c>
      <c r="K34" s="20">
        <f t="shared" si="5"/>
        <v>1149</v>
      </c>
      <c r="L34" s="19">
        <f t="shared" si="5"/>
        <v>1150</v>
      </c>
      <c r="M34" s="18">
        <f t="shared" si="5"/>
        <v>1.2390000000000001</v>
      </c>
      <c r="N34" s="17">
        <f t="shared" si="5"/>
        <v>1.1204000000000001</v>
      </c>
      <c r="O34" s="16">
        <f t="shared" si="5"/>
        <v>104.91</v>
      </c>
      <c r="P34" s="15">
        <f t="shared" si="5"/>
        <v>915.68</v>
      </c>
      <c r="Q34" s="15">
        <f t="shared" si="5"/>
        <v>915.17</v>
      </c>
      <c r="R34" s="15">
        <f t="shared" si="5"/>
        <v>1018.6005314437556</v>
      </c>
      <c r="S34" s="14">
        <f t="shared" si="5"/>
        <v>1.2397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69" orientation="landscape" horizontalDpi="204" verticalDpi="196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44013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44013</v>
      </c>
      <c r="C9" s="46">
        <v>1220</v>
      </c>
      <c r="D9" s="45">
        <v>1220</v>
      </c>
      <c r="E9" s="44">
        <f t="shared" ref="E9:E31" si="0">AVERAGE(C9:D9)</f>
        <v>1220</v>
      </c>
      <c r="F9" s="46">
        <v>1220</v>
      </c>
      <c r="G9" s="45">
        <v>1220</v>
      </c>
      <c r="H9" s="44">
        <f t="shared" ref="H9:H31" si="1">AVERAGE(F9:G9)</f>
        <v>1220</v>
      </c>
      <c r="I9" s="46">
        <v>1235.5</v>
      </c>
      <c r="J9" s="45">
        <v>1235.5</v>
      </c>
      <c r="K9" s="44">
        <f t="shared" ref="K9:K31" si="2">AVERAGE(I9:J9)</f>
        <v>1235.5</v>
      </c>
      <c r="L9" s="52">
        <v>1220</v>
      </c>
      <c r="M9" s="51">
        <v>1.2390000000000001</v>
      </c>
      <c r="N9" s="53">
        <v>1.1204000000000001</v>
      </c>
      <c r="O9" s="50">
        <v>107.46</v>
      </c>
      <c r="P9" s="43">
        <v>984.67</v>
      </c>
      <c r="Q9" s="43">
        <v>984.11</v>
      </c>
      <c r="R9" s="49">
        <f t="shared" ref="R9:R31" si="3">L9/N9</f>
        <v>1088.8968225633701</v>
      </c>
      <c r="S9" s="48">
        <v>1.2397</v>
      </c>
    </row>
    <row r="10" spans="1:19" x14ac:dyDescent="0.2">
      <c r="B10" s="47">
        <v>44014</v>
      </c>
      <c r="C10" s="46">
        <v>1225</v>
      </c>
      <c r="D10" s="45">
        <v>1225</v>
      </c>
      <c r="E10" s="44">
        <f t="shared" si="0"/>
        <v>1225</v>
      </c>
      <c r="F10" s="46">
        <v>1225</v>
      </c>
      <c r="G10" s="45">
        <v>1225</v>
      </c>
      <c r="H10" s="44">
        <f t="shared" si="1"/>
        <v>1225</v>
      </c>
      <c r="I10" s="46">
        <v>1240</v>
      </c>
      <c r="J10" s="45">
        <v>1240</v>
      </c>
      <c r="K10" s="44">
        <f t="shared" si="2"/>
        <v>1240</v>
      </c>
      <c r="L10" s="52">
        <v>1225</v>
      </c>
      <c r="M10" s="51">
        <v>1.2519</v>
      </c>
      <c r="N10" s="51">
        <v>1.1287</v>
      </c>
      <c r="O10" s="50">
        <v>107.46</v>
      </c>
      <c r="P10" s="43">
        <v>978.51</v>
      </c>
      <c r="Q10" s="43">
        <v>977.97</v>
      </c>
      <c r="R10" s="49">
        <f t="shared" si="3"/>
        <v>1085.3193939930893</v>
      </c>
      <c r="S10" s="48">
        <v>1.2525999999999999</v>
      </c>
    </row>
    <row r="11" spans="1:19" x14ac:dyDescent="0.2">
      <c r="B11" s="47">
        <v>44015</v>
      </c>
      <c r="C11" s="46">
        <v>1225</v>
      </c>
      <c r="D11" s="45">
        <v>1225</v>
      </c>
      <c r="E11" s="44">
        <f t="shared" si="0"/>
        <v>1225</v>
      </c>
      <c r="F11" s="46">
        <v>1225</v>
      </c>
      <c r="G11" s="45">
        <v>1225</v>
      </c>
      <c r="H11" s="44">
        <f t="shared" si="1"/>
        <v>1225</v>
      </c>
      <c r="I11" s="46">
        <v>1240</v>
      </c>
      <c r="J11" s="45">
        <v>1240</v>
      </c>
      <c r="K11" s="44">
        <f t="shared" si="2"/>
        <v>1240</v>
      </c>
      <c r="L11" s="52">
        <v>1225</v>
      </c>
      <c r="M11" s="51">
        <v>1.2454000000000001</v>
      </c>
      <c r="N11" s="51">
        <v>1.1224000000000001</v>
      </c>
      <c r="O11" s="50">
        <v>107.53</v>
      </c>
      <c r="P11" s="43">
        <v>983.62</v>
      </c>
      <c r="Q11" s="43">
        <v>983.15</v>
      </c>
      <c r="R11" s="49">
        <f t="shared" si="3"/>
        <v>1091.4112615823235</v>
      </c>
      <c r="S11" s="48">
        <v>1.246</v>
      </c>
    </row>
    <row r="12" spans="1:19" x14ac:dyDescent="0.2">
      <c r="B12" s="47">
        <v>44018</v>
      </c>
      <c r="C12" s="46">
        <v>1225</v>
      </c>
      <c r="D12" s="45">
        <v>1225</v>
      </c>
      <c r="E12" s="44">
        <f t="shared" si="0"/>
        <v>1225</v>
      </c>
      <c r="F12" s="46">
        <v>1225</v>
      </c>
      <c r="G12" s="45">
        <v>1225</v>
      </c>
      <c r="H12" s="44">
        <f t="shared" si="1"/>
        <v>1225</v>
      </c>
      <c r="I12" s="46">
        <v>1239.5</v>
      </c>
      <c r="J12" s="45">
        <v>1239.5</v>
      </c>
      <c r="K12" s="44">
        <f t="shared" si="2"/>
        <v>1239.5</v>
      </c>
      <c r="L12" s="52">
        <v>1225</v>
      </c>
      <c r="M12" s="51">
        <v>1.2509999999999999</v>
      </c>
      <c r="N12" s="51">
        <v>1.1318999999999999</v>
      </c>
      <c r="O12" s="50">
        <v>107.53</v>
      </c>
      <c r="P12" s="43">
        <v>979.22</v>
      </c>
      <c r="Q12" s="43">
        <v>978.67</v>
      </c>
      <c r="R12" s="49">
        <f t="shared" si="3"/>
        <v>1082.2510822510824</v>
      </c>
      <c r="S12" s="48">
        <v>1.2517</v>
      </c>
    </row>
    <row r="13" spans="1:19" x14ac:dyDescent="0.2">
      <c r="B13" s="47">
        <v>44019</v>
      </c>
      <c r="C13" s="46">
        <v>1224.5</v>
      </c>
      <c r="D13" s="45">
        <v>1224.5</v>
      </c>
      <c r="E13" s="44">
        <f t="shared" si="0"/>
        <v>1224.5</v>
      </c>
      <c r="F13" s="46">
        <v>1225</v>
      </c>
      <c r="G13" s="45">
        <v>1225</v>
      </c>
      <c r="H13" s="44">
        <f t="shared" si="1"/>
        <v>1225</v>
      </c>
      <c r="I13" s="46">
        <v>1239.5</v>
      </c>
      <c r="J13" s="45">
        <v>1239.5</v>
      </c>
      <c r="K13" s="44">
        <f t="shared" si="2"/>
        <v>1239.5</v>
      </c>
      <c r="L13" s="52">
        <v>1224.5</v>
      </c>
      <c r="M13" s="51">
        <v>1.2519</v>
      </c>
      <c r="N13" s="51">
        <v>1.1291</v>
      </c>
      <c r="O13" s="50">
        <v>107.72</v>
      </c>
      <c r="P13" s="43">
        <v>978.11</v>
      </c>
      <c r="Q13" s="43">
        <v>977.97</v>
      </c>
      <c r="R13" s="49">
        <f t="shared" si="3"/>
        <v>1084.4920733327428</v>
      </c>
      <c r="S13" s="48">
        <v>1.2525999999999999</v>
      </c>
    </row>
    <row r="14" spans="1:19" x14ac:dyDescent="0.2">
      <c r="B14" s="47">
        <v>44020</v>
      </c>
      <c r="C14" s="46">
        <v>1234.5</v>
      </c>
      <c r="D14" s="45">
        <v>1234.5</v>
      </c>
      <c r="E14" s="44">
        <f t="shared" si="0"/>
        <v>1234.5</v>
      </c>
      <c r="F14" s="46">
        <v>1235</v>
      </c>
      <c r="G14" s="45">
        <v>1235</v>
      </c>
      <c r="H14" s="44">
        <f t="shared" si="1"/>
        <v>1235</v>
      </c>
      <c r="I14" s="46">
        <v>1249.5</v>
      </c>
      <c r="J14" s="45">
        <v>1249.5</v>
      </c>
      <c r="K14" s="44">
        <f t="shared" si="2"/>
        <v>1249.5</v>
      </c>
      <c r="L14" s="52">
        <v>1234.5</v>
      </c>
      <c r="M14" s="51">
        <v>1.2559</v>
      </c>
      <c r="N14" s="51">
        <v>1.129</v>
      </c>
      <c r="O14" s="50">
        <v>107.52</v>
      </c>
      <c r="P14" s="43">
        <v>982.96</v>
      </c>
      <c r="Q14" s="43">
        <v>982.81</v>
      </c>
      <c r="R14" s="49">
        <f t="shared" si="3"/>
        <v>1093.4455270150577</v>
      </c>
      <c r="S14" s="48">
        <v>1.2565999999999999</v>
      </c>
    </row>
    <row r="15" spans="1:19" x14ac:dyDescent="0.2">
      <c r="B15" s="47">
        <v>44021</v>
      </c>
      <c r="C15" s="46">
        <v>1264.5</v>
      </c>
      <c r="D15" s="45">
        <v>1264.5</v>
      </c>
      <c r="E15" s="44">
        <f t="shared" si="0"/>
        <v>1264.5</v>
      </c>
      <c r="F15" s="46">
        <v>1265</v>
      </c>
      <c r="G15" s="45">
        <v>1265</v>
      </c>
      <c r="H15" s="44">
        <f t="shared" si="1"/>
        <v>1265</v>
      </c>
      <c r="I15" s="46">
        <v>1279.5</v>
      </c>
      <c r="J15" s="45">
        <v>1279.5</v>
      </c>
      <c r="K15" s="44">
        <f t="shared" si="2"/>
        <v>1279.5</v>
      </c>
      <c r="L15" s="52">
        <v>1264.5</v>
      </c>
      <c r="M15" s="51">
        <v>1.2652000000000001</v>
      </c>
      <c r="N15" s="51">
        <v>1.1343000000000001</v>
      </c>
      <c r="O15" s="50">
        <v>107.29</v>
      </c>
      <c r="P15" s="43">
        <v>999.45</v>
      </c>
      <c r="Q15" s="43">
        <v>999.37</v>
      </c>
      <c r="R15" s="49">
        <f t="shared" si="3"/>
        <v>1114.7844485585822</v>
      </c>
      <c r="S15" s="48">
        <v>1.2658</v>
      </c>
    </row>
    <row r="16" spans="1:19" x14ac:dyDescent="0.2">
      <c r="B16" s="47">
        <v>44022</v>
      </c>
      <c r="C16" s="46">
        <v>1275</v>
      </c>
      <c r="D16" s="45">
        <v>1275</v>
      </c>
      <c r="E16" s="44">
        <f t="shared" si="0"/>
        <v>1275</v>
      </c>
      <c r="F16" s="46">
        <v>1275.5</v>
      </c>
      <c r="G16" s="45">
        <v>1275.5</v>
      </c>
      <c r="H16" s="44">
        <f t="shared" si="1"/>
        <v>1275.5</v>
      </c>
      <c r="I16" s="46">
        <v>1290</v>
      </c>
      <c r="J16" s="45">
        <v>1290</v>
      </c>
      <c r="K16" s="44">
        <f t="shared" si="2"/>
        <v>1290</v>
      </c>
      <c r="L16" s="52">
        <v>1275</v>
      </c>
      <c r="M16" s="51">
        <v>1.2599</v>
      </c>
      <c r="N16" s="51">
        <v>1.1286</v>
      </c>
      <c r="O16" s="50">
        <v>106.86</v>
      </c>
      <c r="P16" s="43">
        <v>1011.99</v>
      </c>
      <c r="Q16" s="43">
        <v>1011.82</v>
      </c>
      <c r="R16" s="49">
        <f t="shared" si="3"/>
        <v>1129.7182349813929</v>
      </c>
      <c r="S16" s="48">
        <v>1.2605999999999999</v>
      </c>
    </row>
    <row r="17" spans="2:19" x14ac:dyDescent="0.2">
      <c r="B17" s="47">
        <v>44025</v>
      </c>
      <c r="C17" s="46">
        <v>1289</v>
      </c>
      <c r="D17" s="45">
        <v>1289</v>
      </c>
      <c r="E17" s="44">
        <f t="shared" si="0"/>
        <v>1289</v>
      </c>
      <c r="F17" s="46">
        <v>1290</v>
      </c>
      <c r="G17" s="45">
        <v>1290</v>
      </c>
      <c r="H17" s="44">
        <f t="shared" si="1"/>
        <v>1290</v>
      </c>
      <c r="I17" s="46">
        <v>1304</v>
      </c>
      <c r="J17" s="45">
        <v>1304</v>
      </c>
      <c r="K17" s="44">
        <f t="shared" si="2"/>
        <v>1304</v>
      </c>
      <c r="L17" s="52">
        <v>1289</v>
      </c>
      <c r="M17" s="51">
        <v>1.2604</v>
      </c>
      <c r="N17" s="51">
        <v>1.1335</v>
      </c>
      <c r="O17" s="50">
        <v>107.1</v>
      </c>
      <c r="P17" s="43">
        <v>1022.69</v>
      </c>
      <c r="Q17" s="43">
        <v>1022.84</v>
      </c>
      <c r="R17" s="49">
        <f t="shared" si="3"/>
        <v>1137.18570798412</v>
      </c>
      <c r="S17" s="48">
        <v>1.2612000000000001</v>
      </c>
    </row>
    <row r="18" spans="2:19" x14ac:dyDescent="0.2">
      <c r="B18" s="47">
        <v>44026</v>
      </c>
      <c r="C18" s="46">
        <v>1289</v>
      </c>
      <c r="D18" s="45">
        <v>1289</v>
      </c>
      <c r="E18" s="44">
        <f t="shared" si="0"/>
        <v>1289</v>
      </c>
      <c r="F18" s="46">
        <v>1290</v>
      </c>
      <c r="G18" s="45">
        <v>1290</v>
      </c>
      <c r="H18" s="44">
        <f t="shared" si="1"/>
        <v>1290</v>
      </c>
      <c r="I18" s="46">
        <v>1304</v>
      </c>
      <c r="J18" s="45">
        <v>1304</v>
      </c>
      <c r="K18" s="44">
        <f t="shared" si="2"/>
        <v>1304</v>
      </c>
      <c r="L18" s="52">
        <v>1289</v>
      </c>
      <c r="M18" s="51">
        <v>1.2529999999999999</v>
      </c>
      <c r="N18" s="51">
        <v>1.1377999999999999</v>
      </c>
      <c r="O18" s="50">
        <v>107.37</v>
      </c>
      <c r="P18" s="43">
        <v>1028.73</v>
      </c>
      <c r="Q18" s="43">
        <v>1028.95</v>
      </c>
      <c r="R18" s="49">
        <f t="shared" si="3"/>
        <v>1132.8880295306733</v>
      </c>
      <c r="S18" s="48">
        <v>1.2537</v>
      </c>
    </row>
    <row r="19" spans="2:19" x14ac:dyDescent="0.2">
      <c r="B19" s="47">
        <v>44027</v>
      </c>
      <c r="C19" s="46">
        <v>1309</v>
      </c>
      <c r="D19" s="45">
        <v>1309</v>
      </c>
      <c r="E19" s="44">
        <f t="shared" si="0"/>
        <v>1309</v>
      </c>
      <c r="F19" s="46">
        <v>1310</v>
      </c>
      <c r="G19" s="45">
        <v>1310</v>
      </c>
      <c r="H19" s="44">
        <f t="shared" si="1"/>
        <v>1310</v>
      </c>
      <c r="I19" s="46">
        <v>1324</v>
      </c>
      <c r="J19" s="45">
        <v>1324</v>
      </c>
      <c r="K19" s="44">
        <f t="shared" si="2"/>
        <v>1324</v>
      </c>
      <c r="L19" s="52">
        <v>1309</v>
      </c>
      <c r="M19" s="51">
        <v>1.2632000000000001</v>
      </c>
      <c r="N19" s="51">
        <v>1.1438999999999999</v>
      </c>
      <c r="O19" s="50">
        <v>106.9</v>
      </c>
      <c r="P19" s="43">
        <v>1036.26</v>
      </c>
      <c r="Q19" s="43">
        <v>1036.47</v>
      </c>
      <c r="R19" s="49">
        <f t="shared" si="3"/>
        <v>1144.3307981466912</v>
      </c>
      <c r="S19" s="48">
        <v>1.2639</v>
      </c>
    </row>
    <row r="20" spans="2:19" x14ac:dyDescent="0.2">
      <c r="B20" s="47">
        <v>44028</v>
      </c>
      <c r="C20" s="46">
        <v>1280</v>
      </c>
      <c r="D20" s="45">
        <v>1280</v>
      </c>
      <c r="E20" s="44">
        <f t="shared" si="0"/>
        <v>1280</v>
      </c>
      <c r="F20" s="46">
        <v>1281.5</v>
      </c>
      <c r="G20" s="45">
        <v>1281.5</v>
      </c>
      <c r="H20" s="44">
        <f t="shared" si="1"/>
        <v>1281.5</v>
      </c>
      <c r="I20" s="46">
        <v>1295</v>
      </c>
      <c r="J20" s="45">
        <v>1295</v>
      </c>
      <c r="K20" s="44">
        <f t="shared" si="2"/>
        <v>1295</v>
      </c>
      <c r="L20" s="52">
        <v>1280</v>
      </c>
      <c r="M20" s="51">
        <v>1.2555000000000001</v>
      </c>
      <c r="N20" s="51">
        <v>1.1413</v>
      </c>
      <c r="O20" s="50">
        <v>107.09</v>
      </c>
      <c r="P20" s="43">
        <v>1019.51</v>
      </c>
      <c r="Q20" s="43">
        <v>1020.22</v>
      </c>
      <c r="R20" s="49">
        <f t="shared" si="3"/>
        <v>1121.5280820117409</v>
      </c>
      <c r="S20" s="48">
        <v>1.2561</v>
      </c>
    </row>
    <row r="21" spans="2:19" x14ac:dyDescent="0.2">
      <c r="B21" s="47">
        <v>44029</v>
      </c>
      <c r="C21" s="46">
        <v>1280</v>
      </c>
      <c r="D21" s="45">
        <v>1280</v>
      </c>
      <c r="E21" s="44">
        <f t="shared" si="0"/>
        <v>1280</v>
      </c>
      <c r="F21" s="46">
        <v>1281.5</v>
      </c>
      <c r="G21" s="45">
        <v>1281.5</v>
      </c>
      <c r="H21" s="44">
        <f t="shared" si="1"/>
        <v>1281.5</v>
      </c>
      <c r="I21" s="46">
        <v>1295</v>
      </c>
      <c r="J21" s="45">
        <v>1295</v>
      </c>
      <c r="K21" s="44">
        <f t="shared" si="2"/>
        <v>1295</v>
      </c>
      <c r="L21" s="52">
        <v>1280</v>
      </c>
      <c r="M21" s="51">
        <v>1.2546999999999999</v>
      </c>
      <c r="N21" s="51">
        <v>1.1422000000000001</v>
      </c>
      <c r="O21" s="50">
        <v>107.22</v>
      </c>
      <c r="P21" s="43">
        <v>1020.16</v>
      </c>
      <c r="Q21" s="43">
        <v>1020.87</v>
      </c>
      <c r="R21" s="49">
        <f t="shared" si="3"/>
        <v>1120.6443705130448</v>
      </c>
      <c r="S21" s="48">
        <v>1.2553000000000001</v>
      </c>
    </row>
    <row r="22" spans="2:19" x14ac:dyDescent="0.2">
      <c r="B22" s="47">
        <v>44032</v>
      </c>
      <c r="C22" s="46">
        <v>1275</v>
      </c>
      <c r="D22" s="45">
        <v>1275</v>
      </c>
      <c r="E22" s="44">
        <f t="shared" si="0"/>
        <v>1275</v>
      </c>
      <c r="F22" s="46">
        <v>1277</v>
      </c>
      <c r="G22" s="45">
        <v>1277</v>
      </c>
      <c r="H22" s="44">
        <f t="shared" si="1"/>
        <v>1277</v>
      </c>
      <c r="I22" s="46">
        <v>1290</v>
      </c>
      <c r="J22" s="45">
        <v>1290</v>
      </c>
      <c r="K22" s="44">
        <f t="shared" si="2"/>
        <v>1290</v>
      </c>
      <c r="L22" s="52">
        <v>1275</v>
      </c>
      <c r="M22" s="51">
        <v>1.2634000000000001</v>
      </c>
      <c r="N22" s="51">
        <v>1.1447000000000001</v>
      </c>
      <c r="O22" s="50">
        <v>107.1</v>
      </c>
      <c r="P22" s="43">
        <v>1009.18</v>
      </c>
      <c r="Q22" s="43">
        <v>1010.2</v>
      </c>
      <c r="R22" s="49">
        <f t="shared" si="3"/>
        <v>1113.8289508168079</v>
      </c>
      <c r="S22" s="48">
        <v>1.2641</v>
      </c>
    </row>
    <row r="23" spans="2:19" x14ac:dyDescent="0.2">
      <c r="B23" s="47">
        <v>44033</v>
      </c>
      <c r="C23" s="46">
        <v>1275</v>
      </c>
      <c r="D23" s="45">
        <v>1275</v>
      </c>
      <c r="E23" s="44">
        <f t="shared" si="0"/>
        <v>1275</v>
      </c>
      <c r="F23" s="46">
        <v>1277</v>
      </c>
      <c r="G23" s="45">
        <v>1277</v>
      </c>
      <c r="H23" s="44">
        <f t="shared" si="1"/>
        <v>1277</v>
      </c>
      <c r="I23" s="46">
        <v>1290</v>
      </c>
      <c r="J23" s="45">
        <v>1290</v>
      </c>
      <c r="K23" s="44">
        <f t="shared" si="2"/>
        <v>1290</v>
      </c>
      <c r="L23" s="52">
        <v>1275</v>
      </c>
      <c r="M23" s="51">
        <v>1.2694000000000001</v>
      </c>
      <c r="N23" s="51">
        <v>1.1436999999999999</v>
      </c>
      <c r="O23" s="50">
        <v>107.24</v>
      </c>
      <c r="P23" s="43">
        <v>1004.41</v>
      </c>
      <c r="Q23" s="43">
        <v>1005.51</v>
      </c>
      <c r="R23" s="49">
        <f t="shared" si="3"/>
        <v>1114.8028329107283</v>
      </c>
      <c r="S23" s="48">
        <v>1.27</v>
      </c>
    </row>
    <row r="24" spans="2:19" x14ac:dyDescent="0.2">
      <c r="B24" s="47">
        <v>44034</v>
      </c>
      <c r="C24" s="46">
        <v>1275</v>
      </c>
      <c r="D24" s="45">
        <v>1275</v>
      </c>
      <c r="E24" s="44">
        <f t="shared" si="0"/>
        <v>1275</v>
      </c>
      <c r="F24" s="46">
        <v>1277</v>
      </c>
      <c r="G24" s="45">
        <v>1277</v>
      </c>
      <c r="H24" s="44">
        <f t="shared" si="1"/>
        <v>1277</v>
      </c>
      <c r="I24" s="46">
        <v>1290</v>
      </c>
      <c r="J24" s="45">
        <v>1290</v>
      </c>
      <c r="K24" s="44">
        <f t="shared" si="2"/>
        <v>1290</v>
      </c>
      <c r="L24" s="52">
        <v>1275</v>
      </c>
      <c r="M24" s="51">
        <v>1.2698</v>
      </c>
      <c r="N24" s="51">
        <v>1.1577999999999999</v>
      </c>
      <c r="O24" s="50">
        <v>106.98</v>
      </c>
      <c r="P24" s="43">
        <v>1004.1</v>
      </c>
      <c r="Q24" s="43">
        <v>1005.2</v>
      </c>
      <c r="R24" s="49">
        <f t="shared" si="3"/>
        <v>1101.2264639834168</v>
      </c>
      <c r="S24" s="48">
        <v>1.2704</v>
      </c>
    </row>
    <row r="25" spans="2:19" x14ac:dyDescent="0.2">
      <c r="B25" s="47">
        <v>44035</v>
      </c>
      <c r="C25" s="46">
        <v>1275</v>
      </c>
      <c r="D25" s="45">
        <v>1275</v>
      </c>
      <c r="E25" s="44">
        <f t="shared" si="0"/>
        <v>1275</v>
      </c>
      <c r="F25" s="46">
        <v>1277</v>
      </c>
      <c r="G25" s="45">
        <v>1277</v>
      </c>
      <c r="H25" s="44">
        <f t="shared" si="1"/>
        <v>1277</v>
      </c>
      <c r="I25" s="46">
        <v>1289.5</v>
      </c>
      <c r="J25" s="45">
        <v>1289.5</v>
      </c>
      <c r="K25" s="44">
        <f t="shared" si="2"/>
        <v>1289.5</v>
      </c>
      <c r="L25" s="52">
        <v>1275</v>
      </c>
      <c r="M25" s="51">
        <v>1.2689999999999999</v>
      </c>
      <c r="N25" s="51">
        <v>1.1572</v>
      </c>
      <c r="O25" s="50">
        <v>107.18</v>
      </c>
      <c r="P25" s="43">
        <v>1004.73</v>
      </c>
      <c r="Q25" s="43">
        <v>1005.83</v>
      </c>
      <c r="R25" s="49">
        <f t="shared" si="3"/>
        <v>1101.7974421016247</v>
      </c>
      <c r="S25" s="48">
        <v>1.2696000000000001</v>
      </c>
    </row>
    <row r="26" spans="2:19" x14ac:dyDescent="0.2">
      <c r="B26" s="47">
        <v>44036</v>
      </c>
      <c r="C26" s="46">
        <v>1272</v>
      </c>
      <c r="D26" s="45">
        <v>1272</v>
      </c>
      <c r="E26" s="44">
        <f t="shared" si="0"/>
        <v>1272</v>
      </c>
      <c r="F26" s="46">
        <v>1275</v>
      </c>
      <c r="G26" s="45">
        <v>1275</v>
      </c>
      <c r="H26" s="44">
        <f t="shared" si="1"/>
        <v>1275</v>
      </c>
      <c r="I26" s="46">
        <v>1287.5</v>
      </c>
      <c r="J26" s="45">
        <v>1287.5</v>
      </c>
      <c r="K26" s="44">
        <f t="shared" si="2"/>
        <v>1287.5</v>
      </c>
      <c r="L26" s="52">
        <v>1272</v>
      </c>
      <c r="M26" s="51">
        <v>1.2754000000000001</v>
      </c>
      <c r="N26" s="51">
        <v>1.1600999999999999</v>
      </c>
      <c r="O26" s="50">
        <v>106.22</v>
      </c>
      <c r="P26" s="43">
        <v>997.33</v>
      </c>
      <c r="Q26" s="43">
        <v>999.22</v>
      </c>
      <c r="R26" s="49">
        <f t="shared" si="3"/>
        <v>1096.4572019653478</v>
      </c>
      <c r="S26" s="48">
        <v>1.276</v>
      </c>
    </row>
    <row r="27" spans="2:19" x14ac:dyDescent="0.2">
      <c r="B27" s="47">
        <v>44039</v>
      </c>
      <c r="C27" s="46">
        <v>1272</v>
      </c>
      <c r="D27" s="45">
        <v>1272</v>
      </c>
      <c r="E27" s="44">
        <f t="shared" si="0"/>
        <v>1272</v>
      </c>
      <c r="F27" s="46">
        <v>1275</v>
      </c>
      <c r="G27" s="45">
        <v>1275</v>
      </c>
      <c r="H27" s="44">
        <f t="shared" si="1"/>
        <v>1275</v>
      </c>
      <c r="I27" s="46">
        <v>1304</v>
      </c>
      <c r="J27" s="45">
        <v>1304</v>
      </c>
      <c r="K27" s="44">
        <f t="shared" si="2"/>
        <v>1304</v>
      </c>
      <c r="L27" s="52">
        <v>1272</v>
      </c>
      <c r="M27" s="51">
        <v>1.2873000000000001</v>
      </c>
      <c r="N27" s="51">
        <v>1.1744000000000001</v>
      </c>
      <c r="O27" s="50">
        <v>105.31</v>
      </c>
      <c r="P27" s="43">
        <v>988.11</v>
      </c>
      <c r="Q27" s="43">
        <v>989.98</v>
      </c>
      <c r="R27" s="49">
        <f t="shared" si="3"/>
        <v>1083.1062670299727</v>
      </c>
      <c r="S27" s="48">
        <v>1.2879</v>
      </c>
    </row>
    <row r="28" spans="2:19" x14ac:dyDescent="0.2">
      <c r="B28" s="47">
        <v>44040</v>
      </c>
      <c r="C28" s="46">
        <v>1271</v>
      </c>
      <c r="D28" s="45">
        <v>1271</v>
      </c>
      <c r="E28" s="44">
        <f t="shared" si="0"/>
        <v>1271</v>
      </c>
      <c r="F28" s="46">
        <v>1275</v>
      </c>
      <c r="G28" s="45">
        <v>1275</v>
      </c>
      <c r="H28" s="44">
        <f t="shared" si="1"/>
        <v>1275</v>
      </c>
      <c r="I28" s="46">
        <v>1303.5</v>
      </c>
      <c r="J28" s="45">
        <v>1303.5</v>
      </c>
      <c r="K28" s="44">
        <f t="shared" si="2"/>
        <v>1303.5</v>
      </c>
      <c r="L28" s="52">
        <v>1271</v>
      </c>
      <c r="M28" s="51">
        <v>1.2864</v>
      </c>
      <c r="N28" s="51">
        <v>1.1705000000000001</v>
      </c>
      <c r="O28" s="50">
        <v>105.36</v>
      </c>
      <c r="P28" s="43">
        <v>988.03</v>
      </c>
      <c r="Q28" s="43">
        <v>990.6</v>
      </c>
      <c r="R28" s="49">
        <f t="shared" si="3"/>
        <v>1085.8607432721058</v>
      </c>
      <c r="S28" s="48">
        <v>1.2870999999999999</v>
      </c>
    </row>
    <row r="29" spans="2:19" x14ac:dyDescent="0.2">
      <c r="B29" s="47">
        <v>44041</v>
      </c>
      <c r="C29" s="46">
        <v>1290</v>
      </c>
      <c r="D29" s="45">
        <v>1290</v>
      </c>
      <c r="E29" s="44">
        <f t="shared" si="0"/>
        <v>1290</v>
      </c>
      <c r="F29" s="46">
        <v>1294.5</v>
      </c>
      <c r="G29" s="45">
        <v>1294.5</v>
      </c>
      <c r="H29" s="44">
        <f t="shared" si="1"/>
        <v>1294.5</v>
      </c>
      <c r="I29" s="46">
        <v>1323</v>
      </c>
      <c r="J29" s="45">
        <v>1323</v>
      </c>
      <c r="K29" s="44">
        <f t="shared" si="2"/>
        <v>1323</v>
      </c>
      <c r="L29" s="52">
        <v>1290</v>
      </c>
      <c r="M29" s="51">
        <v>1.2965</v>
      </c>
      <c r="N29" s="51">
        <v>1.1722999999999999</v>
      </c>
      <c r="O29" s="50">
        <v>105.15</v>
      </c>
      <c r="P29" s="43">
        <v>994.99</v>
      </c>
      <c r="Q29" s="43">
        <v>997.92</v>
      </c>
      <c r="R29" s="49">
        <f t="shared" si="3"/>
        <v>1100.4009212658877</v>
      </c>
      <c r="S29" s="48">
        <v>1.2971999999999999</v>
      </c>
    </row>
    <row r="30" spans="2:19" x14ac:dyDescent="0.2">
      <c r="B30" s="47">
        <v>44042</v>
      </c>
      <c r="C30" s="46">
        <v>1250</v>
      </c>
      <c r="D30" s="45">
        <v>1250</v>
      </c>
      <c r="E30" s="44">
        <f t="shared" si="0"/>
        <v>1250</v>
      </c>
      <c r="F30" s="46">
        <v>1300</v>
      </c>
      <c r="G30" s="45">
        <v>1300</v>
      </c>
      <c r="H30" s="44">
        <f t="shared" si="1"/>
        <v>1300</v>
      </c>
      <c r="I30" s="46">
        <v>1328</v>
      </c>
      <c r="J30" s="45">
        <v>1328</v>
      </c>
      <c r="K30" s="44">
        <f t="shared" si="2"/>
        <v>1328</v>
      </c>
      <c r="L30" s="52">
        <v>1250</v>
      </c>
      <c r="M30" s="51">
        <v>1.3019000000000001</v>
      </c>
      <c r="N30" s="51">
        <v>1.1749000000000001</v>
      </c>
      <c r="O30" s="50">
        <v>105.19</v>
      </c>
      <c r="P30" s="43">
        <v>960.14</v>
      </c>
      <c r="Q30" s="43">
        <v>998.08</v>
      </c>
      <c r="R30" s="49">
        <f t="shared" si="3"/>
        <v>1063.9203336454166</v>
      </c>
      <c r="S30" s="48">
        <v>1.3025</v>
      </c>
    </row>
    <row r="31" spans="2:19" x14ac:dyDescent="0.2">
      <c r="B31" s="47">
        <v>44043</v>
      </c>
      <c r="C31" s="46">
        <v>1305.5</v>
      </c>
      <c r="D31" s="45">
        <v>1305.5</v>
      </c>
      <c r="E31" s="44">
        <f t="shared" si="0"/>
        <v>1305.5</v>
      </c>
      <c r="F31" s="46">
        <v>1310</v>
      </c>
      <c r="G31" s="45">
        <v>1310</v>
      </c>
      <c r="H31" s="44">
        <f t="shared" si="1"/>
        <v>1310</v>
      </c>
      <c r="I31" s="46">
        <v>1338</v>
      </c>
      <c r="J31" s="45">
        <v>1338</v>
      </c>
      <c r="K31" s="44">
        <f t="shared" si="2"/>
        <v>1338</v>
      </c>
      <c r="L31" s="52">
        <v>1305.5</v>
      </c>
      <c r="M31" s="51">
        <v>1.3142</v>
      </c>
      <c r="N31" s="51">
        <v>1.1840999999999999</v>
      </c>
      <c r="O31" s="50">
        <v>104.91</v>
      </c>
      <c r="P31" s="43">
        <v>993.38</v>
      </c>
      <c r="Q31" s="43">
        <v>996.35</v>
      </c>
      <c r="R31" s="49">
        <f t="shared" si="3"/>
        <v>1102.5251245671818</v>
      </c>
      <c r="S31" s="48">
        <v>1.3148</v>
      </c>
    </row>
    <row r="32" spans="2:19" s="10" customFormat="1" x14ac:dyDescent="0.2">
      <c r="B32" s="42" t="s">
        <v>11</v>
      </c>
      <c r="C32" s="41">
        <f>ROUND(AVERAGE(C9:C31),2)</f>
        <v>1265.26</v>
      </c>
      <c r="D32" s="40">
        <f>ROUND(AVERAGE(D9:D31),2)</f>
        <v>1265.26</v>
      </c>
      <c r="E32" s="39">
        <f>ROUND(AVERAGE(C32:D32),2)</f>
        <v>1265.26</v>
      </c>
      <c r="F32" s="41">
        <f>ROUND(AVERAGE(F9:F31),2)</f>
        <v>1268.96</v>
      </c>
      <c r="G32" s="40">
        <f>ROUND(AVERAGE(G9:G31),2)</f>
        <v>1268.96</v>
      </c>
      <c r="H32" s="39">
        <f>ROUND(AVERAGE(F32:G32),2)</f>
        <v>1268.96</v>
      </c>
      <c r="I32" s="41">
        <f>ROUND(AVERAGE(I9:I31),2)</f>
        <v>1286.04</v>
      </c>
      <c r="J32" s="40">
        <f>ROUND(AVERAGE(J9:J31),2)</f>
        <v>1286.04</v>
      </c>
      <c r="K32" s="39">
        <f>ROUND(AVERAGE(I32:J32),2)</f>
        <v>1286.04</v>
      </c>
      <c r="L32" s="38">
        <f>ROUND(AVERAGE(L9:L31),2)</f>
        <v>1265.26</v>
      </c>
      <c r="M32" s="37">
        <f>ROUND(AVERAGE(M9:M31),4)</f>
        <v>1.2669999999999999</v>
      </c>
      <c r="N32" s="36">
        <f>ROUND(AVERAGE(N9:N31),4)</f>
        <v>1.1462000000000001</v>
      </c>
      <c r="O32" s="175">
        <f>ROUND(AVERAGE(O9:O31),2)</f>
        <v>106.77</v>
      </c>
      <c r="P32" s="35">
        <f>AVERAGE(P9:P31)</f>
        <v>998.70782608695663</v>
      </c>
      <c r="Q32" s="35">
        <f>AVERAGE(Q9:Q31)</f>
        <v>1001.0482608695653</v>
      </c>
      <c r="R32" s="35">
        <f>AVERAGE(R9:R31)</f>
        <v>1103.9487875661914</v>
      </c>
      <c r="S32" s="34">
        <f>AVERAGE(S9:S31)</f>
        <v>1.2676260869565217</v>
      </c>
    </row>
    <row r="33" spans="2:19" s="5" customFormat="1" x14ac:dyDescent="0.2">
      <c r="B33" s="33" t="s">
        <v>12</v>
      </c>
      <c r="C33" s="32">
        <f t="shared" ref="C33:S33" si="4">MAX(C9:C31)</f>
        <v>1309</v>
      </c>
      <c r="D33" s="31">
        <f t="shared" si="4"/>
        <v>1309</v>
      </c>
      <c r="E33" s="30">
        <f t="shared" si="4"/>
        <v>1309</v>
      </c>
      <c r="F33" s="32">
        <f t="shared" si="4"/>
        <v>1310</v>
      </c>
      <c r="G33" s="31">
        <f t="shared" si="4"/>
        <v>1310</v>
      </c>
      <c r="H33" s="30">
        <f t="shared" si="4"/>
        <v>1310</v>
      </c>
      <c r="I33" s="32">
        <f t="shared" si="4"/>
        <v>1338</v>
      </c>
      <c r="J33" s="31">
        <f t="shared" si="4"/>
        <v>1338</v>
      </c>
      <c r="K33" s="30">
        <f t="shared" si="4"/>
        <v>1338</v>
      </c>
      <c r="L33" s="29">
        <f t="shared" si="4"/>
        <v>1309</v>
      </c>
      <c r="M33" s="28">
        <f t="shared" si="4"/>
        <v>1.3142</v>
      </c>
      <c r="N33" s="27">
        <f t="shared" si="4"/>
        <v>1.1840999999999999</v>
      </c>
      <c r="O33" s="26">
        <f t="shared" si="4"/>
        <v>107.72</v>
      </c>
      <c r="P33" s="25">
        <f t="shared" si="4"/>
        <v>1036.26</v>
      </c>
      <c r="Q33" s="25">
        <f t="shared" si="4"/>
        <v>1036.47</v>
      </c>
      <c r="R33" s="25">
        <f t="shared" si="4"/>
        <v>1144.3307981466912</v>
      </c>
      <c r="S33" s="24">
        <f t="shared" si="4"/>
        <v>1.3148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1220</v>
      </c>
      <c r="D34" s="21">
        <f t="shared" si="5"/>
        <v>1220</v>
      </c>
      <c r="E34" s="20">
        <f t="shared" si="5"/>
        <v>1220</v>
      </c>
      <c r="F34" s="22">
        <f t="shared" si="5"/>
        <v>1220</v>
      </c>
      <c r="G34" s="21">
        <f t="shared" si="5"/>
        <v>1220</v>
      </c>
      <c r="H34" s="20">
        <f t="shared" si="5"/>
        <v>1220</v>
      </c>
      <c r="I34" s="22">
        <f t="shared" si="5"/>
        <v>1235.5</v>
      </c>
      <c r="J34" s="21">
        <f t="shared" si="5"/>
        <v>1235.5</v>
      </c>
      <c r="K34" s="20">
        <f t="shared" si="5"/>
        <v>1235.5</v>
      </c>
      <c r="L34" s="19">
        <f t="shared" si="5"/>
        <v>1220</v>
      </c>
      <c r="M34" s="18">
        <f t="shared" si="5"/>
        <v>1.2390000000000001</v>
      </c>
      <c r="N34" s="17">
        <f t="shared" si="5"/>
        <v>1.1204000000000001</v>
      </c>
      <c r="O34" s="16">
        <f t="shared" si="5"/>
        <v>104.91</v>
      </c>
      <c r="P34" s="15">
        <f t="shared" si="5"/>
        <v>960.14</v>
      </c>
      <c r="Q34" s="15">
        <f t="shared" si="5"/>
        <v>977.97</v>
      </c>
      <c r="R34" s="15">
        <f t="shared" si="5"/>
        <v>1063.9203336454166</v>
      </c>
      <c r="S34" s="14">
        <f t="shared" si="5"/>
        <v>1.2397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44013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44013</v>
      </c>
      <c r="C9" s="46">
        <v>1593.5</v>
      </c>
      <c r="D9" s="45">
        <v>1593.5</v>
      </c>
      <c r="E9" s="44">
        <f t="shared" ref="E9:E31" si="0">AVERAGE(C9:D9)</f>
        <v>1593.5</v>
      </c>
      <c r="F9" s="46">
        <v>1614</v>
      </c>
      <c r="G9" s="45">
        <v>1614</v>
      </c>
      <c r="H9" s="44">
        <f t="shared" ref="H9:H31" si="1">AVERAGE(F9:G9)</f>
        <v>1614</v>
      </c>
      <c r="I9" s="46">
        <v>1713</v>
      </c>
      <c r="J9" s="45">
        <v>1713</v>
      </c>
      <c r="K9" s="44">
        <f t="shared" ref="K9:K31" si="2">AVERAGE(I9:J9)</f>
        <v>1713</v>
      </c>
      <c r="L9" s="46">
        <v>1793</v>
      </c>
      <c r="M9" s="45">
        <v>1793</v>
      </c>
      <c r="N9" s="44">
        <f t="shared" ref="N9:N31" si="3">AVERAGE(L9:M9)</f>
        <v>1793</v>
      </c>
      <c r="O9" s="46">
        <v>1872</v>
      </c>
      <c r="P9" s="45">
        <v>1872</v>
      </c>
      <c r="Q9" s="44">
        <f t="shared" ref="Q9:Q31" si="4">AVERAGE(O9:P9)</f>
        <v>1872</v>
      </c>
      <c r="R9" s="52">
        <v>1593.5</v>
      </c>
      <c r="S9" s="51">
        <v>1.2390000000000001</v>
      </c>
      <c r="T9" s="53">
        <v>1.1204000000000001</v>
      </c>
      <c r="U9" s="50">
        <v>107.46</v>
      </c>
      <c r="V9" s="43">
        <v>1286.1199999999999</v>
      </c>
      <c r="W9" s="43">
        <v>1301.93</v>
      </c>
      <c r="X9" s="49">
        <f t="shared" ref="X9:X31" si="5">R9/T9</f>
        <v>1422.2599071760085</v>
      </c>
      <c r="Y9" s="48">
        <v>1.2397</v>
      </c>
    </row>
    <row r="10" spans="1:25" x14ac:dyDescent="0.2">
      <c r="B10" s="47">
        <v>44014</v>
      </c>
      <c r="C10" s="46">
        <v>1601.5</v>
      </c>
      <c r="D10" s="45">
        <v>1601.5</v>
      </c>
      <c r="E10" s="44">
        <f t="shared" si="0"/>
        <v>1601.5</v>
      </c>
      <c r="F10" s="46">
        <v>1621.5</v>
      </c>
      <c r="G10" s="45">
        <v>1621.5</v>
      </c>
      <c r="H10" s="44">
        <f t="shared" si="1"/>
        <v>1621.5</v>
      </c>
      <c r="I10" s="46">
        <v>1720.5</v>
      </c>
      <c r="J10" s="45">
        <v>1720.5</v>
      </c>
      <c r="K10" s="44">
        <f t="shared" si="2"/>
        <v>1720.5</v>
      </c>
      <c r="L10" s="46">
        <v>1801.5</v>
      </c>
      <c r="M10" s="45">
        <v>1801.5</v>
      </c>
      <c r="N10" s="44">
        <f t="shared" si="3"/>
        <v>1801.5</v>
      </c>
      <c r="O10" s="46">
        <v>1880.5</v>
      </c>
      <c r="P10" s="45">
        <v>1880.5</v>
      </c>
      <c r="Q10" s="44">
        <f t="shared" si="4"/>
        <v>1880.5</v>
      </c>
      <c r="R10" s="52">
        <v>1601.5</v>
      </c>
      <c r="S10" s="51">
        <v>1.2519</v>
      </c>
      <c r="T10" s="51">
        <v>1.1287</v>
      </c>
      <c r="U10" s="50">
        <v>107.46</v>
      </c>
      <c r="V10" s="43">
        <v>1279.26</v>
      </c>
      <c r="W10" s="43">
        <v>1294.51</v>
      </c>
      <c r="X10" s="49">
        <f t="shared" si="5"/>
        <v>1418.8889873305573</v>
      </c>
      <c r="Y10" s="48">
        <v>1.2525999999999999</v>
      </c>
    </row>
    <row r="11" spans="1:25" x14ac:dyDescent="0.2">
      <c r="B11" s="47">
        <v>44015</v>
      </c>
      <c r="C11" s="46">
        <v>1581.5</v>
      </c>
      <c r="D11" s="45">
        <v>1581.5</v>
      </c>
      <c r="E11" s="44">
        <f t="shared" si="0"/>
        <v>1581.5</v>
      </c>
      <c r="F11" s="46">
        <v>1614</v>
      </c>
      <c r="G11" s="45">
        <v>1614</v>
      </c>
      <c r="H11" s="44">
        <f t="shared" si="1"/>
        <v>1614</v>
      </c>
      <c r="I11" s="46">
        <v>1716</v>
      </c>
      <c r="J11" s="45">
        <v>1716</v>
      </c>
      <c r="K11" s="44">
        <f t="shared" si="2"/>
        <v>1716</v>
      </c>
      <c r="L11" s="46">
        <v>1797</v>
      </c>
      <c r="M11" s="45">
        <v>1797</v>
      </c>
      <c r="N11" s="44">
        <f t="shared" si="3"/>
        <v>1797</v>
      </c>
      <c r="O11" s="46">
        <v>1876</v>
      </c>
      <c r="P11" s="45">
        <v>1876</v>
      </c>
      <c r="Q11" s="44">
        <f t="shared" si="4"/>
        <v>1876</v>
      </c>
      <c r="R11" s="52">
        <v>1581.5</v>
      </c>
      <c r="S11" s="51">
        <v>1.2454000000000001</v>
      </c>
      <c r="T11" s="51">
        <v>1.1224000000000001</v>
      </c>
      <c r="U11" s="50">
        <v>107.53</v>
      </c>
      <c r="V11" s="43">
        <v>1269.8699999999999</v>
      </c>
      <c r="W11" s="43">
        <v>1295.3499999999999</v>
      </c>
      <c r="X11" s="49">
        <f t="shared" si="5"/>
        <v>1409.0342124019955</v>
      </c>
      <c r="Y11" s="48">
        <v>1.246</v>
      </c>
    </row>
    <row r="12" spans="1:25" x14ac:dyDescent="0.2">
      <c r="B12" s="47">
        <v>44018</v>
      </c>
      <c r="C12" s="46">
        <v>1593</v>
      </c>
      <c r="D12" s="45">
        <v>1593</v>
      </c>
      <c r="E12" s="44">
        <f t="shared" si="0"/>
        <v>1593</v>
      </c>
      <c r="F12" s="46">
        <v>1626</v>
      </c>
      <c r="G12" s="45">
        <v>1626</v>
      </c>
      <c r="H12" s="44">
        <f t="shared" si="1"/>
        <v>1626</v>
      </c>
      <c r="I12" s="46">
        <v>1725</v>
      </c>
      <c r="J12" s="45">
        <v>1725</v>
      </c>
      <c r="K12" s="44">
        <f t="shared" si="2"/>
        <v>1725</v>
      </c>
      <c r="L12" s="46">
        <v>1804.5</v>
      </c>
      <c r="M12" s="45">
        <v>1804.5</v>
      </c>
      <c r="N12" s="44">
        <f t="shared" si="3"/>
        <v>1804.5</v>
      </c>
      <c r="O12" s="46">
        <v>1883.5</v>
      </c>
      <c r="P12" s="45">
        <v>1883.5</v>
      </c>
      <c r="Q12" s="44">
        <f t="shared" si="4"/>
        <v>1883.5</v>
      </c>
      <c r="R12" s="52">
        <v>1593</v>
      </c>
      <c r="S12" s="51">
        <v>1.2509999999999999</v>
      </c>
      <c r="T12" s="51">
        <v>1.1318999999999999</v>
      </c>
      <c r="U12" s="50">
        <v>107.53</v>
      </c>
      <c r="V12" s="43">
        <v>1273.3800000000001</v>
      </c>
      <c r="W12" s="43">
        <v>1299.03</v>
      </c>
      <c r="X12" s="49">
        <f t="shared" si="5"/>
        <v>1407.3681420620198</v>
      </c>
      <c r="Y12" s="48">
        <v>1.2517</v>
      </c>
    </row>
    <row r="13" spans="1:25" x14ac:dyDescent="0.2">
      <c r="B13" s="47">
        <v>44019</v>
      </c>
      <c r="C13" s="46">
        <v>1596.5</v>
      </c>
      <c r="D13" s="45">
        <v>1596.5</v>
      </c>
      <c r="E13" s="44">
        <f t="shared" si="0"/>
        <v>1596.5</v>
      </c>
      <c r="F13" s="46">
        <v>1630</v>
      </c>
      <c r="G13" s="45">
        <v>1630</v>
      </c>
      <c r="H13" s="44">
        <f t="shared" si="1"/>
        <v>1630</v>
      </c>
      <c r="I13" s="46">
        <v>1726</v>
      </c>
      <c r="J13" s="45">
        <v>1726</v>
      </c>
      <c r="K13" s="44">
        <f t="shared" si="2"/>
        <v>1726</v>
      </c>
      <c r="L13" s="46">
        <v>1804.5</v>
      </c>
      <c r="M13" s="45">
        <v>1804.5</v>
      </c>
      <c r="N13" s="44">
        <f t="shared" si="3"/>
        <v>1804.5</v>
      </c>
      <c r="O13" s="46">
        <v>1883.5</v>
      </c>
      <c r="P13" s="45">
        <v>1883.5</v>
      </c>
      <c r="Q13" s="44">
        <f t="shared" si="4"/>
        <v>1883.5</v>
      </c>
      <c r="R13" s="52">
        <v>1596.5</v>
      </c>
      <c r="S13" s="51">
        <v>1.2519</v>
      </c>
      <c r="T13" s="51">
        <v>1.1291</v>
      </c>
      <c r="U13" s="50">
        <v>107.72</v>
      </c>
      <c r="V13" s="43">
        <v>1275.26</v>
      </c>
      <c r="W13" s="43">
        <v>1301.29</v>
      </c>
      <c r="X13" s="49">
        <f t="shared" si="5"/>
        <v>1413.9580196616776</v>
      </c>
      <c r="Y13" s="48">
        <v>1.2525999999999999</v>
      </c>
    </row>
    <row r="14" spans="1:25" x14ac:dyDescent="0.2">
      <c r="B14" s="47">
        <v>44020</v>
      </c>
      <c r="C14" s="46">
        <v>1619</v>
      </c>
      <c r="D14" s="45">
        <v>1619</v>
      </c>
      <c r="E14" s="44">
        <f t="shared" si="0"/>
        <v>1619</v>
      </c>
      <c r="F14" s="46">
        <v>1651</v>
      </c>
      <c r="G14" s="45">
        <v>1651</v>
      </c>
      <c r="H14" s="44">
        <f t="shared" si="1"/>
        <v>1651</v>
      </c>
      <c r="I14" s="46">
        <v>1743</v>
      </c>
      <c r="J14" s="45">
        <v>1743</v>
      </c>
      <c r="K14" s="44">
        <f t="shared" si="2"/>
        <v>1743</v>
      </c>
      <c r="L14" s="46">
        <v>1822</v>
      </c>
      <c r="M14" s="45">
        <v>1822</v>
      </c>
      <c r="N14" s="44">
        <f t="shared" si="3"/>
        <v>1822</v>
      </c>
      <c r="O14" s="46">
        <v>1901</v>
      </c>
      <c r="P14" s="45">
        <v>1901</v>
      </c>
      <c r="Q14" s="44">
        <f t="shared" si="4"/>
        <v>1901</v>
      </c>
      <c r="R14" s="52">
        <v>1619</v>
      </c>
      <c r="S14" s="51">
        <v>1.2559</v>
      </c>
      <c r="T14" s="51">
        <v>1.129</v>
      </c>
      <c r="U14" s="50">
        <v>107.52</v>
      </c>
      <c r="V14" s="43">
        <v>1289.1199999999999</v>
      </c>
      <c r="W14" s="43">
        <v>1313.86</v>
      </c>
      <c r="X14" s="49">
        <f t="shared" si="5"/>
        <v>1434.0124003542958</v>
      </c>
      <c r="Y14" s="48">
        <v>1.2565999999999999</v>
      </c>
    </row>
    <row r="15" spans="1:25" x14ac:dyDescent="0.2">
      <c r="B15" s="47">
        <v>44021</v>
      </c>
      <c r="C15" s="46">
        <v>1659.5</v>
      </c>
      <c r="D15" s="45">
        <v>1659.5</v>
      </c>
      <c r="E15" s="44">
        <f t="shared" si="0"/>
        <v>1659.5</v>
      </c>
      <c r="F15" s="46">
        <v>1687</v>
      </c>
      <c r="G15" s="45">
        <v>1687</v>
      </c>
      <c r="H15" s="44">
        <f t="shared" si="1"/>
        <v>1687</v>
      </c>
      <c r="I15" s="46">
        <v>1772</v>
      </c>
      <c r="J15" s="45">
        <v>1772</v>
      </c>
      <c r="K15" s="44">
        <f t="shared" si="2"/>
        <v>1772</v>
      </c>
      <c r="L15" s="46">
        <v>1848</v>
      </c>
      <c r="M15" s="45">
        <v>1848</v>
      </c>
      <c r="N15" s="44">
        <f t="shared" si="3"/>
        <v>1848</v>
      </c>
      <c r="O15" s="46">
        <v>1926</v>
      </c>
      <c r="P15" s="45">
        <v>1926</v>
      </c>
      <c r="Q15" s="44">
        <f t="shared" si="4"/>
        <v>1926</v>
      </c>
      <c r="R15" s="52">
        <v>1659.5</v>
      </c>
      <c r="S15" s="51">
        <v>1.2652000000000001</v>
      </c>
      <c r="T15" s="51">
        <v>1.1343000000000001</v>
      </c>
      <c r="U15" s="50">
        <v>107.29</v>
      </c>
      <c r="V15" s="43">
        <v>1311.65</v>
      </c>
      <c r="W15" s="43">
        <v>1332.75</v>
      </c>
      <c r="X15" s="49">
        <f t="shared" si="5"/>
        <v>1463.0168385788591</v>
      </c>
      <c r="Y15" s="48">
        <v>1.2658</v>
      </c>
    </row>
    <row r="16" spans="1:25" x14ac:dyDescent="0.2">
      <c r="B16" s="47">
        <v>44022</v>
      </c>
      <c r="C16" s="46">
        <v>1639.5</v>
      </c>
      <c r="D16" s="45">
        <v>1639.5</v>
      </c>
      <c r="E16" s="44">
        <f t="shared" si="0"/>
        <v>1639.5</v>
      </c>
      <c r="F16" s="46">
        <v>1669</v>
      </c>
      <c r="G16" s="45">
        <v>1669</v>
      </c>
      <c r="H16" s="44">
        <f t="shared" si="1"/>
        <v>1669</v>
      </c>
      <c r="I16" s="46">
        <v>1753.5</v>
      </c>
      <c r="J16" s="45">
        <v>1753.5</v>
      </c>
      <c r="K16" s="44">
        <f t="shared" si="2"/>
        <v>1753.5</v>
      </c>
      <c r="L16" s="46">
        <v>1828</v>
      </c>
      <c r="M16" s="45">
        <v>1828</v>
      </c>
      <c r="N16" s="44">
        <f t="shared" si="3"/>
        <v>1828</v>
      </c>
      <c r="O16" s="46">
        <v>1906</v>
      </c>
      <c r="P16" s="45">
        <v>1906</v>
      </c>
      <c r="Q16" s="44">
        <f t="shared" si="4"/>
        <v>1906</v>
      </c>
      <c r="R16" s="52">
        <v>1639.5</v>
      </c>
      <c r="S16" s="51">
        <v>1.2599</v>
      </c>
      <c r="T16" s="51">
        <v>1.1286</v>
      </c>
      <c r="U16" s="50">
        <v>106.86</v>
      </c>
      <c r="V16" s="43">
        <v>1301.29</v>
      </c>
      <c r="W16" s="43">
        <v>1323.97</v>
      </c>
      <c r="X16" s="49">
        <f t="shared" si="5"/>
        <v>1452.6847421584264</v>
      </c>
      <c r="Y16" s="48">
        <v>1.2605999999999999</v>
      </c>
    </row>
    <row r="17" spans="2:25" x14ac:dyDescent="0.2">
      <c r="B17" s="47">
        <v>44025</v>
      </c>
      <c r="C17" s="46">
        <v>1664.5</v>
      </c>
      <c r="D17" s="45">
        <v>1664.5</v>
      </c>
      <c r="E17" s="44">
        <f t="shared" si="0"/>
        <v>1664.5</v>
      </c>
      <c r="F17" s="46">
        <v>1695.5</v>
      </c>
      <c r="G17" s="45">
        <v>1695.5</v>
      </c>
      <c r="H17" s="44">
        <f t="shared" si="1"/>
        <v>1695.5</v>
      </c>
      <c r="I17" s="46">
        <v>1779</v>
      </c>
      <c r="J17" s="45">
        <v>1779</v>
      </c>
      <c r="K17" s="44">
        <f t="shared" si="2"/>
        <v>1779</v>
      </c>
      <c r="L17" s="46">
        <v>1853.5</v>
      </c>
      <c r="M17" s="45">
        <v>1853.5</v>
      </c>
      <c r="N17" s="44">
        <f t="shared" si="3"/>
        <v>1853.5</v>
      </c>
      <c r="O17" s="46">
        <v>1931</v>
      </c>
      <c r="P17" s="45">
        <v>1931</v>
      </c>
      <c r="Q17" s="44">
        <f t="shared" si="4"/>
        <v>1931</v>
      </c>
      <c r="R17" s="52">
        <v>1664.5</v>
      </c>
      <c r="S17" s="51">
        <v>1.2604</v>
      </c>
      <c r="T17" s="51">
        <v>1.1335</v>
      </c>
      <c r="U17" s="50">
        <v>107.1</v>
      </c>
      <c r="V17" s="43">
        <v>1320.61</v>
      </c>
      <c r="W17" s="43">
        <v>1344.35</v>
      </c>
      <c r="X17" s="49">
        <f t="shared" si="5"/>
        <v>1468.4605205116895</v>
      </c>
      <c r="Y17" s="48">
        <v>1.2612000000000001</v>
      </c>
    </row>
    <row r="18" spans="2:25" x14ac:dyDescent="0.2">
      <c r="B18" s="47">
        <v>44026</v>
      </c>
      <c r="C18" s="46">
        <v>1640</v>
      </c>
      <c r="D18" s="45">
        <v>1640</v>
      </c>
      <c r="E18" s="44">
        <f t="shared" si="0"/>
        <v>1640</v>
      </c>
      <c r="F18" s="46">
        <v>1675</v>
      </c>
      <c r="G18" s="45">
        <v>1675</v>
      </c>
      <c r="H18" s="44">
        <f t="shared" si="1"/>
        <v>1675</v>
      </c>
      <c r="I18" s="46">
        <v>1757</v>
      </c>
      <c r="J18" s="45">
        <v>1757</v>
      </c>
      <c r="K18" s="44">
        <f t="shared" si="2"/>
        <v>1757</v>
      </c>
      <c r="L18" s="46">
        <v>1831</v>
      </c>
      <c r="M18" s="45">
        <v>1831</v>
      </c>
      <c r="N18" s="44">
        <f t="shared" si="3"/>
        <v>1831</v>
      </c>
      <c r="O18" s="46">
        <v>1909</v>
      </c>
      <c r="P18" s="45">
        <v>1909</v>
      </c>
      <c r="Q18" s="44">
        <f t="shared" si="4"/>
        <v>1909</v>
      </c>
      <c r="R18" s="52">
        <v>1640</v>
      </c>
      <c r="S18" s="51">
        <v>1.2529999999999999</v>
      </c>
      <c r="T18" s="51">
        <v>1.1377999999999999</v>
      </c>
      <c r="U18" s="50">
        <v>107.37</v>
      </c>
      <c r="V18" s="43">
        <v>1308.8599999999999</v>
      </c>
      <c r="W18" s="43">
        <v>1336.05</v>
      </c>
      <c r="X18" s="49">
        <f t="shared" si="5"/>
        <v>1441.378098084022</v>
      </c>
      <c r="Y18" s="48">
        <v>1.2537</v>
      </c>
    </row>
    <row r="19" spans="2:25" x14ac:dyDescent="0.2">
      <c r="B19" s="47">
        <v>44027</v>
      </c>
      <c r="C19" s="46">
        <v>1651</v>
      </c>
      <c r="D19" s="45">
        <v>1651</v>
      </c>
      <c r="E19" s="44">
        <f t="shared" si="0"/>
        <v>1651</v>
      </c>
      <c r="F19" s="46">
        <v>1686</v>
      </c>
      <c r="G19" s="45">
        <v>1686</v>
      </c>
      <c r="H19" s="44">
        <f t="shared" si="1"/>
        <v>1686</v>
      </c>
      <c r="I19" s="46">
        <v>1771.5</v>
      </c>
      <c r="J19" s="45">
        <v>1771.5</v>
      </c>
      <c r="K19" s="44">
        <f t="shared" si="2"/>
        <v>1771.5</v>
      </c>
      <c r="L19" s="46">
        <v>1845.5</v>
      </c>
      <c r="M19" s="45">
        <v>1845.5</v>
      </c>
      <c r="N19" s="44">
        <f t="shared" si="3"/>
        <v>1845.5</v>
      </c>
      <c r="O19" s="46">
        <v>1923</v>
      </c>
      <c r="P19" s="45">
        <v>1923</v>
      </c>
      <c r="Q19" s="44">
        <f t="shared" si="4"/>
        <v>1923</v>
      </c>
      <c r="R19" s="52">
        <v>1651</v>
      </c>
      <c r="S19" s="51">
        <v>1.2632000000000001</v>
      </c>
      <c r="T19" s="51">
        <v>1.1438999999999999</v>
      </c>
      <c r="U19" s="50">
        <v>106.9</v>
      </c>
      <c r="V19" s="43">
        <v>1307</v>
      </c>
      <c r="W19" s="43">
        <v>1333.97</v>
      </c>
      <c r="X19" s="49">
        <f t="shared" si="5"/>
        <v>1443.3079814669115</v>
      </c>
      <c r="Y19" s="48">
        <v>1.2639</v>
      </c>
    </row>
    <row r="20" spans="2:25" x14ac:dyDescent="0.2">
      <c r="B20" s="47">
        <v>44028</v>
      </c>
      <c r="C20" s="46">
        <v>1627</v>
      </c>
      <c r="D20" s="45">
        <v>1627</v>
      </c>
      <c r="E20" s="44">
        <f t="shared" si="0"/>
        <v>1627</v>
      </c>
      <c r="F20" s="46">
        <v>1660.5</v>
      </c>
      <c r="G20" s="45">
        <v>1660.5</v>
      </c>
      <c r="H20" s="44">
        <f t="shared" si="1"/>
        <v>1660.5</v>
      </c>
      <c r="I20" s="46">
        <v>1750</v>
      </c>
      <c r="J20" s="45">
        <v>1750</v>
      </c>
      <c r="K20" s="44">
        <f t="shared" si="2"/>
        <v>1750</v>
      </c>
      <c r="L20" s="46">
        <v>1826</v>
      </c>
      <c r="M20" s="45">
        <v>1826</v>
      </c>
      <c r="N20" s="44">
        <f t="shared" si="3"/>
        <v>1826</v>
      </c>
      <c r="O20" s="46">
        <v>1903.5</v>
      </c>
      <c r="P20" s="45">
        <v>1903.5</v>
      </c>
      <c r="Q20" s="44">
        <f t="shared" si="4"/>
        <v>1903.5</v>
      </c>
      <c r="R20" s="52">
        <v>1627</v>
      </c>
      <c r="S20" s="51">
        <v>1.2555000000000001</v>
      </c>
      <c r="T20" s="51">
        <v>1.1413</v>
      </c>
      <c r="U20" s="50">
        <v>107.09</v>
      </c>
      <c r="V20" s="43">
        <v>1295.9000000000001</v>
      </c>
      <c r="W20" s="43">
        <v>1321.95</v>
      </c>
      <c r="X20" s="49">
        <f t="shared" si="5"/>
        <v>1425.5673354946114</v>
      </c>
      <c r="Y20" s="48">
        <v>1.2561</v>
      </c>
    </row>
    <row r="21" spans="2:25" x14ac:dyDescent="0.2">
      <c r="B21" s="47">
        <v>44029</v>
      </c>
      <c r="C21" s="46">
        <v>1618</v>
      </c>
      <c r="D21" s="45">
        <v>1618</v>
      </c>
      <c r="E21" s="44">
        <f t="shared" si="0"/>
        <v>1618</v>
      </c>
      <c r="F21" s="46">
        <v>1654.5</v>
      </c>
      <c r="G21" s="45">
        <v>1654.5</v>
      </c>
      <c r="H21" s="44">
        <f t="shared" si="1"/>
        <v>1654.5</v>
      </c>
      <c r="I21" s="46">
        <v>1747.5</v>
      </c>
      <c r="J21" s="45">
        <v>1747.5</v>
      </c>
      <c r="K21" s="44">
        <f t="shared" si="2"/>
        <v>1747.5</v>
      </c>
      <c r="L21" s="46">
        <v>1826</v>
      </c>
      <c r="M21" s="45">
        <v>1826</v>
      </c>
      <c r="N21" s="44">
        <f t="shared" si="3"/>
        <v>1826</v>
      </c>
      <c r="O21" s="46">
        <v>1903.5</v>
      </c>
      <c r="P21" s="45">
        <v>1903.5</v>
      </c>
      <c r="Q21" s="44">
        <f t="shared" si="4"/>
        <v>1903.5</v>
      </c>
      <c r="R21" s="52">
        <v>1618</v>
      </c>
      <c r="S21" s="51">
        <v>1.2546999999999999</v>
      </c>
      <c r="T21" s="51">
        <v>1.1422000000000001</v>
      </c>
      <c r="U21" s="50">
        <v>107.22</v>
      </c>
      <c r="V21" s="43">
        <v>1289.55</v>
      </c>
      <c r="W21" s="43">
        <v>1318.01</v>
      </c>
      <c r="X21" s="49">
        <f t="shared" si="5"/>
        <v>1416.5645246016459</v>
      </c>
      <c r="Y21" s="48">
        <v>1.2553000000000001</v>
      </c>
    </row>
    <row r="22" spans="2:25" x14ac:dyDescent="0.2">
      <c r="B22" s="47">
        <v>44032</v>
      </c>
      <c r="C22" s="46">
        <v>1621</v>
      </c>
      <c r="D22" s="45">
        <v>1621</v>
      </c>
      <c r="E22" s="44">
        <f t="shared" si="0"/>
        <v>1621</v>
      </c>
      <c r="F22" s="46">
        <v>1658</v>
      </c>
      <c r="G22" s="45">
        <v>1658</v>
      </c>
      <c r="H22" s="44">
        <f t="shared" si="1"/>
        <v>1658</v>
      </c>
      <c r="I22" s="46">
        <v>1750.5</v>
      </c>
      <c r="J22" s="45">
        <v>1750.5</v>
      </c>
      <c r="K22" s="44">
        <f t="shared" si="2"/>
        <v>1750.5</v>
      </c>
      <c r="L22" s="46">
        <v>1829.5</v>
      </c>
      <c r="M22" s="45">
        <v>1829.5</v>
      </c>
      <c r="N22" s="44">
        <f t="shared" si="3"/>
        <v>1829.5</v>
      </c>
      <c r="O22" s="46">
        <v>1907</v>
      </c>
      <c r="P22" s="45">
        <v>1907</v>
      </c>
      <c r="Q22" s="44">
        <f t="shared" si="4"/>
        <v>1907</v>
      </c>
      <c r="R22" s="52">
        <v>1621</v>
      </c>
      <c r="S22" s="51">
        <v>1.2634000000000001</v>
      </c>
      <c r="T22" s="51">
        <v>1.1447000000000001</v>
      </c>
      <c r="U22" s="50">
        <v>107.1</v>
      </c>
      <c r="V22" s="43">
        <v>1283.05</v>
      </c>
      <c r="W22" s="43">
        <v>1311.61</v>
      </c>
      <c r="X22" s="49">
        <f t="shared" si="5"/>
        <v>1416.0915523718004</v>
      </c>
      <c r="Y22" s="48">
        <v>1.2641</v>
      </c>
    </row>
    <row r="23" spans="2:25" x14ac:dyDescent="0.2">
      <c r="B23" s="47">
        <v>44033</v>
      </c>
      <c r="C23" s="46">
        <v>1646.5</v>
      </c>
      <c r="D23" s="45">
        <v>1646.5</v>
      </c>
      <c r="E23" s="44">
        <f t="shared" si="0"/>
        <v>1646.5</v>
      </c>
      <c r="F23" s="46">
        <v>1682.5</v>
      </c>
      <c r="G23" s="45">
        <v>1682.5</v>
      </c>
      <c r="H23" s="44">
        <f t="shared" si="1"/>
        <v>1682.5</v>
      </c>
      <c r="I23" s="46">
        <v>1768.5</v>
      </c>
      <c r="J23" s="45">
        <v>1768.5</v>
      </c>
      <c r="K23" s="44">
        <f t="shared" si="2"/>
        <v>1768.5</v>
      </c>
      <c r="L23" s="46">
        <v>1844.5</v>
      </c>
      <c r="M23" s="45">
        <v>1844.5</v>
      </c>
      <c r="N23" s="44">
        <f t="shared" si="3"/>
        <v>1844.5</v>
      </c>
      <c r="O23" s="46">
        <v>1922</v>
      </c>
      <c r="P23" s="45">
        <v>1922</v>
      </c>
      <c r="Q23" s="44">
        <f t="shared" si="4"/>
        <v>1922</v>
      </c>
      <c r="R23" s="52">
        <v>1646.5</v>
      </c>
      <c r="S23" s="51">
        <v>1.2694000000000001</v>
      </c>
      <c r="T23" s="51">
        <v>1.1436999999999999</v>
      </c>
      <c r="U23" s="50">
        <v>107.24</v>
      </c>
      <c r="V23" s="43">
        <v>1297.07</v>
      </c>
      <c r="W23" s="43">
        <v>1324.8</v>
      </c>
      <c r="X23" s="49">
        <f t="shared" si="5"/>
        <v>1439.6257759902073</v>
      </c>
      <c r="Y23" s="48">
        <v>1.27</v>
      </c>
    </row>
    <row r="24" spans="2:25" x14ac:dyDescent="0.2">
      <c r="B24" s="47">
        <v>44034</v>
      </c>
      <c r="C24" s="46">
        <v>1651</v>
      </c>
      <c r="D24" s="45">
        <v>1651</v>
      </c>
      <c r="E24" s="44">
        <f t="shared" si="0"/>
        <v>1651</v>
      </c>
      <c r="F24" s="46">
        <v>1686.5</v>
      </c>
      <c r="G24" s="45">
        <v>1686.5</v>
      </c>
      <c r="H24" s="44">
        <f t="shared" si="1"/>
        <v>1686.5</v>
      </c>
      <c r="I24" s="46">
        <v>1774.5</v>
      </c>
      <c r="J24" s="45">
        <v>1774.5</v>
      </c>
      <c r="K24" s="44">
        <f t="shared" si="2"/>
        <v>1774.5</v>
      </c>
      <c r="L24" s="46">
        <v>1850</v>
      </c>
      <c r="M24" s="45">
        <v>1850</v>
      </c>
      <c r="N24" s="44">
        <f t="shared" si="3"/>
        <v>1850</v>
      </c>
      <c r="O24" s="46">
        <v>1928</v>
      </c>
      <c r="P24" s="45">
        <v>1928</v>
      </c>
      <c r="Q24" s="44">
        <f t="shared" si="4"/>
        <v>1928</v>
      </c>
      <c r="R24" s="52">
        <v>1651</v>
      </c>
      <c r="S24" s="51">
        <v>1.2698</v>
      </c>
      <c r="T24" s="51">
        <v>1.1577999999999999</v>
      </c>
      <c r="U24" s="50">
        <v>106.98</v>
      </c>
      <c r="V24" s="43">
        <v>1300.2</v>
      </c>
      <c r="W24" s="43">
        <v>1327.53</v>
      </c>
      <c r="X24" s="49">
        <f t="shared" si="5"/>
        <v>1425.980307479703</v>
      </c>
      <c r="Y24" s="48">
        <v>1.2704</v>
      </c>
    </row>
    <row r="25" spans="2:25" x14ac:dyDescent="0.2">
      <c r="B25" s="47">
        <v>44035</v>
      </c>
      <c r="C25" s="46">
        <v>1661</v>
      </c>
      <c r="D25" s="45">
        <v>1661</v>
      </c>
      <c r="E25" s="44">
        <f t="shared" si="0"/>
        <v>1661</v>
      </c>
      <c r="F25" s="46">
        <v>1697.5</v>
      </c>
      <c r="G25" s="45">
        <v>1697.5</v>
      </c>
      <c r="H25" s="44">
        <f t="shared" si="1"/>
        <v>1697.5</v>
      </c>
      <c r="I25" s="46">
        <v>1784.5</v>
      </c>
      <c r="J25" s="45">
        <v>1784.5</v>
      </c>
      <c r="K25" s="44">
        <f t="shared" si="2"/>
        <v>1784.5</v>
      </c>
      <c r="L25" s="46">
        <v>1859.5</v>
      </c>
      <c r="M25" s="45">
        <v>1859.5</v>
      </c>
      <c r="N25" s="44">
        <f t="shared" si="3"/>
        <v>1859.5</v>
      </c>
      <c r="O25" s="46">
        <v>1937</v>
      </c>
      <c r="P25" s="45">
        <v>1937</v>
      </c>
      <c r="Q25" s="44">
        <f t="shared" si="4"/>
        <v>1937</v>
      </c>
      <c r="R25" s="52">
        <v>1661</v>
      </c>
      <c r="S25" s="51">
        <v>1.2689999999999999</v>
      </c>
      <c r="T25" s="51">
        <v>1.1572</v>
      </c>
      <c r="U25" s="50">
        <v>107.18</v>
      </c>
      <c r="V25" s="43">
        <v>1308.9000000000001</v>
      </c>
      <c r="W25" s="43">
        <v>1337.04</v>
      </c>
      <c r="X25" s="49">
        <f t="shared" si="5"/>
        <v>1435.361216730038</v>
      </c>
      <c r="Y25" s="48">
        <v>1.2696000000000001</v>
      </c>
    </row>
    <row r="26" spans="2:25" x14ac:dyDescent="0.2">
      <c r="B26" s="47">
        <v>44036</v>
      </c>
      <c r="C26" s="46">
        <v>1654.5</v>
      </c>
      <c r="D26" s="45">
        <v>1654.5</v>
      </c>
      <c r="E26" s="44">
        <f t="shared" si="0"/>
        <v>1654.5</v>
      </c>
      <c r="F26" s="46">
        <v>1692</v>
      </c>
      <c r="G26" s="45">
        <v>1692</v>
      </c>
      <c r="H26" s="44">
        <f t="shared" si="1"/>
        <v>1692</v>
      </c>
      <c r="I26" s="46">
        <v>1776.5</v>
      </c>
      <c r="J26" s="45">
        <v>1776.5</v>
      </c>
      <c r="K26" s="44">
        <f t="shared" si="2"/>
        <v>1776.5</v>
      </c>
      <c r="L26" s="46">
        <v>1850</v>
      </c>
      <c r="M26" s="45">
        <v>1850</v>
      </c>
      <c r="N26" s="44">
        <f t="shared" si="3"/>
        <v>1850</v>
      </c>
      <c r="O26" s="46">
        <v>1927</v>
      </c>
      <c r="P26" s="45">
        <v>1927</v>
      </c>
      <c r="Q26" s="44">
        <f t="shared" si="4"/>
        <v>1927</v>
      </c>
      <c r="R26" s="52">
        <v>1654.5</v>
      </c>
      <c r="S26" s="51">
        <v>1.2754000000000001</v>
      </c>
      <c r="T26" s="51">
        <v>1.1600999999999999</v>
      </c>
      <c r="U26" s="50">
        <v>106.22</v>
      </c>
      <c r="V26" s="43">
        <v>1297.24</v>
      </c>
      <c r="W26" s="43">
        <v>1326.02</v>
      </c>
      <c r="X26" s="49">
        <f t="shared" si="5"/>
        <v>1426.1701577450222</v>
      </c>
      <c r="Y26" s="48">
        <v>1.276</v>
      </c>
    </row>
    <row r="27" spans="2:25" x14ac:dyDescent="0.2">
      <c r="B27" s="47">
        <v>44039</v>
      </c>
      <c r="C27" s="46">
        <v>1661.5</v>
      </c>
      <c r="D27" s="45">
        <v>1661.5</v>
      </c>
      <c r="E27" s="44">
        <f t="shared" si="0"/>
        <v>1661.5</v>
      </c>
      <c r="F27" s="46">
        <v>1700.5</v>
      </c>
      <c r="G27" s="45">
        <v>1700.5</v>
      </c>
      <c r="H27" s="44">
        <f t="shared" si="1"/>
        <v>1700.5</v>
      </c>
      <c r="I27" s="46">
        <v>1784.5</v>
      </c>
      <c r="J27" s="45">
        <v>1784.5</v>
      </c>
      <c r="K27" s="44">
        <f t="shared" si="2"/>
        <v>1784.5</v>
      </c>
      <c r="L27" s="46">
        <v>1857.5</v>
      </c>
      <c r="M27" s="45">
        <v>1857.5</v>
      </c>
      <c r="N27" s="44">
        <f t="shared" si="3"/>
        <v>1857.5</v>
      </c>
      <c r="O27" s="46">
        <v>1935.5</v>
      </c>
      <c r="P27" s="45">
        <v>1935.5</v>
      </c>
      <c r="Q27" s="44">
        <f t="shared" si="4"/>
        <v>1935.5</v>
      </c>
      <c r="R27" s="52">
        <v>1661.5</v>
      </c>
      <c r="S27" s="51">
        <v>1.2873000000000001</v>
      </c>
      <c r="T27" s="51">
        <v>1.1744000000000001</v>
      </c>
      <c r="U27" s="50">
        <v>105.31</v>
      </c>
      <c r="V27" s="43">
        <v>1290.69</v>
      </c>
      <c r="W27" s="43">
        <v>1320.37</v>
      </c>
      <c r="X27" s="49">
        <f t="shared" si="5"/>
        <v>1414.7649863760216</v>
      </c>
      <c r="Y27" s="48">
        <v>1.2879</v>
      </c>
    </row>
    <row r="28" spans="2:25" x14ac:dyDescent="0.2">
      <c r="B28" s="47">
        <v>44040</v>
      </c>
      <c r="C28" s="46">
        <v>1671</v>
      </c>
      <c r="D28" s="45">
        <v>1671</v>
      </c>
      <c r="E28" s="44">
        <f t="shared" si="0"/>
        <v>1671</v>
      </c>
      <c r="F28" s="46">
        <v>1709</v>
      </c>
      <c r="G28" s="45">
        <v>1709</v>
      </c>
      <c r="H28" s="44">
        <f t="shared" si="1"/>
        <v>1709</v>
      </c>
      <c r="I28" s="46">
        <v>1793.5</v>
      </c>
      <c r="J28" s="45">
        <v>1793.5</v>
      </c>
      <c r="K28" s="44">
        <f t="shared" si="2"/>
        <v>1793.5</v>
      </c>
      <c r="L28" s="46">
        <v>1866.5</v>
      </c>
      <c r="M28" s="45">
        <v>1866.5</v>
      </c>
      <c r="N28" s="44">
        <f t="shared" si="3"/>
        <v>1866.5</v>
      </c>
      <c r="O28" s="46">
        <v>1944.5</v>
      </c>
      <c r="P28" s="45">
        <v>1944.5</v>
      </c>
      <c r="Q28" s="44">
        <f t="shared" si="4"/>
        <v>1944.5</v>
      </c>
      <c r="R28" s="52">
        <v>1671</v>
      </c>
      <c r="S28" s="51">
        <v>1.2864</v>
      </c>
      <c r="T28" s="51">
        <v>1.1705000000000001</v>
      </c>
      <c r="U28" s="50">
        <v>105.36</v>
      </c>
      <c r="V28" s="43">
        <v>1298.97</v>
      </c>
      <c r="W28" s="43">
        <v>1327.79</v>
      </c>
      <c r="X28" s="49">
        <f t="shared" si="5"/>
        <v>1427.5950448526269</v>
      </c>
      <c r="Y28" s="48">
        <v>1.2870999999999999</v>
      </c>
    </row>
    <row r="29" spans="2:25" x14ac:dyDescent="0.2">
      <c r="B29" s="47">
        <v>44041</v>
      </c>
      <c r="C29" s="46">
        <v>1687</v>
      </c>
      <c r="D29" s="45">
        <v>1687</v>
      </c>
      <c r="E29" s="44">
        <f t="shared" si="0"/>
        <v>1687</v>
      </c>
      <c r="F29" s="46">
        <v>1726.5</v>
      </c>
      <c r="G29" s="45">
        <v>1726.5</v>
      </c>
      <c r="H29" s="44">
        <f t="shared" si="1"/>
        <v>1726.5</v>
      </c>
      <c r="I29" s="46">
        <v>1809</v>
      </c>
      <c r="J29" s="45">
        <v>1809</v>
      </c>
      <c r="K29" s="44">
        <f t="shared" si="2"/>
        <v>1809</v>
      </c>
      <c r="L29" s="46">
        <v>1880</v>
      </c>
      <c r="M29" s="45">
        <v>1880</v>
      </c>
      <c r="N29" s="44">
        <f t="shared" si="3"/>
        <v>1880</v>
      </c>
      <c r="O29" s="46">
        <v>1958</v>
      </c>
      <c r="P29" s="45">
        <v>1958</v>
      </c>
      <c r="Q29" s="44">
        <f t="shared" si="4"/>
        <v>1958</v>
      </c>
      <c r="R29" s="52">
        <v>1687</v>
      </c>
      <c r="S29" s="51">
        <v>1.2965</v>
      </c>
      <c r="T29" s="51">
        <v>1.1722999999999999</v>
      </c>
      <c r="U29" s="50">
        <v>105.15</v>
      </c>
      <c r="V29" s="43">
        <v>1301.2</v>
      </c>
      <c r="W29" s="43">
        <v>1330.94</v>
      </c>
      <c r="X29" s="49">
        <f t="shared" si="5"/>
        <v>1439.0514373453896</v>
      </c>
      <c r="Y29" s="48">
        <v>1.2971999999999999</v>
      </c>
    </row>
    <row r="30" spans="2:25" x14ac:dyDescent="0.2">
      <c r="B30" s="47">
        <v>44042</v>
      </c>
      <c r="C30" s="46">
        <v>1681.5</v>
      </c>
      <c r="D30" s="45">
        <v>1681.5</v>
      </c>
      <c r="E30" s="44">
        <f t="shared" si="0"/>
        <v>1681.5</v>
      </c>
      <c r="F30" s="46">
        <v>1719</v>
      </c>
      <c r="G30" s="45">
        <v>1719</v>
      </c>
      <c r="H30" s="44">
        <f t="shared" si="1"/>
        <v>1719</v>
      </c>
      <c r="I30" s="46">
        <v>1798</v>
      </c>
      <c r="J30" s="45">
        <v>1798</v>
      </c>
      <c r="K30" s="44">
        <f t="shared" si="2"/>
        <v>1798</v>
      </c>
      <c r="L30" s="46">
        <v>1870</v>
      </c>
      <c r="M30" s="45">
        <v>1870</v>
      </c>
      <c r="N30" s="44">
        <f t="shared" si="3"/>
        <v>1870</v>
      </c>
      <c r="O30" s="46">
        <v>1945.5</v>
      </c>
      <c r="P30" s="45">
        <v>1945.5</v>
      </c>
      <c r="Q30" s="44">
        <f t="shared" si="4"/>
        <v>1945.5</v>
      </c>
      <c r="R30" s="52">
        <v>1681.5</v>
      </c>
      <c r="S30" s="51">
        <v>1.3019000000000001</v>
      </c>
      <c r="T30" s="51">
        <v>1.1749000000000001</v>
      </c>
      <c r="U30" s="50">
        <v>105.19</v>
      </c>
      <c r="V30" s="43">
        <v>1291.57</v>
      </c>
      <c r="W30" s="43">
        <v>1319.77</v>
      </c>
      <c r="X30" s="49">
        <f t="shared" si="5"/>
        <v>1431.1856328198144</v>
      </c>
      <c r="Y30" s="48">
        <v>1.3025</v>
      </c>
    </row>
    <row r="31" spans="2:25" x14ac:dyDescent="0.2">
      <c r="B31" s="47">
        <v>44043</v>
      </c>
      <c r="C31" s="46">
        <v>1685.5</v>
      </c>
      <c r="D31" s="45">
        <v>1685.5</v>
      </c>
      <c r="E31" s="44">
        <f t="shared" si="0"/>
        <v>1685.5</v>
      </c>
      <c r="F31" s="46">
        <v>1722</v>
      </c>
      <c r="G31" s="45">
        <v>1722</v>
      </c>
      <c r="H31" s="44">
        <f t="shared" si="1"/>
        <v>1722</v>
      </c>
      <c r="I31" s="46">
        <v>1796</v>
      </c>
      <c r="J31" s="45">
        <v>1796</v>
      </c>
      <c r="K31" s="44">
        <f t="shared" si="2"/>
        <v>1796</v>
      </c>
      <c r="L31" s="46">
        <v>1867</v>
      </c>
      <c r="M31" s="45">
        <v>1867</v>
      </c>
      <c r="N31" s="44">
        <f t="shared" si="3"/>
        <v>1867</v>
      </c>
      <c r="O31" s="46">
        <v>1942</v>
      </c>
      <c r="P31" s="45">
        <v>1942</v>
      </c>
      <c r="Q31" s="44">
        <f t="shared" si="4"/>
        <v>1942</v>
      </c>
      <c r="R31" s="52">
        <v>1685.5</v>
      </c>
      <c r="S31" s="51">
        <v>1.3142</v>
      </c>
      <c r="T31" s="51">
        <v>1.1840999999999999</v>
      </c>
      <c r="U31" s="50">
        <v>104.91</v>
      </c>
      <c r="V31" s="43">
        <v>1282.53</v>
      </c>
      <c r="W31" s="43">
        <v>1309.7</v>
      </c>
      <c r="X31" s="49">
        <f t="shared" si="5"/>
        <v>1423.4439658812601</v>
      </c>
      <c r="Y31" s="48">
        <v>1.3148</v>
      </c>
    </row>
    <row r="32" spans="2:25" s="10" customFormat="1" x14ac:dyDescent="0.2">
      <c r="B32" s="42" t="s">
        <v>11</v>
      </c>
      <c r="C32" s="41">
        <f>ROUND(AVERAGE(C9:C31),2)</f>
        <v>1639.35</v>
      </c>
      <c r="D32" s="40">
        <f>ROUND(AVERAGE(D9:D31),2)</f>
        <v>1639.35</v>
      </c>
      <c r="E32" s="39">
        <f>ROUND(AVERAGE(C32:D32),2)</f>
        <v>1639.35</v>
      </c>
      <c r="F32" s="41">
        <f>ROUND(AVERAGE(F9:F31),2)</f>
        <v>1672.93</v>
      </c>
      <c r="G32" s="40">
        <f>ROUND(AVERAGE(G9:G31),2)</f>
        <v>1672.93</v>
      </c>
      <c r="H32" s="39">
        <f>ROUND(AVERAGE(F32:G32),2)</f>
        <v>1672.93</v>
      </c>
      <c r="I32" s="41">
        <f>ROUND(AVERAGE(I9:I31),2)</f>
        <v>1761.28</v>
      </c>
      <c r="J32" s="40">
        <f>ROUND(AVERAGE(J9:J31),2)</f>
        <v>1761.28</v>
      </c>
      <c r="K32" s="39">
        <f>ROUND(AVERAGE(I32:J32),2)</f>
        <v>1761.28</v>
      </c>
      <c r="L32" s="41">
        <f>ROUND(AVERAGE(L9:L31),2)</f>
        <v>1837.17</v>
      </c>
      <c r="M32" s="40">
        <f>ROUND(AVERAGE(M9:M31),2)</f>
        <v>1837.17</v>
      </c>
      <c r="N32" s="39">
        <f>ROUND(AVERAGE(L32:M32),2)</f>
        <v>1837.17</v>
      </c>
      <c r="O32" s="41">
        <f>ROUND(AVERAGE(O9:O31),2)</f>
        <v>1915</v>
      </c>
      <c r="P32" s="40">
        <f>ROUND(AVERAGE(P9:P31),2)</f>
        <v>1915</v>
      </c>
      <c r="Q32" s="39">
        <f>ROUND(AVERAGE(O32:P32),2)</f>
        <v>1915</v>
      </c>
      <c r="R32" s="38">
        <f>ROUND(AVERAGE(R9:R31),2)</f>
        <v>1639.35</v>
      </c>
      <c r="S32" s="37">
        <f>ROUND(AVERAGE(S9:S31),4)</f>
        <v>1.2669999999999999</v>
      </c>
      <c r="T32" s="36">
        <f>ROUND(AVERAGE(T9:T31),4)</f>
        <v>1.1462000000000001</v>
      </c>
      <c r="U32" s="175">
        <f>ROUND(AVERAGE(U9:U31),2)</f>
        <v>106.77</v>
      </c>
      <c r="V32" s="35">
        <f>AVERAGE(V9:V31)</f>
        <v>1293.8821739130437</v>
      </c>
      <c r="W32" s="35">
        <f>AVERAGE(W9:W31)</f>
        <v>1319.6778260869564</v>
      </c>
      <c r="X32" s="35">
        <f>AVERAGE(X9:X31)</f>
        <v>1430.2509472815043</v>
      </c>
      <c r="Y32" s="34">
        <f>AVERAGE(Y9:Y31)</f>
        <v>1.2676260869565217</v>
      </c>
    </row>
    <row r="33" spans="2:25" s="5" customFormat="1" x14ac:dyDescent="0.2">
      <c r="B33" s="33" t="s">
        <v>12</v>
      </c>
      <c r="C33" s="32">
        <f t="shared" ref="C33:Y33" si="6">MAX(C9:C31)</f>
        <v>1687</v>
      </c>
      <c r="D33" s="31">
        <f t="shared" si="6"/>
        <v>1687</v>
      </c>
      <c r="E33" s="30">
        <f t="shared" si="6"/>
        <v>1687</v>
      </c>
      <c r="F33" s="32">
        <f t="shared" si="6"/>
        <v>1726.5</v>
      </c>
      <c r="G33" s="31">
        <f t="shared" si="6"/>
        <v>1726.5</v>
      </c>
      <c r="H33" s="30">
        <f t="shared" si="6"/>
        <v>1726.5</v>
      </c>
      <c r="I33" s="32">
        <f t="shared" si="6"/>
        <v>1809</v>
      </c>
      <c r="J33" s="31">
        <f t="shared" si="6"/>
        <v>1809</v>
      </c>
      <c r="K33" s="30">
        <f t="shared" si="6"/>
        <v>1809</v>
      </c>
      <c r="L33" s="32">
        <f t="shared" si="6"/>
        <v>1880</v>
      </c>
      <c r="M33" s="31">
        <f t="shared" si="6"/>
        <v>1880</v>
      </c>
      <c r="N33" s="30">
        <f t="shared" si="6"/>
        <v>1880</v>
      </c>
      <c r="O33" s="32">
        <f t="shared" si="6"/>
        <v>1958</v>
      </c>
      <c r="P33" s="31">
        <f t="shared" si="6"/>
        <v>1958</v>
      </c>
      <c r="Q33" s="30">
        <f t="shared" si="6"/>
        <v>1958</v>
      </c>
      <c r="R33" s="29">
        <f t="shared" si="6"/>
        <v>1687</v>
      </c>
      <c r="S33" s="28">
        <f t="shared" si="6"/>
        <v>1.3142</v>
      </c>
      <c r="T33" s="27">
        <f t="shared" si="6"/>
        <v>1.1840999999999999</v>
      </c>
      <c r="U33" s="26">
        <f t="shared" si="6"/>
        <v>107.72</v>
      </c>
      <c r="V33" s="25">
        <f t="shared" si="6"/>
        <v>1320.61</v>
      </c>
      <c r="W33" s="25">
        <f t="shared" si="6"/>
        <v>1344.35</v>
      </c>
      <c r="X33" s="25">
        <f t="shared" si="6"/>
        <v>1468.4605205116895</v>
      </c>
      <c r="Y33" s="24">
        <f t="shared" si="6"/>
        <v>1.3148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1581.5</v>
      </c>
      <c r="D34" s="21">
        <f t="shared" si="7"/>
        <v>1581.5</v>
      </c>
      <c r="E34" s="20">
        <f t="shared" si="7"/>
        <v>1581.5</v>
      </c>
      <c r="F34" s="22">
        <f t="shared" si="7"/>
        <v>1614</v>
      </c>
      <c r="G34" s="21">
        <f t="shared" si="7"/>
        <v>1614</v>
      </c>
      <c r="H34" s="20">
        <f t="shared" si="7"/>
        <v>1614</v>
      </c>
      <c r="I34" s="22">
        <f t="shared" si="7"/>
        <v>1713</v>
      </c>
      <c r="J34" s="21">
        <f t="shared" si="7"/>
        <v>1713</v>
      </c>
      <c r="K34" s="20">
        <f t="shared" si="7"/>
        <v>1713</v>
      </c>
      <c r="L34" s="22">
        <f t="shared" si="7"/>
        <v>1793</v>
      </c>
      <c r="M34" s="21">
        <f t="shared" si="7"/>
        <v>1793</v>
      </c>
      <c r="N34" s="20">
        <f t="shared" si="7"/>
        <v>1793</v>
      </c>
      <c r="O34" s="22">
        <f t="shared" si="7"/>
        <v>1872</v>
      </c>
      <c r="P34" s="21">
        <f t="shared" si="7"/>
        <v>1872</v>
      </c>
      <c r="Q34" s="20">
        <f t="shared" si="7"/>
        <v>1872</v>
      </c>
      <c r="R34" s="19">
        <f t="shared" si="7"/>
        <v>1581.5</v>
      </c>
      <c r="S34" s="18">
        <f t="shared" si="7"/>
        <v>1.2390000000000001</v>
      </c>
      <c r="T34" s="17">
        <f t="shared" si="7"/>
        <v>1.1204000000000001</v>
      </c>
      <c r="U34" s="16">
        <f t="shared" si="7"/>
        <v>104.91</v>
      </c>
      <c r="V34" s="15">
        <f t="shared" si="7"/>
        <v>1269.8699999999999</v>
      </c>
      <c r="W34" s="15">
        <f t="shared" si="7"/>
        <v>1294.51</v>
      </c>
      <c r="X34" s="15">
        <f t="shared" si="7"/>
        <v>1407.3681420620198</v>
      </c>
      <c r="Y34" s="14">
        <f t="shared" si="7"/>
        <v>1.2397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53" orientation="landscape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44013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44013</v>
      </c>
      <c r="C9" s="46">
        <v>2007.5</v>
      </c>
      <c r="D9" s="45">
        <v>2007.5</v>
      </c>
      <c r="E9" s="44">
        <f t="shared" ref="E9:E31" si="0">AVERAGE(C9:D9)</f>
        <v>2007.5</v>
      </c>
      <c r="F9" s="46">
        <v>2021.5</v>
      </c>
      <c r="G9" s="45">
        <v>2021.5</v>
      </c>
      <c r="H9" s="44">
        <f t="shared" ref="H9:H31" si="1">AVERAGE(F9:G9)</f>
        <v>2021.5</v>
      </c>
      <c r="I9" s="46">
        <v>2064</v>
      </c>
      <c r="J9" s="45">
        <v>2064</v>
      </c>
      <c r="K9" s="44">
        <f t="shared" ref="K9:K31" si="2">AVERAGE(I9:J9)</f>
        <v>2064</v>
      </c>
      <c r="L9" s="46">
        <v>2092</v>
      </c>
      <c r="M9" s="45">
        <v>2092</v>
      </c>
      <c r="N9" s="44">
        <f t="shared" ref="N9:N31" si="3">AVERAGE(L9:M9)</f>
        <v>2092</v>
      </c>
      <c r="O9" s="46">
        <v>2099.5</v>
      </c>
      <c r="P9" s="45">
        <v>2099.5</v>
      </c>
      <c r="Q9" s="44">
        <f t="shared" ref="Q9:Q31" si="4">AVERAGE(O9:P9)</f>
        <v>2099.5</v>
      </c>
      <c r="R9" s="52">
        <v>2007.5</v>
      </c>
      <c r="S9" s="51">
        <v>1.2390000000000001</v>
      </c>
      <c r="T9" s="53">
        <v>1.1204000000000001</v>
      </c>
      <c r="U9" s="50">
        <v>107.46</v>
      </c>
      <c r="V9" s="43">
        <v>1620.26</v>
      </c>
      <c r="W9" s="43">
        <v>1630.64</v>
      </c>
      <c r="X9" s="49">
        <f t="shared" ref="X9:X31" si="5">R9/T9</f>
        <v>1791.7707961442341</v>
      </c>
      <c r="Y9" s="48">
        <v>1.2397</v>
      </c>
    </row>
    <row r="10" spans="1:25" x14ac:dyDescent="0.2">
      <c r="B10" s="47">
        <v>44014</v>
      </c>
      <c r="C10" s="46">
        <v>2035.5</v>
      </c>
      <c r="D10" s="45">
        <v>2035.5</v>
      </c>
      <c r="E10" s="44">
        <f t="shared" si="0"/>
        <v>2035.5</v>
      </c>
      <c r="F10" s="46">
        <v>2049</v>
      </c>
      <c r="G10" s="45">
        <v>2049</v>
      </c>
      <c r="H10" s="44">
        <f t="shared" si="1"/>
        <v>2049</v>
      </c>
      <c r="I10" s="46">
        <v>2093.5</v>
      </c>
      <c r="J10" s="45">
        <v>2093.5</v>
      </c>
      <c r="K10" s="44">
        <f t="shared" si="2"/>
        <v>2093.5</v>
      </c>
      <c r="L10" s="46">
        <v>2121.5</v>
      </c>
      <c r="M10" s="45">
        <v>2121.5</v>
      </c>
      <c r="N10" s="44">
        <f t="shared" si="3"/>
        <v>2121.5</v>
      </c>
      <c r="O10" s="46">
        <v>2129</v>
      </c>
      <c r="P10" s="45">
        <v>2129</v>
      </c>
      <c r="Q10" s="44">
        <f t="shared" si="4"/>
        <v>2129</v>
      </c>
      <c r="R10" s="52">
        <v>2035.5</v>
      </c>
      <c r="S10" s="51">
        <v>1.2519</v>
      </c>
      <c r="T10" s="51">
        <v>1.1287</v>
      </c>
      <c r="U10" s="50">
        <v>107.46</v>
      </c>
      <c r="V10" s="43">
        <v>1625.93</v>
      </c>
      <c r="W10" s="43">
        <v>1635.8</v>
      </c>
      <c r="X10" s="49">
        <f t="shared" si="5"/>
        <v>1803.4021440595375</v>
      </c>
      <c r="Y10" s="48">
        <v>1.2525999999999999</v>
      </c>
    </row>
    <row r="11" spans="1:25" x14ac:dyDescent="0.2">
      <c r="B11" s="47">
        <v>44015</v>
      </c>
      <c r="C11" s="46">
        <v>2020</v>
      </c>
      <c r="D11" s="45">
        <v>2020</v>
      </c>
      <c r="E11" s="44">
        <f t="shared" si="0"/>
        <v>2020</v>
      </c>
      <c r="F11" s="46">
        <v>2030</v>
      </c>
      <c r="G11" s="45">
        <v>2030</v>
      </c>
      <c r="H11" s="44">
        <f t="shared" si="1"/>
        <v>2030</v>
      </c>
      <c r="I11" s="46">
        <v>2077.5</v>
      </c>
      <c r="J11" s="45">
        <v>2077.5</v>
      </c>
      <c r="K11" s="44">
        <f t="shared" si="2"/>
        <v>2077.5</v>
      </c>
      <c r="L11" s="46">
        <v>2105.5</v>
      </c>
      <c r="M11" s="45">
        <v>2105.5</v>
      </c>
      <c r="N11" s="44">
        <f t="shared" si="3"/>
        <v>2105.5</v>
      </c>
      <c r="O11" s="46">
        <v>2113</v>
      </c>
      <c r="P11" s="45">
        <v>2113</v>
      </c>
      <c r="Q11" s="44">
        <f t="shared" si="4"/>
        <v>2113</v>
      </c>
      <c r="R11" s="52">
        <v>2020</v>
      </c>
      <c r="S11" s="51">
        <v>1.2454000000000001</v>
      </c>
      <c r="T11" s="51">
        <v>1.1224000000000001</v>
      </c>
      <c r="U11" s="50">
        <v>107.53</v>
      </c>
      <c r="V11" s="43">
        <v>1621.97</v>
      </c>
      <c r="W11" s="43">
        <v>1629.21</v>
      </c>
      <c r="X11" s="49">
        <f t="shared" si="5"/>
        <v>1799.7148966500356</v>
      </c>
      <c r="Y11" s="48">
        <v>1.246</v>
      </c>
    </row>
    <row r="12" spans="1:25" x14ac:dyDescent="0.2">
      <c r="B12" s="47">
        <v>44018</v>
      </c>
      <c r="C12" s="46">
        <v>2037.5</v>
      </c>
      <c r="D12" s="45">
        <v>2037.5</v>
      </c>
      <c r="E12" s="44">
        <f t="shared" si="0"/>
        <v>2037.5</v>
      </c>
      <c r="F12" s="46">
        <v>2048</v>
      </c>
      <c r="G12" s="45">
        <v>2048</v>
      </c>
      <c r="H12" s="44">
        <f t="shared" si="1"/>
        <v>2048</v>
      </c>
      <c r="I12" s="46">
        <v>2093.5</v>
      </c>
      <c r="J12" s="45">
        <v>2093.5</v>
      </c>
      <c r="K12" s="44">
        <f t="shared" si="2"/>
        <v>2093.5</v>
      </c>
      <c r="L12" s="46">
        <v>2121.5</v>
      </c>
      <c r="M12" s="45">
        <v>2121.5</v>
      </c>
      <c r="N12" s="44">
        <f t="shared" si="3"/>
        <v>2121.5</v>
      </c>
      <c r="O12" s="46">
        <v>2129</v>
      </c>
      <c r="P12" s="45">
        <v>2129</v>
      </c>
      <c r="Q12" s="44">
        <f t="shared" si="4"/>
        <v>2129</v>
      </c>
      <c r="R12" s="52">
        <v>2037.5</v>
      </c>
      <c r="S12" s="51">
        <v>1.2509999999999999</v>
      </c>
      <c r="T12" s="51">
        <v>1.1318999999999999</v>
      </c>
      <c r="U12" s="50">
        <v>107.53</v>
      </c>
      <c r="V12" s="43">
        <v>1628.7</v>
      </c>
      <c r="W12" s="43">
        <v>1636.17</v>
      </c>
      <c r="X12" s="49">
        <f t="shared" si="5"/>
        <v>1800.0706776216982</v>
      </c>
      <c r="Y12" s="48">
        <v>1.2517</v>
      </c>
    </row>
    <row r="13" spans="1:25" x14ac:dyDescent="0.2">
      <c r="B13" s="47">
        <v>44019</v>
      </c>
      <c r="C13" s="46">
        <v>2023.5</v>
      </c>
      <c r="D13" s="45">
        <v>2023.5</v>
      </c>
      <c r="E13" s="44">
        <f t="shared" si="0"/>
        <v>2023.5</v>
      </c>
      <c r="F13" s="46">
        <v>2035.5</v>
      </c>
      <c r="G13" s="45">
        <v>2035.5</v>
      </c>
      <c r="H13" s="44">
        <f t="shared" si="1"/>
        <v>2035.5</v>
      </c>
      <c r="I13" s="46">
        <v>2082</v>
      </c>
      <c r="J13" s="45">
        <v>2082</v>
      </c>
      <c r="K13" s="44">
        <f t="shared" si="2"/>
        <v>2082</v>
      </c>
      <c r="L13" s="46">
        <v>2110</v>
      </c>
      <c r="M13" s="45">
        <v>2110</v>
      </c>
      <c r="N13" s="44">
        <f t="shared" si="3"/>
        <v>2110</v>
      </c>
      <c r="O13" s="46">
        <v>2117.5</v>
      </c>
      <c r="P13" s="45">
        <v>2117.5</v>
      </c>
      <c r="Q13" s="44">
        <f t="shared" si="4"/>
        <v>2117.5</v>
      </c>
      <c r="R13" s="52">
        <v>2023.5</v>
      </c>
      <c r="S13" s="51">
        <v>1.2519</v>
      </c>
      <c r="T13" s="51">
        <v>1.1291</v>
      </c>
      <c r="U13" s="50">
        <v>107.72</v>
      </c>
      <c r="V13" s="43">
        <v>1616.34</v>
      </c>
      <c r="W13" s="43">
        <v>1625.02</v>
      </c>
      <c r="X13" s="49">
        <f t="shared" si="5"/>
        <v>1792.1353290231157</v>
      </c>
      <c r="Y13" s="48">
        <v>1.2525999999999999</v>
      </c>
    </row>
    <row r="14" spans="1:25" x14ac:dyDescent="0.2">
      <c r="B14" s="47">
        <v>44020</v>
      </c>
      <c r="C14" s="46">
        <v>2094.5</v>
      </c>
      <c r="D14" s="45">
        <v>2094.5</v>
      </c>
      <c r="E14" s="44">
        <f t="shared" si="0"/>
        <v>2094.5</v>
      </c>
      <c r="F14" s="46">
        <v>2107</v>
      </c>
      <c r="G14" s="45">
        <v>2107</v>
      </c>
      <c r="H14" s="44">
        <f t="shared" si="1"/>
        <v>2107</v>
      </c>
      <c r="I14" s="46">
        <v>2151.5</v>
      </c>
      <c r="J14" s="45">
        <v>2151.5</v>
      </c>
      <c r="K14" s="44">
        <f t="shared" si="2"/>
        <v>2151.5</v>
      </c>
      <c r="L14" s="46">
        <v>2179.5</v>
      </c>
      <c r="M14" s="45">
        <v>2179.5</v>
      </c>
      <c r="N14" s="44">
        <f t="shared" si="3"/>
        <v>2179.5</v>
      </c>
      <c r="O14" s="46">
        <v>2187</v>
      </c>
      <c r="P14" s="45">
        <v>2187</v>
      </c>
      <c r="Q14" s="44">
        <f t="shared" si="4"/>
        <v>2187</v>
      </c>
      <c r="R14" s="52">
        <v>2094.5</v>
      </c>
      <c r="S14" s="51">
        <v>1.2559</v>
      </c>
      <c r="T14" s="51">
        <v>1.129</v>
      </c>
      <c r="U14" s="50">
        <v>107.52</v>
      </c>
      <c r="V14" s="43">
        <v>1667.73</v>
      </c>
      <c r="W14" s="43">
        <v>1676.75</v>
      </c>
      <c r="X14" s="49">
        <f t="shared" si="5"/>
        <v>1855.1815766164748</v>
      </c>
      <c r="Y14" s="48">
        <v>1.2565999999999999</v>
      </c>
    </row>
    <row r="15" spans="1:25" x14ac:dyDescent="0.2">
      <c r="B15" s="47">
        <v>44021</v>
      </c>
      <c r="C15" s="46">
        <v>2132.5</v>
      </c>
      <c r="D15" s="45">
        <v>2132.5</v>
      </c>
      <c r="E15" s="44">
        <f t="shared" si="0"/>
        <v>2132.5</v>
      </c>
      <c r="F15" s="46">
        <v>2145</v>
      </c>
      <c r="G15" s="45">
        <v>2145</v>
      </c>
      <c r="H15" s="44">
        <f t="shared" si="1"/>
        <v>2145</v>
      </c>
      <c r="I15" s="46">
        <v>2190</v>
      </c>
      <c r="J15" s="45">
        <v>2190</v>
      </c>
      <c r="K15" s="44">
        <f t="shared" si="2"/>
        <v>2190</v>
      </c>
      <c r="L15" s="46">
        <v>2212</v>
      </c>
      <c r="M15" s="45">
        <v>2212</v>
      </c>
      <c r="N15" s="44">
        <f t="shared" si="3"/>
        <v>2212</v>
      </c>
      <c r="O15" s="46">
        <v>2219.5</v>
      </c>
      <c r="P15" s="45">
        <v>2219.5</v>
      </c>
      <c r="Q15" s="44">
        <f t="shared" si="4"/>
        <v>2219.5</v>
      </c>
      <c r="R15" s="52">
        <v>2132.5</v>
      </c>
      <c r="S15" s="51">
        <v>1.2652000000000001</v>
      </c>
      <c r="T15" s="51">
        <v>1.1343000000000001</v>
      </c>
      <c r="U15" s="50">
        <v>107.29</v>
      </c>
      <c r="V15" s="43">
        <v>1685.5</v>
      </c>
      <c r="W15" s="43">
        <v>1694.58</v>
      </c>
      <c r="X15" s="49">
        <f t="shared" si="5"/>
        <v>1880.0141056157981</v>
      </c>
      <c r="Y15" s="48">
        <v>1.2658</v>
      </c>
    </row>
    <row r="16" spans="1:25" x14ac:dyDescent="0.2">
      <c r="B16" s="47">
        <v>44022</v>
      </c>
      <c r="C16" s="46">
        <v>2145.5</v>
      </c>
      <c r="D16" s="45">
        <v>2145.5</v>
      </c>
      <c r="E16" s="44">
        <f t="shared" si="0"/>
        <v>2145.5</v>
      </c>
      <c r="F16" s="46">
        <v>2156.5</v>
      </c>
      <c r="G16" s="45">
        <v>2156.5</v>
      </c>
      <c r="H16" s="44">
        <f t="shared" si="1"/>
        <v>2156.5</v>
      </c>
      <c r="I16" s="46">
        <v>2201</v>
      </c>
      <c r="J16" s="45">
        <v>2201</v>
      </c>
      <c r="K16" s="44">
        <f t="shared" si="2"/>
        <v>2201</v>
      </c>
      <c r="L16" s="46">
        <v>2225</v>
      </c>
      <c r="M16" s="45">
        <v>2225</v>
      </c>
      <c r="N16" s="44">
        <f t="shared" si="3"/>
        <v>2225</v>
      </c>
      <c r="O16" s="46">
        <v>2232.5</v>
      </c>
      <c r="P16" s="45">
        <v>2232.5</v>
      </c>
      <c r="Q16" s="44">
        <f t="shared" si="4"/>
        <v>2232.5</v>
      </c>
      <c r="R16" s="52">
        <v>2145.5</v>
      </c>
      <c r="S16" s="51">
        <v>1.2599</v>
      </c>
      <c r="T16" s="51">
        <v>1.1286</v>
      </c>
      <c r="U16" s="50">
        <v>106.86</v>
      </c>
      <c r="V16" s="43">
        <v>1702.91</v>
      </c>
      <c r="W16" s="43">
        <v>1710.69</v>
      </c>
      <c r="X16" s="49">
        <f t="shared" si="5"/>
        <v>1901.0278220804537</v>
      </c>
      <c r="Y16" s="48">
        <v>1.2605999999999999</v>
      </c>
    </row>
    <row r="17" spans="2:25" x14ac:dyDescent="0.2">
      <c r="B17" s="47">
        <v>44025</v>
      </c>
      <c r="C17" s="46">
        <v>2215.5</v>
      </c>
      <c r="D17" s="45">
        <v>2215.5</v>
      </c>
      <c r="E17" s="44">
        <f t="shared" si="0"/>
        <v>2215.5</v>
      </c>
      <c r="F17" s="46">
        <v>2223.5</v>
      </c>
      <c r="G17" s="45">
        <v>2223.5</v>
      </c>
      <c r="H17" s="44">
        <f t="shared" si="1"/>
        <v>2223.5</v>
      </c>
      <c r="I17" s="46">
        <v>2263</v>
      </c>
      <c r="J17" s="45">
        <v>2263</v>
      </c>
      <c r="K17" s="44">
        <f t="shared" si="2"/>
        <v>2263</v>
      </c>
      <c r="L17" s="46">
        <v>2285</v>
      </c>
      <c r="M17" s="45">
        <v>2285</v>
      </c>
      <c r="N17" s="44">
        <f t="shared" si="3"/>
        <v>2285</v>
      </c>
      <c r="O17" s="46">
        <v>2292.5</v>
      </c>
      <c r="P17" s="45">
        <v>2292.5</v>
      </c>
      <c r="Q17" s="44">
        <f t="shared" si="4"/>
        <v>2292.5</v>
      </c>
      <c r="R17" s="52">
        <v>2215.5</v>
      </c>
      <c r="S17" s="51">
        <v>1.2604</v>
      </c>
      <c r="T17" s="51">
        <v>1.1335</v>
      </c>
      <c r="U17" s="50">
        <v>107.1</v>
      </c>
      <c r="V17" s="43">
        <v>1757.78</v>
      </c>
      <c r="W17" s="43">
        <v>1763</v>
      </c>
      <c r="X17" s="49">
        <f t="shared" si="5"/>
        <v>1954.5655050727835</v>
      </c>
      <c r="Y17" s="48">
        <v>1.2612000000000001</v>
      </c>
    </row>
    <row r="18" spans="2:25" x14ac:dyDescent="0.2">
      <c r="B18" s="47">
        <v>44026</v>
      </c>
      <c r="C18" s="46">
        <v>2187.5</v>
      </c>
      <c r="D18" s="45">
        <v>2187.5</v>
      </c>
      <c r="E18" s="44">
        <f t="shared" si="0"/>
        <v>2187.5</v>
      </c>
      <c r="F18" s="46">
        <v>2198.5</v>
      </c>
      <c r="G18" s="45">
        <v>2198.5</v>
      </c>
      <c r="H18" s="44">
        <f t="shared" si="1"/>
        <v>2198.5</v>
      </c>
      <c r="I18" s="46">
        <v>2238</v>
      </c>
      <c r="J18" s="45">
        <v>2238</v>
      </c>
      <c r="K18" s="44">
        <f t="shared" si="2"/>
        <v>2238</v>
      </c>
      <c r="L18" s="46">
        <v>2260</v>
      </c>
      <c r="M18" s="45">
        <v>2260</v>
      </c>
      <c r="N18" s="44">
        <f t="shared" si="3"/>
        <v>2260</v>
      </c>
      <c r="O18" s="46">
        <v>2267.5</v>
      </c>
      <c r="P18" s="45">
        <v>2267.5</v>
      </c>
      <c r="Q18" s="44">
        <f t="shared" si="4"/>
        <v>2267.5</v>
      </c>
      <c r="R18" s="52">
        <v>2187.5</v>
      </c>
      <c r="S18" s="51">
        <v>1.2529999999999999</v>
      </c>
      <c r="T18" s="51">
        <v>1.1377999999999999</v>
      </c>
      <c r="U18" s="50">
        <v>107.37</v>
      </c>
      <c r="V18" s="43">
        <v>1745.81</v>
      </c>
      <c r="W18" s="43">
        <v>1753.61</v>
      </c>
      <c r="X18" s="49">
        <f t="shared" si="5"/>
        <v>1922.5698716821939</v>
      </c>
      <c r="Y18" s="48">
        <v>1.2537</v>
      </c>
    </row>
    <row r="19" spans="2:25" x14ac:dyDescent="0.2">
      <c r="B19" s="47">
        <v>44027</v>
      </c>
      <c r="C19" s="46">
        <v>2198.5</v>
      </c>
      <c r="D19" s="45">
        <v>2198.5</v>
      </c>
      <c r="E19" s="44">
        <f t="shared" si="0"/>
        <v>2198.5</v>
      </c>
      <c r="F19" s="46">
        <v>2209.5</v>
      </c>
      <c r="G19" s="45">
        <v>2209.5</v>
      </c>
      <c r="H19" s="44">
        <f t="shared" si="1"/>
        <v>2209.5</v>
      </c>
      <c r="I19" s="46">
        <v>2249.5</v>
      </c>
      <c r="J19" s="45">
        <v>2249.5</v>
      </c>
      <c r="K19" s="44">
        <f t="shared" si="2"/>
        <v>2249.5</v>
      </c>
      <c r="L19" s="46">
        <v>2271.5</v>
      </c>
      <c r="M19" s="45">
        <v>2271.5</v>
      </c>
      <c r="N19" s="44">
        <f t="shared" si="3"/>
        <v>2271.5</v>
      </c>
      <c r="O19" s="46">
        <v>2279</v>
      </c>
      <c r="P19" s="45">
        <v>2279</v>
      </c>
      <c r="Q19" s="44">
        <f t="shared" si="4"/>
        <v>2279</v>
      </c>
      <c r="R19" s="52">
        <v>2198.5</v>
      </c>
      <c r="S19" s="51">
        <v>1.2632000000000001</v>
      </c>
      <c r="T19" s="51">
        <v>1.1438999999999999</v>
      </c>
      <c r="U19" s="50">
        <v>106.9</v>
      </c>
      <c r="V19" s="43">
        <v>1740.42</v>
      </c>
      <c r="W19" s="43">
        <v>1748.16</v>
      </c>
      <c r="X19" s="49">
        <f t="shared" si="5"/>
        <v>1921.9337354663871</v>
      </c>
      <c r="Y19" s="48">
        <v>1.2639</v>
      </c>
    </row>
    <row r="20" spans="2:25" x14ac:dyDescent="0.2">
      <c r="B20" s="47">
        <v>44028</v>
      </c>
      <c r="C20" s="46">
        <v>2188</v>
      </c>
      <c r="D20" s="45">
        <v>2188</v>
      </c>
      <c r="E20" s="44">
        <f t="shared" si="0"/>
        <v>2188</v>
      </c>
      <c r="F20" s="46">
        <v>2198</v>
      </c>
      <c r="G20" s="45">
        <v>2198</v>
      </c>
      <c r="H20" s="44">
        <f t="shared" si="1"/>
        <v>2198</v>
      </c>
      <c r="I20" s="46">
        <v>2233.5</v>
      </c>
      <c r="J20" s="45">
        <v>2233.5</v>
      </c>
      <c r="K20" s="44">
        <f t="shared" si="2"/>
        <v>2233.5</v>
      </c>
      <c r="L20" s="46">
        <v>2255</v>
      </c>
      <c r="M20" s="45">
        <v>2255</v>
      </c>
      <c r="N20" s="44">
        <f t="shared" si="3"/>
        <v>2255</v>
      </c>
      <c r="O20" s="46">
        <v>2263</v>
      </c>
      <c r="P20" s="45">
        <v>2263</v>
      </c>
      <c r="Q20" s="44">
        <f t="shared" si="4"/>
        <v>2263</v>
      </c>
      <c r="R20" s="52">
        <v>2188</v>
      </c>
      <c r="S20" s="51">
        <v>1.2555000000000001</v>
      </c>
      <c r="T20" s="51">
        <v>1.1413</v>
      </c>
      <c r="U20" s="50">
        <v>107.09</v>
      </c>
      <c r="V20" s="43">
        <v>1742.73</v>
      </c>
      <c r="W20" s="43">
        <v>1749.86</v>
      </c>
      <c r="X20" s="49">
        <f t="shared" si="5"/>
        <v>1917.1120651888198</v>
      </c>
      <c r="Y20" s="48">
        <v>1.2561</v>
      </c>
    </row>
    <row r="21" spans="2:25" x14ac:dyDescent="0.2">
      <c r="B21" s="47">
        <v>44029</v>
      </c>
      <c r="C21" s="46">
        <v>2188</v>
      </c>
      <c r="D21" s="45">
        <v>2188</v>
      </c>
      <c r="E21" s="44">
        <f t="shared" si="0"/>
        <v>2188</v>
      </c>
      <c r="F21" s="46">
        <v>2200.5</v>
      </c>
      <c r="G21" s="45">
        <v>2200.5</v>
      </c>
      <c r="H21" s="44">
        <f t="shared" si="1"/>
        <v>2200.5</v>
      </c>
      <c r="I21" s="46">
        <v>2238</v>
      </c>
      <c r="J21" s="45">
        <v>2238</v>
      </c>
      <c r="K21" s="44">
        <f t="shared" si="2"/>
        <v>2238</v>
      </c>
      <c r="L21" s="46">
        <v>2265</v>
      </c>
      <c r="M21" s="45">
        <v>2265</v>
      </c>
      <c r="N21" s="44">
        <f t="shared" si="3"/>
        <v>2265</v>
      </c>
      <c r="O21" s="46">
        <v>2272.5</v>
      </c>
      <c r="P21" s="45">
        <v>2272.5</v>
      </c>
      <c r="Q21" s="44">
        <f t="shared" si="4"/>
        <v>2272.5</v>
      </c>
      <c r="R21" s="52">
        <v>2188</v>
      </c>
      <c r="S21" s="51">
        <v>1.2546999999999999</v>
      </c>
      <c r="T21" s="51">
        <v>1.1422000000000001</v>
      </c>
      <c r="U21" s="50">
        <v>107.22</v>
      </c>
      <c r="V21" s="43">
        <v>1743.84</v>
      </c>
      <c r="W21" s="43">
        <v>1752.97</v>
      </c>
      <c r="X21" s="49">
        <f t="shared" si="5"/>
        <v>1915.6014708457362</v>
      </c>
      <c r="Y21" s="48">
        <v>1.2553000000000001</v>
      </c>
    </row>
    <row r="22" spans="2:25" x14ac:dyDescent="0.2">
      <c r="B22" s="47">
        <v>44032</v>
      </c>
      <c r="C22" s="46">
        <v>2171</v>
      </c>
      <c r="D22" s="45">
        <v>2171</v>
      </c>
      <c r="E22" s="44">
        <f t="shared" si="0"/>
        <v>2171</v>
      </c>
      <c r="F22" s="46">
        <v>2183</v>
      </c>
      <c r="G22" s="45">
        <v>2183</v>
      </c>
      <c r="H22" s="44">
        <f t="shared" si="1"/>
        <v>2183</v>
      </c>
      <c r="I22" s="46">
        <v>2226</v>
      </c>
      <c r="J22" s="45">
        <v>2226</v>
      </c>
      <c r="K22" s="44">
        <f t="shared" si="2"/>
        <v>2226</v>
      </c>
      <c r="L22" s="46">
        <v>2253</v>
      </c>
      <c r="M22" s="45">
        <v>2253</v>
      </c>
      <c r="N22" s="44">
        <f t="shared" si="3"/>
        <v>2253</v>
      </c>
      <c r="O22" s="46">
        <v>2260.5</v>
      </c>
      <c r="P22" s="45">
        <v>2260.5</v>
      </c>
      <c r="Q22" s="44">
        <f t="shared" si="4"/>
        <v>2260.5</v>
      </c>
      <c r="R22" s="52">
        <v>2171</v>
      </c>
      <c r="S22" s="51">
        <v>1.2634000000000001</v>
      </c>
      <c r="T22" s="51">
        <v>1.1447000000000001</v>
      </c>
      <c r="U22" s="50">
        <v>107.1</v>
      </c>
      <c r="V22" s="43">
        <v>1718.38</v>
      </c>
      <c r="W22" s="43">
        <v>1726.92</v>
      </c>
      <c r="X22" s="49">
        <f t="shared" si="5"/>
        <v>1896.5667860574822</v>
      </c>
      <c r="Y22" s="48">
        <v>1.2641</v>
      </c>
    </row>
    <row r="23" spans="2:25" x14ac:dyDescent="0.2">
      <c r="B23" s="47">
        <v>44033</v>
      </c>
      <c r="C23" s="46">
        <v>2207.5</v>
      </c>
      <c r="D23" s="45">
        <v>2207.5</v>
      </c>
      <c r="E23" s="44">
        <f t="shared" si="0"/>
        <v>2207.5</v>
      </c>
      <c r="F23" s="46">
        <v>2218</v>
      </c>
      <c r="G23" s="45">
        <v>2218</v>
      </c>
      <c r="H23" s="44">
        <f t="shared" si="1"/>
        <v>2218</v>
      </c>
      <c r="I23" s="46">
        <v>2258</v>
      </c>
      <c r="J23" s="45">
        <v>2258</v>
      </c>
      <c r="K23" s="44">
        <f t="shared" si="2"/>
        <v>2258</v>
      </c>
      <c r="L23" s="46">
        <v>2285</v>
      </c>
      <c r="M23" s="45">
        <v>2285</v>
      </c>
      <c r="N23" s="44">
        <f t="shared" si="3"/>
        <v>2285</v>
      </c>
      <c r="O23" s="46">
        <v>2292.5</v>
      </c>
      <c r="P23" s="45">
        <v>2292.5</v>
      </c>
      <c r="Q23" s="44">
        <f t="shared" si="4"/>
        <v>2292.5</v>
      </c>
      <c r="R23" s="52">
        <v>2207.5</v>
      </c>
      <c r="S23" s="51">
        <v>1.2694000000000001</v>
      </c>
      <c r="T23" s="51">
        <v>1.1436999999999999</v>
      </c>
      <c r="U23" s="50">
        <v>107.24</v>
      </c>
      <c r="V23" s="43">
        <v>1739.01</v>
      </c>
      <c r="W23" s="43">
        <v>1746.46</v>
      </c>
      <c r="X23" s="49">
        <f t="shared" si="5"/>
        <v>1930.1390224709278</v>
      </c>
      <c r="Y23" s="48">
        <v>1.27</v>
      </c>
    </row>
    <row r="24" spans="2:25" x14ac:dyDescent="0.2">
      <c r="B24" s="47">
        <v>44034</v>
      </c>
      <c r="C24" s="46">
        <v>2202</v>
      </c>
      <c r="D24" s="45">
        <v>2202</v>
      </c>
      <c r="E24" s="44">
        <f t="shared" si="0"/>
        <v>2202</v>
      </c>
      <c r="F24" s="46">
        <v>2213.5</v>
      </c>
      <c r="G24" s="45">
        <v>2213.5</v>
      </c>
      <c r="H24" s="44">
        <f t="shared" si="1"/>
        <v>2213.5</v>
      </c>
      <c r="I24" s="46">
        <v>2252.5</v>
      </c>
      <c r="J24" s="45">
        <v>2252.5</v>
      </c>
      <c r="K24" s="44">
        <f t="shared" si="2"/>
        <v>2252.5</v>
      </c>
      <c r="L24" s="46">
        <v>2279.5</v>
      </c>
      <c r="M24" s="45">
        <v>2279.5</v>
      </c>
      <c r="N24" s="44">
        <f t="shared" si="3"/>
        <v>2279.5</v>
      </c>
      <c r="O24" s="46">
        <v>2287</v>
      </c>
      <c r="P24" s="45">
        <v>2287</v>
      </c>
      <c r="Q24" s="44">
        <f t="shared" si="4"/>
        <v>2287</v>
      </c>
      <c r="R24" s="52">
        <v>2202</v>
      </c>
      <c r="S24" s="51">
        <v>1.2698</v>
      </c>
      <c r="T24" s="51">
        <v>1.1577999999999999</v>
      </c>
      <c r="U24" s="50">
        <v>106.98</v>
      </c>
      <c r="V24" s="43">
        <v>1734.13</v>
      </c>
      <c r="W24" s="43">
        <v>1742.36</v>
      </c>
      <c r="X24" s="49">
        <f t="shared" si="5"/>
        <v>1901.8828813266541</v>
      </c>
      <c r="Y24" s="48">
        <v>1.2704</v>
      </c>
    </row>
    <row r="25" spans="2:25" x14ac:dyDescent="0.2">
      <c r="B25" s="47">
        <v>44035</v>
      </c>
      <c r="C25" s="46">
        <v>2207</v>
      </c>
      <c r="D25" s="45">
        <v>2207</v>
      </c>
      <c r="E25" s="44">
        <f t="shared" si="0"/>
        <v>2207</v>
      </c>
      <c r="F25" s="46">
        <v>2214</v>
      </c>
      <c r="G25" s="45">
        <v>2214</v>
      </c>
      <c r="H25" s="44">
        <f t="shared" si="1"/>
        <v>2214</v>
      </c>
      <c r="I25" s="46">
        <v>2253</v>
      </c>
      <c r="J25" s="45">
        <v>2253</v>
      </c>
      <c r="K25" s="44">
        <f t="shared" si="2"/>
        <v>2253</v>
      </c>
      <c r="L25" s="46">
        <v>2280</v>
      </c>
      <c r="M25" s="45">
        <v>2280</v>
      </c>
      <c r="N25" s="44">
        <f t="shared" si="3"/>
        <v>2280</v>
      </c>
      <c r="O25" s="46">
        <v>2287.5</v>
      </c>
      <c r="P25" s="45">
        <v>2287.5</v>
      </c>
      <c r="Q25" s="44">
        <f t="shared" si="4"/>
        <v>2287.5</v>
      </c>
      <c r="R25" s="52">
        <v>2207</v>
      </c>
      <c r="S25" s="51">
        <v>1.2689999999999999</v>
      </c>
      <c r="T25" s="51">
        <v>1.1572</v>
      </c>
      <c r="U25" s="50">
        <v>107.18</v>
      </c>
      <c r="V25" s="43">
        <v>1739.16</v>
      </c>
      <c r="W25" s="43">
        <v>1743.86</v>
      </c>
      <c r="X25" s="49">
        <f t="shared" si="5"/>
        <v>1907.1897684064984</v>
      </c>
      <c r="Y25" s="48">
        <v>1.2696000000000001</v>
      </c>
    </row>
    <row r="26" spans="2:25" x14ac:dyDescent="0.2">
      <c r="B26" s="47">
        <v>44036</v>
      </c>
      <c r="C26" s="46">
        <v>2193.5</v>
      </c>
      <c r="D26" s="45">
        <v>2193.5</v>
      </c>
      <c r="E26" s="44">
        <f t="shared" si="0"/>
        <v>2193.5</v>
      </c>
      <c r="F26" s="46">
        <v>2202</v>
      </c>
      <c r="G26" s="45">
        <v>2202</v>
      </c>
      <c r="H26" s="44">
        <f t="shared" si="1"/>
        <v>2202</v>
      </c>
      <c r="I26" s="46">
        <v>2241.5</v>
      </c>
      <c r="J26" s="45">
        <v>2241.5</v>
      </c>
      <c r="K26" s="44">
        <f t="shared" si="2"/>
        <v>2241.5</v>
      </c>
      <c r="L26" s="46">
        <v>2268.5</v>
      </c>
      <c r="M26" s="45">
        <v>2268.5</v>
      </c>
      <c r="N26" s="44">
        <f t="shared" si="3"/>
        <v>2268.5</v>
      </c>
      <c r="O26" s="46">
        <v>2276</v>
      </c>
      <c r="P26" s="45">
        <v>2276</v>
      </c>
      <c r="Q26" s="44">
        <f t="shared" si="4"/>
        <v>2276</v>
      </c>
      <c r="R26" s="52">
        <v>2193.5</v>
      </c>
      <c r="S26" s="51">
        <v>1.2754000000000001</v>
      </c>
      <c r="T26" s="51">
        <v>1.1600999999999999</v>
      </c>
      <c r="U26" s="50">
        <v>106.22</v>
      </c>
      <c r="V26" s="43">
        <v>1719.85</v>
      </c>
      <c r="W26" s="43">
        <v>1725.71</v>
      </c>
      <c r="X26" s="49">
        <f t="shared" si="5"/>
        <v>1890.7852771312819</v>
      </c>
      <c r="Y26" s="48">
        <v>1.276</v>
      </c>
    </row>
    <row r="27" spans="2:25" x14ac:dyDescent="0.2">
      <c r="B27" s="47">
        <v>44039</v>
      </c>
      <c r="C27" s="46">
        <v>2210.5</v>
      </c>
      <c r="D27" s="45">
        <v>2210.5</v>
      </c>
      <c r="E27" s="44">
        <f t="shared" si="0"/>
        <v>2210.5</v>
      </c>
      <c r="F27" s="46">
        <v>2220</v>
      </c>
      <c r="G27" s="45">
        <v>2220</v>
      </c>
      <c r="H27" s="44">
        <f t="shared" si="1"/>
        <v>2220</v>
      </c>
      <c r="I27" s="46">
        <v>2261.5</v>
      </c>
      <c r="J27" s="45">
        <v>2261.5</v>
      </c>
      <c r="K27" s="44">
        <f t="shared" si="2"/>
        <v>2261.5</v>
      </c>
      <c r="L27" s="46">
        <v>2288.5</v>
      </c>
      <c r="M27" s="45">
        <v>2288.5</v>
      </c>
      <c r="N27" s="44">
        <f t="shared" si="3"/>
        <v>2288.5</v>
      </c>
      <c r="O27" s="46">
        <v>2296</v>
      </c>
      <c r="P27" s="45">
        <v>2296</v>
      </c>
      <c r="Q27" s="44">
        <f t="shared" si="4"/>
        <v>2296</v>
      </c>
      <c r="R27" s="52">
        <v>2210.5</v>
      </c>
      <c r="S27" s="51">
        <v>1.2873000000000001</v>
      </c>
      <c r="T27" s="51">
        <v>1.1744000000000001</v>
      </c>
      <c r="U27" s="50">
        <v>105.31</v>
      </c>
      <c r="V27" s="43">
        <v>1717.16</v>
      </c>
      <c r="W27" s="43">
        <v>1723.74</v>
      </c>
      <c r="X27" s="49">
        <f t="shared" si="5"/>
        <v>1882.2377384196184</v>
      </c>
      <c r="Y27" s="48">
        <v>1.2879</v>
      </c>
    </row>
    <row r="28" spans="2:25" x14ac:dyDescent="0.2">
      <c r="B28" s="47">
        <v>44040</v>
      </c>
      <c r="C28" s="46">
        <v>2206</v>
      </c>
      <c r="D28" s="45">
        <v>2206</v>
      </c>
      <c r="E28" s="44">
        <f t="shared" si="0"/>
        <v>2206</v>
      </c>
      <c r="F28" s="46">
        <v>2215</v>
      </c>
      <c r="G28" s="45">
        <v>2215</v>
      </c>
      <c r="H28" s="44">
        <f t="shared" si="1"/>
        <v>2215</v>
      </c>
      <c r="I28" s="46">
        <v>2259.5</v>
      </c>
      <c r="J28" s="45">
        <v>2259.5</v>
      </c>
      <c r="K28" s="44">
        <f t="shared" si="2"/>
        <v>2259.5</v>
      </c>
      <c r="L28" s="46">
        <v>2286.5</v>
      </c>
      <c r="M28" s="45">
        <v>2286.5</v>
      </c>
      <c r="N28" s="44">
        <f t="shared" si="3"/>
        <v>2286.5</v>
      </c>
      <c r="O28" s="46">
        <v>2294</v>
      </c>
      <c r="P28" s="45">
        <v>2294</v>
      </c>
      <c r="Q28" s="44">
        <f t="shared" si="4"/>
        <v>2294</v>
      </c>
      <c r="R28" s="52">
        <v>2206</v>
      </c>
      <c r="S28" s="51">
        <v>1.2864</v>
      </c>
      <c r="T28" s="51">
        <v>1.1705000000000001</v>
      </c>
      <c r="U28" s="50">
        <v>105.36</v>
      </c>
      <c r="V28" s="43">
        <v>1714.86</v>
      </c>
      <c r="W28" s="43">
        <v>1720.92</v>
      </c>
      <c r="X28" s="49">
        <f t="shared" si="5"/>
        <v>1884.6646732165739</v>
      </c>
      <c r="Y28" s="48">
        <v>1.2870999999999999</v>
      </c>
    </row>
    <row r="29" spans="2:25" x14ac:dyDescent="0.2">
      <c r="B29" s="47">
        <v>44041</v>
      </c>
      <c r="C29" s="46">
        <v>2286</v>
      </c>
      <c r="D29" s="45">
        <v>2286</v>
      </c>
      <c r="E29" s="44">
        <f t="shared" si="0"/>
        <v>2286</v>
      </c>
      <c r="F29" s="46">
        <v>2293.5</v>
      </c>
      <c r="G29" s="45">
        <v>2293.5</v>
      </c>
      <c r="H29" s="44">
        <f t="shared" si="1"/>
        <v>2293.5</v>
      </c>
      <c r="I29" s="46">
        <v>2330</v>
      </c>
      <c r="J29" s="45">
        <v>2330</v>
      </c>
      <c r="K29" s="44">
        <f t="shared" si="2"/>
        <v>2330</v>
      </c>
      <c r="L29" s="46">
        <v>2357</v>
      </c>
      <c r="M29" s="45">
        <v>2357</v>
      </c>
      <c r="N29" s="44">
        <f t="shared" si="3"/>
        <v>2357</v>
      </c>
      <c r="O29" s="46">
        <v>2364.5</v>
      </c>
      <c r="P29" s="45">
        <v>2364.5</v>
      </c>
      <c r="Q29" s="44">
        <f t="shared" si="4"/>
        <v>2364.5</v>
      </c>
      <c r="R29" s="52">
        <v>2286</v>
      </c>
      <c r="S29" s="51">
        <v>1.2965</v>
      </c>
      <c r="T29" s="51">
        <v>1.1722999999999999</v>
      </c>
      <c r="U29" s="50">
        <v>105.15</v>
      </c>
      <c r="V29" s="43">
        <v>1763.21</v>
      </c>
      <c r="W29" s="43">
        <v>1768.04</v>
      </c>
      <c r="X29" s="49">
        <f t="shared" si="5"/>
        <v>1950.0127953595497</v>
      </c>
      <c r="Y29" s="48">
        <v>1.2971999999999999</v>
      </c>
    </row>
    <row r="30" spans="2:25" x14ac:dyDescent="0.2">
      <c r="B30" s="47">
        <v>44042</v>
      </c>
      <c r="C30" s="46">
        <v>2275</v>
      </c>
      <c r="D30" s="45">
        <v>2275</v>
      </c>
      <c r="E30" s="44">
        <f t="shared" si="0"/>
        <v>2275</v>
      </c>
      <c r="F30" s="46">
        <v>2284</v>
      </c>
      <c r="G30" s="45">
        <v>2284</v>
      </c>
      <c r="H30" s="44">
        <f t="shared" si="1"/>
        <v>2284</v>
      </c>
      <c r="I30" s="46">
        <v>2320</v>
      </c>
      <c r="J30" s="45">
        <v>2320</v>
      </c>
      <c r="K30" s="44">
        <f t="shared" si="2"/>
        <v>2320</v>
      </c>
      <c r="L30" s="46">
        <v>2347</v>
      </c>
      <c r="M30" s="45">
        <v>2347</v>
      </c>
      <c r="N30" s="44">
        <f t="shared" si="3"/>
        <v>2347</v>
      </c>
      <c r="O30" s="46">
        <v>2354.5</v>
      </c>
      <c r="P30" s="45">
        <v>2354.5</v>
      </c>
      <c r="Q30" s="44">
        <f t="shared" si="4"/>
        <v>2354.5</v>
      </c>
      <c r="R30" s="52">
        <v>2275</v>
      </c>
      <c r="S30" s="51">
        <v>1.3019000000000001</v>
      </c>
      <c r="T30" s="51">
        <v>1.1749000000000001</v>
      </c>
      <c r="U30" s="50">
        <v>105.19</v>
      </c>
      <c r="V30" s="43">
        <v>1747.45</v>
      </c>
      <c r="W30" s="43">
        <v>1753.55</v>
      </c>
      <c r="X30" s="49">
        <f t="shared" si="5"/>
        <v>1936.3350072346582</v>
      </c>
      <c r="Y30" s="48">
        <v>1.3025</v>
      </c>
    </row>
    <row r="31" spans="2:25" x14ac:dyDescent="0.2">
      <c r="B31" s="47">
        <v>44043</v>
      </c>
      <c r="C31" s="46">
        <v>2299</v>
      </c>
      <c r="D31" s="45">
        <v>2299</v>
      </c>
      <c r="E31" s="44">
        <f t="shared" si="0"/>
        <v>2299</v>
      </c>
      <c r="F31" s="46">
        <v>2311</v>
      </c>
      <c r="G31" s="45">
        <v>2311</v>
      </c>
      <c r="H31" s="44">
        <f t="shared" si="1"/>
        <v>2311</v>
      </c>
      <c r="I31" s="46">
        <v>2345.5</v>
      </c>
      <c r="J31" s="45">
        <v>2345.5</v>
      </c>
      <c r="K31" s="44">
        <f t="shared" si="2"/>
        <v>2345.5</v>
      </c>
      <c r="L31" s="46">
        <v>2372.5</v>
      </c>
      <c r="M31" s="45">
        <v>2372.5</v>
      </c>
      <c r="N31" s="44">
        <f t="shared" si="3"/>
        <v>2372.5</v>
      </c>
      <c r="O31" s="46">
        <v>2380</v>
      </c>
      <c r="P31" s="45">
        <v>2380</v>
      </c>
      <c r="Q31" s="44">
        <f t="shared" si="4"/>
        <v>2380</v>
      </c>
      <c r="R31" s="52">
        <v>2299</v>
      </c>
      <c r="S31" s="51">
        <v>1.3142</v>
      </c>
      <c r="T31" s="51">
        <v>1.1840999999999999</v>
      </c>
      <c r="U31" s="50">
        <v>104.91</v>
      </c>
      <c r="V31" s="43">
        <v>1749.35</v>
      </c>
      <c r="W31" s="43">
        <v>1757.68</v>
      </c>
      <c r="X31" s="49">
        <f t="shared" si="5"/>
        <v>1941.5589899501733</v>
      </c>
      <c r="Y31" s="48">
        <v>1.3148</v>
      </c>
    </row>
    <row r="32" spans="2:25" s="10" customFormat="1" x14ac:dyDescent="0.2">
      <c r="B32" s="42" t="s">
        <v>11</v>
      </c>
      <c r="C32" s="41">
        <f>ROUND(AVERAGE(C9:C31),2)</f>
        <v>2162.2399999999998</v>
      </c>
      <c r="D32" s="40">
        <f>ROUND(AVERAGE(D9:D31),2)</f>
        <v>2162.2399999999998</v>
      </c>
      <c r="E32" s="39">
        <f>ROUND(AVERAGE(C32:D32),2)</f>
        <v>2162.2399999999998</v>
      </c>
      <c r="F32" s="41">
        <f>ROUND(AVERAGE(F9:F31),2)</f>
        <v>2172.89</v>
      </c>
      <c r="G32" s="40">
        <f>ROUND(AVERAGE(G9:G31),2)</f>
        <v>2172.89</v>
      </c>
      <c r="H32" s="39">
        <f>ROUND(AVERAGE(F32:G32),2)</f>
        <v>2172.89</v>
      </c>
      <c r="I32" s="41">
        <f>ROUND(AVERAGE(I9:I31),2)</f>
        <v>2214.02</v>
      </c>
      <c r="J32" s="40">
        <f>ROUND(AVERAGE(J9:J31),2)</f>
        <v>2214.02</v>
      </c>
      <c r="K32" s="39">
        <f>ROUND(AVERAGE(I32:J32),2)</f>
        <v>2214.02</v>
      </c>
      <c r="L32" s="41">
        <f>ROUND(AVERAGE(L9:L31),2)</f>
        <v>2240.04</v>
      </c>
      <c r="M32" s="40">
        <f>ROUND(AVERAGE(M9:M31),2)</f>
        <v>2240.04</v>
      </c>
      <c r="N32" s="39">
        <f>ROUND(AVERAGE(L32:M32),2)</f>
        <v>2240.04</v>
      </c>
      <c r="O32" s="41">
        <f>ROUND(AVERAGE(O9:O31),2)</f>
        <v>2247.5700000000002</v>
      </c>
      <c r="P32" s="40">
        <f>ROUND(AVERAGE(P9:P31),2)</f>
        <v>2247.5700000000002</v>
      </c>
      <c r="Q32" s="39">
        <f>ROUND(AVERAGE(O32:P32),2)</f>
        <v>2247.5700000000002</v>
      </c>
      <c r="R32" s="38">
        <f>ROUND(AVERAGE(R9:R31),2)</f>
        <v>2162.2399999999998</v>
      </c>
      <c r="S32" s="37">
        <f>ROUND(AVERAGE(S9:S31),4)</f>
        <v>1.2669999999999999</v>
      </c>
      <c r="T32" s="36">
        <f>ROUND(AVERAGE(T9:T31),4)</f>
        <v>1.1462000000000001</v>
      </c>
      <c r="U32" s="175">
        <f>ROUND(AVERAGE(U9:U31),2)</f>
        <v>106.77</v>
      </c>
      <c r="V32" s="35">
        <f>AVERAGE(V9:V31)</f>
        <v>1706.194782608695</v>
      </c>
      <c r="W32" s="35">
        <f>AVERAGE(W9:W31)</f>
        <v>1713.7260869565223</v>
      </c>
      <c r="X32" s="35">
        <f>AVERAGE(X9:X31)</f>
        <v>1885.9336058974213</v>
      </c>
      <c r="Y32" s="34">
        <f>AVERAGE(Y9:Y31)</f>
        <v>1.2676260869565217</v>
      </c>
    </row>
    <row r="33" spans="2:25" s="5" customFormat="1" x14ac:dyDescent="0.2">
      <c r="B33" s="33" t="s">
        <v>12</v>
      </c>
      <c r="C33" s="32">
        <f t="shared" ref="C33:Y33" si="6">MAX(C9:C31)</f>
        <v>2299</v>
      </c>
      <c r="D33" s="31">
        <f t="shared" si="6"/>
        <v>2299</v>
      </c>
      <c r="E33" s="30">
        <f t="shared" si="6"/>
        <v>2299</v>
      </c>
      <c r="F33" s="32">
        <f t="shared" si="6"/>
        <v>2311</v>
      </c>
      <c r="G33" s="31">
        <f t="shared" si="6"/>
        <v>2311</v>
      </c>
      <c r="H33" s="30">
        <f t="shared" si="6"/>
        <v>2311</v>
      </c>
      <c r="I33" s="32">
        <f t="shared" si="6"/>
        <v>2345.5</v>
      </c>
      <c r="J33" s="31">
        <f t="shared" si="6"/>
        <v>2345.5</v>
      </c>
      <c r="K33" s="30">
        <f t="shared" si="6"/>
        <v>2345.5</v>
      </c>
      <c r="L33" s="32">
        <f t="shared" si="6"/>
        <v>2372.5</v>
      </c>
      <c r="M33" s="31">
        <f t="shared" si="6"/>
        <v>2372.5</v>
      </c>
      <c r="N33" s="30">
        <f t="shared" si="6"/>
        <v>2372.5</v>
      </c>
      <c r="O33" s="32">
        <f t="shared" si="6"/>
        <v>2380</v>
      </c>
      <c r="P33" s="31">
        <f t="shared" si="6"/>
        <v>2380</v>
      </c>
      <c r="Q33" s="30">
        <f t="shared" si="6"/>
        <v>2380</v>
      </c>
      <c r="R33" s="29">
        <f t="shared" si="6"/>
        <v>2299</v>
      </c>
      <c r="S33" s="28">
        <f t="shared" si="6"/>
        <v>1.3142</v>
      </c>
      <c r="T33" s="27">
        <f t="shared" si="6"/>
        <v>1.1840999999999999</v>
      </c>
      <c r="U33" s="26">
        <f t="shared" si="6"/>
        <v>107.72</v>
      </c>
      <c r="V33" s="25">
        <f t="shared" si="6"/>
        <v>1763.21</v>
      </c>
      <c r="W33" s="25">
        <f t="shared" si="6"/>
        <v>1768.04</v>
      </c>
      <c r="X33" s="25">
        <f t="shared" si="6"/>
        <v>1954.5655050727835</v>
      </c>
      <c r="Y33" s="24">
        <f t="shared" si="6"/>
        <v>1.3148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2007.5</v>
      </c>
      <c r="D34" s="21">
        <f t="shared" si="7"/>
        <v>2007.5</v>
      </c>
      <c r="E34" s="20">
        <f t="shared" si="7"/>
        <v>2007.5</v>
      </c>
      <c r="F34" s="22">
        <f t="shared" si="7"/>
        <v>2021.5</v>
      </c>
      <c r="G34" s="21">
        <f t="shared" si="7"/>
        <v>2021.5</v>
      </c>
      <c r="H34" s="20">
        <f t="shared" si="7"/>
        <v>2021.5</v>
      </c>
      <c r="I34" s="22">
        <f t="shared" si="7"/>
        <v>2064</v>
      </c>
      <c r="J34" s="21">
        <f t="shared" si="7"/>
        <v>2064</v>
      </c>
      <c r="K34" s="20">
        <f t="shared" si="7"/>
        <v>2064</v>
      </c>
      <c r="L34" s="22">
        <f t="shared" si="7"/>
        <v>2092</v>
      </c>
      <c r="M34" s="21">
        <f t="shared" si="7"/>
        <v>2092</v>
      </c>
      <c r="N34" s="20">
        <f t="shared" si="7"/>
        <v>2092</v>
      </c>
      <c r="O34" s="22">
        <f t="shared" si="7"/>
        <v>2099.5</v>
      </c>
      <c r="P34" s="21">
        <f t="shared" si="7"/>
        <v>2099.5</v>
      </c>
      <c r="Q34" s="20">
        <f t="shared" si="7"/>
        <v>2099.5</v>
      </c>
      <c r="R34" s="19">
        <f t="shared" si="7"/>
        <v>2007.5</v>
      </c>
      <c r="S34" s="18">
        <f t="shared" si="7"/>
        <v>1.2390000000000001</v>
      </c>
      <c r="T34" s="17">
        <f t="shared" si="7"/>
        <v>1.1204000000000001</v>
      </c>
      <c r="U34" s="16">
        <f t="shared" si="7"/>
        <v>104.91</v>
      </c>
      <c r="V34" s="15">
        <f t="shared" si="7"/>
        <v>1616.34</v>
      </c>
      <c r="W34" s="15">
        <f t="shared" si="7"/>
        <v>1625.02</v>
      </c>
      <c r="X34" s="15">
        <f t="shared" si="7"/>
        <v>1791.7707961442341</v>
      </c>
      <c r="Y34" s="14">
        <f t="shared" si="7"/>
        <v>1.2397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44013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44013</v>
      </c>
      <c r="C9" s="46">
        <v>1761</v>
      </c>
      <c r="D9" s="45">
        <v>1761</v>
      </c>
      <c r="E9" s="44">
        <f t="shared" ref="E9:E31" si="0">AVERAGE(C9:D9)</f>
        <v>1761</v>
      </c>
      <c r="F9" s="46">
        <v>1773.5</v>
      </c>
      <c r="G9" s="45">
        <v>1773.5</v>
      </c>
      <c r="H9" s="44">
        <f t="shared" ref="H9:H31" si="1">AVERAGE(F9:G9)</f>
        <v>1773.5</v>
      </c>
      <c r="I9" s="46">
        <v>1817</v>
      </c>
      <c r="J9" s="45">
        <v>1817</v>
      </c>
      <c r="K9" s="44">
        <f t="shared" ref="K9:K31" si="2">AVERAGE(I9:J9)</f>
        <v>1817</v>
      </c>
      <c r="L9" s="46">
        <v>1851</v>
      </c>
      <c r="M9" s="45">
        <v>1851</v>
      </c>
      <c r="N9" s="44">
        <f t="shared" ref="N9:N31" si="3">AVERAGE(L9:M9)</f>
        <v>1851</v>
      </c>
      <c r="O9" s="46">
        <v>1871</v>
      </c>
      <c r="P9" s="45">
        <v>1871</v>
      </c>
      <c r="Q9" s="44">
        <f t="shared" ref="Q9:Q31" si="4">AVERAGE(O9:P9)</f>
        <v>1871</v>
      </c>
      <c r="R9" s="52">
        <v>1761</v>
      </c>
      <c r="S9" s="51">
        <v>1.2390000000000001</v>
      </c>
      <c r="T9" s="53">
        <v>1.1204000000000001</v>
      </c>
      <c r="U9" s="50">
        <v>107.46</v>
      </c>
      <c r="V9" s="43">
        <v>1421.31</v>
      </c>
      <c r="W9" s="43">
        <v>1430.59</v>
      </c>
      <c r="X9" s="49">
        <f t="shared" ref="X9:X31" si="5">R9/T9</f>
        <v>1571.7600856836843</v>
      </c>
      <c r="Y9" s="48">
        <v>1.2397</v>
      </c>
    </row>
    <row r="10" spans="1:25" x14ac:dyDescent="0.2">
      <c r="B10" s="47">
        <v>44014</v>
      </c>
      <c r="C10" s="46">
        <v>1765.5</v>
      </c>
      <c r="D10" s="45">
        <v>1765.5</v>
      </c>
      <c r="E10" s="44">
        <f t="shared" si="0"/>
        <v>1765.5</v>
      </c>
      <c r="F10" s="46">
        <v>1780</v>
      </c>
      <c r="G10" s="45">
        <v>1780</v>
      </c>
      <c r="H10" s="44">
        <f t="shared" si="1"/>
        <v>1780</v>
      </c>
      <c r="I10" s="46">
        <v>1824</v>
      </c>
      <c r="J10" s="45">
        <v>1824</v>
      </c>
      <c r="K10" s="44">
        <f t="shared" si="2"/>
        <v>1824</v>
      </c>
      <c r="L10" s="46">
        <v>1858</v>
      </c>
      <c r="M10" s="45">
        <v>1858</v>
      </c>
      <c r="N10" s="44">
        <f t="shared" si="3"/>
        <v>1858</v>
      </c>
      <c r="O10" s="46">
        <v>1878</v>
      </c>
      <c r="P10" s="45">
        <v>1878</v>
      </c>
      <c r="Q10" s="44">
        <f t="shared" si="4"/>
        <v>1878</v>
      </c>
      <c r="R10" s="52">
        <v>1765.5</v>
      </c>
      <c r="S10" s="51">
        <v>1.2519</v>
      </c>
      <c r="T10" s="51">
        <v>1.1287</v>
      </c>
      <c r="U10" s="50">
        <v>107.46</v>
      </c>
      <c r="V10" s="43">
        <v>1410.26</v>
      </c>
      <c r="W10" s="43">
        <v>1421.04</v>
      </c>
      <c r="X10" s="49">
        <f t="shared" si="5"/>
        <v>1564.1888898733055</v>
      </c>
      <c r="Y10" s="48">
        <v>1.2525999999999999</v>
      </c>
    </row>
    <row r="11" spans="1:25" x14ac:dyDescent="0.2">
      <c r="B11" s="47">
        <v>44015</v>
      </c>
      <c r="C11" s="46">
        <v>1756</v>
      </c>
      <c r="D11" s="45">
        <v>1756</v>
      </c>
      <c r="E11" s="44">
        <f t="shared" si="0"/>
        <v>1756</v>
      </c>
      <c r="F11" s="46">
        <v>1770</v>
      </c>
      <c r="G11" s="45">
        <v>1770</v>
      </c>
      <c r="H11" s="44">
        <f t="shared" si="1"/>
        <v>1770</v>
      </c>
      <c r="I11" s="46">
        <v>1819</v>
      </c>
      <c r="J11" s="45">
        <v>1819</v>
      </c>
      <c r="K11" s="44">
        <f t="shared" si="2"/>
        <v>1819</v>
      </c>
      <c r="L11" s="46">
        <v>1853</v>
      </c>
      <c r="M11" s="45">
        <v>1853</v>
      </c>
      <c r="N11" s="44">
        <f t="shared" si="3"/>
        <v>1853</v>
      </c>
      <c r="O11" s="46">
        <v>1873</v>
      </c>
      <c r="P11" s="45">
        <v>1873</v>
      </c>
      <c r="Q11" s="44">
        <f t="shared" si="4"/>
        <v>1873</v>
      </c>
      <c r="R11" s="52">
        <v>1756</v>
      </c>
      <c r="S11" s="51">
        <v>1.2454000000000001</v>
      </c>
      <c r="T11" s="51">
        <v>1.1224000000000001</v>
      </c>
      <c r="U11" s="50">
        <v>107.53</v>
      </c>
      <c r="V11" s="43">
        <v>1409.99</v>
      </c>
      <c r="W11" s="43">
        <v>1420.55</v>
      </c>
      <c r="X11" s="49">
        <f t="shared" si="5"/>
        <v>1564.5046329294369</v>
      </c>
      <c r="Y11" s="48">
        <v>1.246</v>
      </c>
    </row>
    <row r="12" spans="1:25" x14ac:dyDescent="0.2">
      <c r="B12" s="47">
        <v>44018</v>
      </c>
      <c r="C12" s="46">
        <v>1781</v>
      </c>
      <c r="D12" s="45">
        <v>1781</v>
      </c>
      <c r="E12" s="44">
        <f t="shared" si="0"/>
        <v>1781</v>
      </c>
      <c r="F12" s="46">
        <v>1794.5</v>
      </c>
      <c r="G12" s="45">
        <v>1794.5</v>
      </c>
      <c r="H12" s="44">
        <f t="shared" si="1"/>
        <v>1794.5</v>
      </c>
      <c r="I12" s="46">
        <v>1840.5</v>
      </c>
      <c r="J12" s="45">
        <v>1840.5</v>
      </c>
      <c r="K12" s="44">
        <f t="shared" si="2"/>
        <v>1840.5</v>
      </c>
      <c r="L12" s="46">
        <v>1874.5</v>
      </c>
      <c r="M12" s="45">
        <v>1874.5</v>
      </c>
      <c r="N12" s="44">
        <f t="shared" si="3"/>
        <v>1874.5</v>
      </c>
      <c r="O12" s="46">
        <v>1894.5</v>
      </c>
      <c r="P12" s="45">
        <v>1894.5</v>
      </c>
      <c r="Q12" s="44">
        <f t="shared" si="4"/>
        <v>1894.5</v>
      </c>
      <c r="R12" s="52">
        <v>1781</v>
      </c>
      <c r="S12" s="51">
        <v>1.2509999999999999</v>
      </c>
      <c r="T12" s="51">
        <v>1.1318999999999999</v>
      </c>
      <c r="U12" s="50">
        <v>107.53</v>
      </c>
      <c r="V12" s="43">
        <v>1423.66</v>
      </c>
      <c r="W12" s="43">
        <v>1433.65</v>
      </c>
      <c r="X12" s="49">
        <f t="shared" si="5"/>
        <v>1573.46055305239</v>
      </c>
      <c r="Y12" s="48">
        <v>1.2517</v>
      </c>
    </row>
    <row r="13" spans="1:25" x14ac:dyDescent="0.2">
      <c r="B13" s="47">
        <v>44019</v>
      </c>
      <c r="C13" s="46">
        <v>1779</v>
      </c>
      <c r="D13" s="45">
        <v>1779</v>
      </c>
      <c r="E13" s="44">
        <f t="shared" si="0"/>
        <v>1779</v>
      </c>
      <c r="F13" s="46">
        <v>1792.5</v>
      </c>
      <c r="G13" s="45">
        <v>1792.5</v>
      </c>
      <c r="H13" s="44">
        <f t="shared" si="1"/>
        <v>1792.5</v>
      </c>
      <c r="I13" s="46">
        <v>1837</v>
      </c>
      <c r="J13" s="45">
        <v>1837</v>
      </c>
      <c r="K13" s="44">
        <f t="shared" si="2"/>
        <v>1837</v>
      </c>
      <c r="L13" s="46">
        <v>1871</v>
      </c>
      <c r="M13" s="45">
        <v>1871</v>
      </c>
      <c r="N13" s="44">
        <f t="shared" si="3"/>
        <v>1871</v>
      </c>
      <c r="O13" s="46">
        <v>1891</v>
      </c>
      <c r="P13" s="45">
        <v>1891</v>
      </c>
      <c r="Q13" s="44">
        <f t="shared" si="4"/>
        <v>1891</v>
      </c>
      <c r="R13" s="52">
        <v>1779</v>
      </c>
      <c r="S13" s="51">
        <v>1.2519</v>
      </c>
      <c r="T13" s="51">
        <v>1.1291</v>
      </c>
      <c r="U13" s="50">
        <v>107.72</v>
      </c>
      <c r="V13" s="43">
        <v>1421.04</v>
      </c>
      <c r="W13" s="43">
        <v>1431.02</v>
      </c>
      <c r="X13" s="49">
        <f t="shared" si="5"/>
        <v>1575.5911788149854</v>
      </c>
      <c r="Y13" s="48">
        <v>1.2525999999999999</v>
      </c>
    </row>
    <row r="14" spans="1:25" x14ac:dyDescent="0.2">
      <c r="B14" s="47">
        <v>44020</v>
      </c>
      <c r="C14" s="46">
        <v>1819.5</v>
      </c>
      <c r="D14" s="45">
        <v>1819.5</v>
      </c>
      <c r="E14" s="44">
        <f t="shared" si="0"/>
        <v>1819.5</v>
      </c>
      <c r="F14" s="46">
        <v>1831.5</v>
      </c>
      <c r="G14" s="45">
        <v>1831.5</v>
      </c>
      <c r="H14" s="44">
        <f t="shared" si="1"/>
        <v>1831.5</v>
      </c>
      <c r="I14" s="46">
        <v>1875.5</v>
      </c>
      <c r="J14" s="45">
        <v>1875.5</v>
      </c>
      <c r="K14" s="44">
        <f t="shared" si="2"/>
        <v>1875.5</v>
      </c>
      <c r="L14" s="46">
        <v>1911.5</v>
      </c>
      <c r="M14" s="45">
        <v>1911.5</v>
      </c>
      <c r="N14" s="44">
        <f t="shared" si="3"/>
        <v>1911.5</v>
      </c>
      <c r="O14" s="46">
        <v>1931.5</v>
      </c>
      <c r="P14" s="45">
        <v>1931.5</v>
      </c>
      <c r="Q14" s="44">
        <f t="shared" si="4"/>
        <v>1931.5</v>
      </c>
      <c r="R14" s="52">
        <v>1819.5</v>
      </c>
      <c r="S14" s="51">
        <v>1.2559</v>
      </c>
      <c r="T14" s="51">
        <v>1.129</v>
      </c>
      <c r="U14" s="50">
        <v>107.52</v>
      </c>
      <c r="V14" s="43">
        <v>1448.76</v>
      </c>
      <c r="W14" s="43">
        <v>1457.5</v>
      </c>
      <c r="X14" s="49">
        <f t="shared" si="5"/>
        <v>1611.6031886625333</v>
      </c>
      <c r="Y14" s="48">
        <v>1.2565999999999999</v>
      </c>
    </row>
    <row r="15" spans="1:25" x14ac:dyDescent="0.2">
      <c r="B15" s="47">
        <v>44021</v>
      </c>
      <c r="C15" s="46">
        <v>1817.5</v>
      </c>
      <c r="D15" s="45">
        <v>1817.5</v>
      </c>
      <c r="E15" s="44">
        <f t="shared" si="0"/>
        <v>1817.5</v>
      </c>
      <c r="F15" s="46">
        <v>1828.5</v>
      </c>
      <c r="G15" s="45">
        <v>1828.5</v>
      </c>
      <c r="H15" s="44">
        <f t="shared" si="1"/>
        <v>1828.5</v>
      </c>
      <c r="I15" s="46">
        <v>1870.5</v>
      </c>
      <c r="J15" s="45">
        <v>1870.5</v>
      </c>
      <c r="K15" s="44">
        <f t="shared" si="2"/>
        <v>1870.5</v>
      </c>
      <c r="L15" s="46">
        <v>1901.5</v>
      </c>
      <c r="M15" s="45">
        <v>1901.5</v>
      </c>
      <c r="N15" s="44">
        <f t="shared" si="3"/>
        <v>1901.5</v>
      </c>
      <c r="O15" s="46">
        <v>1926.5</v>
      </c>
      <c r="P15" s="45">
        <v>1926.5</v>
      </c>
      <c r="Q15" s="44">
        <f t="shared" si="4"/>
        <v>1926.5</v>
      </c>
      <c r="R15" s="52">
        <v>1817.5</v>
      </c>
      <c r="S15" s="51">
        <v>1.2652000000000001</v>
      </c>
      <c r="T15" s="51">
        <v>1.1343000000000001</v>
      </c>
      <c r="U15" s="50">
        <v>107.29</v>
      </c>
      <c r="V15" s="43">
        <v>1436.53</v>
      </c>
      <c r="W15" s="43">
        <v>1444.54</v>
      </c>
      <c r="X15" s="49">
        <f t="shared" si="5"/>
        <v>1602.3097945869699</v>
      </c>
      <c r="Y15" s="48">
        <v>1.2658</v>
      </c>
    </row>
    <row r="16" spans="1:25" x14ac:dyDescent="0.2">
      <c r="B16" s="47">
        <v>44022</v>
      </c>
      <c r="C16" s="46">
        <v>1842</v>
      </c>
      <c r="D16" s="45">
        <v>1842</v>
      </c>
      <c r="E16" s="44">
        <f t="shared" si="0"/>
        <v>1842</v>
      </c>
      <c r="F16" s="46">
        <v>1851</v>
      </c>
      <c r="G16" s="45">
        <v>1851</v>
      </c>
      <c r="H16" s="44">
        <f t="shared" si="1"/>
        <v>1851</v>
      </c>
      <c r="I16" s="46">
        <v>1887.5</v>
      </c>
      <c r="J16" s="45">
        <v>1887.5</v>
      </c>
      <c r="K16" s="44">
        <f t="shared" si="2"/>
        <v>1887.5</v>
      </c>
      <c r="L16" s="46">
        <v>1918.5</v>
      </c>
      <c r="M16" s="45">
        <v>1918.5</v>
      </c>
      <c r="N16" s="44">
        <f t="shared" si="3"/>
        <v>1918.5</v>
      </c>
      <c r="O16" s="46">
        <v>1946</v>
      </c>
      <c r="P16" s="45">
        <v>1946</v>
      </c>
      <c r="Q16" s="44">
        <f t="shared" si="4"/>
        <v>1946</v>
      </c>
      <c r="R16" s="52">
        <v>1842</v>
      </c>
      <c r="S16" s="51">
        <v>1.2599</v>
      </c>
      <c r="T16" s="51">
        <v>1.1286</v>
      </c>
      <c r="U16" s="50">
        <v>106.86</v>
      </c>
      <c r="V16" s="43">
        <v>1462.02</v>
      </c>
      <c r="W16" s="43">
        <v>1468.35</v>
      </c>
      <c r="X16" s="49">
        <f t="shared" si="5"/>
        <v>1632.1105794790005</v>
      </c>
      <c r="Y16" s="48">
        <v>1.2605999999999999</v>
      </c>
    </row>
    <row r="17" spans="2:25" x14ac:dyDescent="0.2">
      <c r="B17" s="47">
        <v>44025</v>
      </c>
      <c r="C17" s="46">
        <v>1858</v>
      </c>
      <c r="D17" s="45">
        <v>1858</v>
      </c>
      <c r="E17" s="44">
        <f t="shared" si="0"/>
        <v>1858</v>
      </c>
      <c r="F17" s="46">
        <v>1870</v>
      </c>
      <c r="G17" s="45">
        <v>1870</v>
      </c>
      <c r="H17" s="44">
        <f t="shared" si="1"/>
        <v>1870</v>
      </c>
      <c r="I17" s="46">
        <v>1906</v>
      </c>
      <c r="J17" s="45">
        <v>1906</v>
      </c>
      <c r="K17" s="44">
        <f t="shared" si="2"/>
        <v>1906</v>
      </c>
      <c r="L17" s="46">
        <v>1936.5</v>
      </c>
      <c r="M17" s="45">
        <v>1936.5</v>
      </c>
      <c r="N17" s="44">
        <f t="shared" si="3"/>
        <v>1936.5</v>
      </c>
      <c r="O17" s="46">
        <v>1964</v>
      </c>
      <c r="P17" s="45">
        <v>1964</v>
      </c>
      <c r="Q17" s="44">
        <f t="shared" si="4"/>
        <v>1964</v>
      </c>
      <c r="R17" s="52">
        <v>1858</v>
      </c>
      <c r="S17" s="51">
        <v>1.2604</v>
      </c>
      <c r="T17" s="51">
        <v>1.1335</v>
      </c>
      <c r="U17" s="50">
        <v>107.1</v>
      </c>
      <c r="V17" s="43">
        <v>1474.14</v>
      </c>
      <c r="W17" s="43">
        <v>1482.71</v>
      </c>
      <c r="X17" s="49">
        <f t="shared" si="5"/>
        <v>1639.1707101896779</v>
      </c>
      <c r="Y17" s="48">
        <v>1.2612000000000001</v>
      </c>
    </row>
    <row r="18" spans="2:25" x14ac:dyDescent="0.2">
      <c r="B18" s="47">
        <v>44026</v>
      </c>
      <c r="C18" s="46">
        <v>1839.5</v>
      </c>
      <c r="D18" s="45">
        <v>1839.5</v>
      </c>
      <c r="E18" s="44">
        <f t="shared" si="0"/>
        <v>1839.5</v>
      </c>
      <c r="F18" s="46">
        <v>1858</v>
      </c>
      <c r="G18" s="45">
        <v>1858</v>
      </c>
      <c r="H18" s="44">
        <f t="shared" si="1"/>
        <v>1858</v>
      </c>
      <c r="I18" s="46">
        <v>1892.5</v>
      </c>
      <c r="J18" s="45">
        <v>1892.5</v>
      </c>
      <c r="K18" s="44">
        <f t="shared" si="2"/>
        <v>1892.5</v>
      </c>
      <c r="L18" s="46">
        <v>1923.5</v>
      </c>
      <c r="M18" s="45">
        <v>1923.5</v>
      </c>
      <c r="N18" s="44">
        <f t="shared" si="3"/>
        <v>1923.5</v>
      </c>
      <c r="O18" s="46">
        <v>1951</v>
      </c>
      <c r="P18" s="45">
        <v>1951</v>
      </c>
      <c r="Q18" s="44">
        <f t="shared" si="4"/>
        <v>1951</v>
      </c>
      <c r="R18" s="52">
        <v>1839.5</v>
      </c>
      <c r="S18" s="51">
        <v>1.2529999999999999</v>
      </c>
      <c r="T18" s="51">
        <v>1.1377999999999999</v>
      </c>
      <c r="U18" s="50">
        <v>107.37</v>
      </c>
      <c r="V18" s="43">
        <v>1468.08</v>
      </c>
      <c r="W18" s="43">
        <v>1482.01</v>
      </c>
      <c r="X18" s="49">
        <f t="shared" si="5"/>
        <v>1616.7164703814381</v>
      </c>
      <c r="Y18" s="48">
        <v>1.2537</v>
      </c>
    </row>
    <row r="19" spans="2:25" x14ac:dyDescent="0.2">
      <c r="B19" s="47">
        <v>44027</v>
      </c>
      <c r="C19" s="46">
        <v>1836</v>
      </c>
      <c r="D19" s="45">
        <v>1836</v>
      </c>
      <c r="E19" s="44">
        <f t="shared" si="0"/>
        <v>1836</v>
      </c>
      <c r="F19" s="46">
        <v>1853.5</v>
      </c>
      <c r="G19" s="45">
        <v>1853.5</v>
      </c>
      <c r="H19" s="44">
        <f t="shared" si="1"/>
        <v>1853.5</v>
      </c>
      <c r="I19" s="46">
        <v>1889</v>
      </c>
      <c r="J19" s="45">
        <v>1889</v>
      </c>
      <c r="K19" s="44">
        <f t="shared" si="2"/>
        <v>1889</v>
      </c>
      <c r="L19" s="46">
        <v>1920</v>
      </c>
      <c r="M19" s="45">
        <v>1920</v>
      </c>
      <c r="N19" s="44">
        <f t="shared" si="3"/>
        <v>1920</v>
      </c>
      <c r="O19" s="46">
        <v>1947.5</v>
      </c>
      <c r="P19" s="45">
        <v>1947.5</v>
      </c>
      <c r="Q19" s="44">
        <f t="shared" si="4"/>
        <v>1947.5</v>
      </c>
      <c r="R19" s="52">
        <v>1836</v>
      </c>
      <c r="S19" s="51">
        <v>1.2632000000000001</v>
      </c>
      <c r="T19" s="51">
        <v>1.1438999999999999</v>
      </c>
      <c r="U19" s="50">
        <v>106.9</v>
      </c>
      <c r="V19" s="43">
        <v>1453.45</v>
      </c>
      <c r="W19" s="43">
        <v>1466.49</v>
      </c>
      <c r="X19" s="49">
        <f t="shared" si="5"/>
        <v>1605.0354051927618</v>
      </c>
      <c r="Y19" s="48">
        <v>1.2639</v>
      </c>
    </row>
    <row r="20" spans="2:25" x14ac:dyDescent="0.2">
      <c r="B20" s="47">
        <v>44028</v>
      </c>
      <c r="C20" s="46">
        <v>1824</v>
      </c>
      <c r="D20" s="45">
        <v>1824</v>
      </c>
      <c r="E20" s="44">
        <f t="shared" si="0"/>
        <v>1824</v>
      </c>
      <c r="F20" s="46">
        <v>1840.5</v>
      </c>
      <c r="G20" s="45">
        <v>1840.5</v>
      </c>
      <c r="H20" s="44">
        <f t="shared" si="1"/>
        <v>1840.5</v>
      </c>
      <c r="I20" s="46">
        <v>1876</v>
      </c>
      <c r="J20" s="45">
        <v>1876</v>
      </c>
      <c r="K20" s="44">
        <f t="shared" si="2"/>
        <v>1876</v>
      </c>
      <c r="L20" s="46">
        <v>1906.5</v>
      </c>
      <c r="M20" s="45">
        <v>1906.5</v>
      </c>
      <c r="N20" s="44">
        <f t="shared" si="3"/>
        <v>1906.5</v>
      </c>
      <c r="O20" s="46">
        <v>1934</v>
      </c>
      <c r="P20" s="45">
        <v>1934</v>
      </c>
      <c r="Q20" s="44">
        <f t="shared" si="4"/>
        <v>1934</v>
      </c>
      <c r="R20" s="52">
        <v>1824</v>
      </c>
      <c r="S20" s="51">
        <v>1.2555000000000001</v>
      </c>
      <c r="T20" s="51">
        <v>1.1413</v>
      </c>
      <c r="U20" s="50">
        <v>107.09</v>
      </c>
      <c r="V20" s="43">
        <v>1452.81</v>
      </c>
      <c r="W20" s="43">
        <v>1465.25</v>
      </c>
      <c r="X20" s="49">
        <f t="shared" si="5"/>
        <v>1598.1775168667309</v>
      </c>
      <c r="Y20" s="48">
        <v>1.2561</v>
      </c>
    </row>
    <row r="21" spans="2:25" x14ac:dyDescent="0.2">
      <c r="B21" s="47">
        <v>44029</v>
      </c>
      <c r="C21" s="46">
        <v>1811</v>
      </c>
      <c r="D21" s="45">
        <v>1811</v>
      </c>
      <c r="E21" s="44">
        <f t="shared" si="0"/>
        <v>1811</v>
      </c>
      <c r="F21" s="46">
        <v>1833.5</v>
      </c>
      <c r="G21" s="45">
        <v>1833.5</v>
      </c>
      <c r="H21" s="44">
        <f t="shared" si="1"/>
        <v>1833.5</v>
      </c>
      <c r="I21" s="46">
        <v>1869.5</v>
      </c>
      <c r="J21" s="45">
        <v>1869.5</v>
      </c>
      <c r="K21" s="44">
        <f t="shared" si="2"/>
        <v>1869.5</v>
      </c>
      <c r="L21" s="46">
        <v>1900</v>
      </c>
      <c r="M21" s="45">
        <v>1900</v>
      </c>
      <c r="N21" s="44">
        <f t="shared" si="3"/>
        <v>1900</v>
      </c>
      <c r="O21" s="46">
        <v>1927.5</v>
      </c>
      <c r="P21" s="45">
        <v>1927.5</v>
      </c>
      <c r="Q21" s="44">
        <f t="shared" si="4"/>
        <v>1927.5</v>
      </c>
      <c r="R21" s="52">
        <v>1811</v>
      </c>
      <c r="S21" s="51">
        <v>1.2546999999999999</v>
      </c>
      <c r="T21" s="51">
        <v>1.1422000000000001</v>
      </c>
      <c r="U21" s="50">
        <v>107.22</v>
      </c>
      <c r="V21" s="43">
        <v>1443.37</v>
      </c>
      <c r="W21" s="43">
        <v>1460.61</v>
      </c>
      <c r="X21" s="49">
        <f t="shared" si="5"/>
        <v>1585.5366835930658</v>
      </c>
      <c r="Y21" s="48">
        <v>1.2553000000000001</v>
      </c>
    </row>
    <row r="22" spans="2:25" x14ac:dyDescent="0.2">
      <c r="B22" s="47">
        <v>44032</v>
      </c>
      <c r="C22" s="46">
        <v>1805</v>
      </c>
      <c r="D22" s="45">
        <v>1805</v>
      </c>
      <c r="E22" s="44">
        <f t="shared" si="0"/>
        <v>1805</v>
      </c>
      <c r="F22" s="46">
        <v>1828</v>
      </c>
      <c r="G22" s="45">
        <v>1828</v>
      </c>
      <c r="H22" s="44">
        <f t="shared" si="1"/>
        <v>1828</v>
      </c>
      <c r="I22" s="46">
        <v>1864</v>
      </c>
      <c r="J22" s="45">
        <v>1864</v>
      </c>
      <c r="K22" s="44">
        <f t="shared" si="2"/>
        <v>1864</v>
      </c>
      <c r="L22" s="46">
        <v>1894.5</v>
      </c>
      <c r="M22" s="45">
        <v>1894.5</v>
      </c>
      <c r="N22" s="44">
        <f t="shared" si="3"/>
        <v>1894.5</v>
      </c>
      <c r="O22" s="46">
        <v>1922</v>
      </c>
      <c r="P22" s="45">
        <v>1922</v>
      </c>
      <c r="Q22" s="44">
        <f t="shared" si="4"/>
        <v>1922</v>
      </c>
      <c r="R22" s="52">
        <v>1805</v>
      </c>
      <c r="S22" s="51">
        <v>1.2634000000000001</v>
      </c>
      <c r="T22" s="51">
        <v>1.1447000000000001</v>
      </c>
      <c r="U22" s="50">
        <v>107.1</v>
      </c>
      <c r="V22" s="43">
        <v>1428.68</v>
      </c>
      <c r="W22" s="43">
        <v>1446.09</v>
      </c>
      <c r="X22" s="49">
        <f t="shared" si="5"/>
        <v>1576.8323578230104</v>
      </c>
      <c r="Y22" s="48">
        <v>1.2641</v>
      </c>
    </row>
    <row r="23" spans="2:25" x14ac:dyDescent="0.2">
      <c r="B23" s="47">
        <v>44033</v>
      </c>
      <c r="C23" s="46">
        <v>1814</v>
      </c>
      <c r="D23" s="45">
        <v>1814</v>
      </c>
      <c r="E23" s="44">
        <f t="shared" si="0"/>
        <v>1814</v>
      </c>
      <c r="F23" s="46">
        <v>1833.5</v>
      </c>
      <c r="G23" s="45">
        <v>1833.5</v>
      </c>
      <c r="H23" s="44">
        <f t="shared" si="1"/>
        <v>1833.5</v>
      </c>
      <c r="I23" s="46">
        <v>1870</v>
      </c>
      <c r="J23" s="45">
        <v>1870</v>
      </c>
      <c r="K23" s="44">
        <f t="shared" si="2"/>
        <v>1870</v>
      </c>
      <c r="L23" s="46">
        <v>1900.5</v>
      </c>
      <c r="M23" s="45">
        <v>1900.5</v>
      </c>
      <c r="N23" s="44">
        <f t="shared" si="3"/>
        <v>1900.5</v>
      </c>
      <c r="O23" s="46">
        <v>1928</v>
      </c>
      <c r="P23" s="45">
        <v>1928</v>
      </c>
      <c r="Q23" s="44">
        <f t="shared" si="4"/>
        <v>1928</v>
      </c>
      <c r="R23" s="52">
        <v>1814</v>
      </c>
      <c r="S23" s="51">
        <v>1.2694000000000001</v>
      </c>
      <c r="T23" s="51">
        <v>1.1436999999999999</v>
      </c>
      <c r="U23" s="50">
        <v>107.24</v>
      </c>
      <c r="V23" s="43">
        <v>1429.02</v>
      </c>
      <c r="W23" s="43">
        <v>1443.7</v>
      </c>
      <c r="X23" s="49">
        <f t="shared" si="5"/>
        <v>1586.0802658039697</v>
      </c>
      <c r="Y23" s="48">
        <v>1.27</v>
      </c>
    </row>
    <row r="24" spans="2:25" x14ac:dyDescent="0.2">
      <c r="B24" s="47">
        <v>44034</v>
      </c>
      <c r="C24" s="46">
        <v>1800.5</v>
      </c>
      <c r="D24" s="45">
        <v>1800.5</v>
      </c>
      <c r="E24" s="44">
        <f t="shared" si="0"/>
        <v>1800.5</v>
      </c>
      <c r="F24" s="46">
        <v>1821.5</v>
      </c>
      <c r="G24" s="45">
        <v>1821.5</v>
      </c>
      <c r="H24" s="44">
        <f t="shared" si="1"/>
        <v>1821.5</v>
      </c>
      <c r="I24" s="46">
        <v>1862</v>
      </c>
      <c r="J24" s="45">
        <v>1862</v>
      </c>
      <c r="K24" s="44">
        <f t="shared" si="2"/>
        <v>1862</v>
      </c>
      <c r="L24" s="46">
        <v>1893</v>
      </c>
      <c r="M24" s="45">
        <v>1893</v>
      </c>
      <c r="N24" s="44">
        <f t="shared" si="3"/>
        <v>1893</v>
      </c>
      <c r="O24" s="46">
        <v>1920.5</v>
      </c>
      <c r="P24" s="45">
        <v>1920.5</v>
      </c>
      <c r="Q24" s="44">
        <f t="shared" si="4"/>
        <v>1920.5</v>
      </c>
      <c r="R24" s="52">
        <v>1800.5</v>
      </c>
      <c r="S24" s="51">
        <v>1.2698</v>
      </c>
      <c r="T24" s="51">
        <v>1.1577999999999999</v>
      </c>
      <c r="U24" s="50">
        <v>106.98</v>
      </c>
      <c r="V24" s="43">
        <v>1417.94</v>
      </c>
      <c r="W24" s="43">
        <v>1433.8</v>
      </c>
      <c r="X24" s="49">
        <f t="shared" si="5"/>
        <v>1555.1045085506996</v>
      </c>
      <c r="Y24" s="48">
        <v>1.2704</v>
      </c>
    </row>
    <row r="25" spans="2:25" x14ac:dyDescent="0.2">
      <c r="B25" s="47">
        <v>44035</v>
      </c>
      <c r="C25" s="46">
        <v>1794.5</v>
      </c>
      <c r="D25" s="45">
        <v>1794.5</v>
      </c>
      <c r="E25" s="44">
        <f t="shared" si="0"/>
        <v>1794.5</v>
      </c>
      <c r="F25" s="46">
        <v>1813</v>
      </c>
      <c r="G25" s="45">
        <v>1813</v>
      </c>
      <c r="H25" s="44">
        <f t="shared" si="1"/>
        <v>1813</v>
      </c>
      <c r="I25" s="46">
        <v>1854</v>
      </c>
      <c r="J25" s="45">
        <v>1854</v>
      </c>
      <c r="K25" s="44">
        <f t="shared" si="2"/>
        <v>1854</v>
      </c>
      <c r="L25" s="46">
        <v>1887</v>
      </c>
      <c r="M25" s="45">
        <v>1887</v>
      </c>
      <c r="N25" s="44">
        <f t="shared" si="3"/>
        <v>1887</v>
      </c>
      <c r="O25" s="46">
        <v>1920</v>
      </c>
      <c r="P25" s="45">
        <v>1920</v>
      </c>
      <c r="Q25" s="44">
        <f t="shared" si="4"/>
        <v>1920</v>
      </c>
      <c r="R25" s="52">
        <v>1794.5</v>
      </c>
      <c r="S25" s="51">
        <v>1.2689999999999999</v>
      </c>
      <c r="T25" s="51">
        <v>1.1572</v>
      </c>
      <c r="U25" s="50">
        <v>107.18</v>
      </c>
      <c r="V25" s="43">
        <v>1414.11</v>
      </c>
      <c r="W25" s="43">
        <v>1428.01</v>
      </c>
      <c r="X25" s="49">
        <f t="shared" si="5"/>
        <v>1550.7258900795023</v>
      </c>
      <c r="Y25" s="48">
        <v>1.2696000000000001</v>
      </c>
    </row>
    <row r="26" spans="2:25" x14ac:dyDescent="0.2">
      <c r="B26" s="47">
        <v>44036</v>
      </c>
      <c r="C26" s="46">
        <v>1808</v>
      </c>
      <c r="D26" s="45">
        <v>1808</v>
      </c>
      <c r="E26" s="44">
        <f t="shared" si="0"/>
        <v>1808</v>
      </c>
      <c r="F26" s="46">
        <v>1826</v>
      </c>
      <c r="G26" s="45">
        <v>1826</v>
      </c>
      <c r="H26" s="44">
        <f t="shared" si="1"/>
        <v>1826</v>
      </c>
      <c r="I26" s="46">
        <v>1867</v>
      </c>
      <c r="J26" s="45">
        <v>1867</v>
      </c>
      <c r="K26" s="44">
        <f t="shared" si="2"/>
        <v>1867</v>
      </c>
      <c r="L26" s="46">
        <v>1900</v>
      </c>
      <c r="M26" s="45">
        <v>1900</v>
      </c>
      <c r="N26" s="44">
        <f t="shared" si="3"/>
        <v>1900</v>
      </c>
      <c r="O26" s="46">
        <v>1933</v>
      </c>
      <c r="P26" s="45">
        <v>1933</v>
      </c>
      <c r="Q26" s="44">
        <f t="shared" si="4"/>
        <v>1933</v>
      </c>
      <c r="R26" s="52">
        <v>1808</v>
      </c>
      <c r="S26" s="51">
        <v>1.2754000000000001</v>
      </c>
      <c r="T26" s="51">
        <v>1.1600999999999999</v>
      </c>
      <c r="U26" s="50">
        <v>106.22</v>
      </c>
      <c r="V26" s="43">
        <v>1417.59</v>
      </c>
      <c r="W26" s="43">
        <v>1431.03</v>
      </c>
      <c r="X26" s="49">
        <f t="shared" si="5"/>
        <v>1558.4863373847083</v>
      </c>
      <c r="Y26" s="48">
        <v>1.276</v>
      </c>
    </row>
    <row r="27" spans="2:25" x14ac:dyDescent="0.2">
      <c r="B27" s="47">
        <v>44039</v>
      </c>
      <c r="C27" s="46">
        <v>1801</v>
      </c>
      <c r="D27" s="45">
        <v>1801</v>
      </c>
      <c r="E27" s="44">
        <f t="shared" si="0"/>
        <v>1801</v>
      </c>
      <c r="F27" s="46">
        <v>1813</v>
      </c>
      <c r="G27" s="45">
        <v>1813</v>
      </c>
      <c r="H27" s="44">
        <f t="shared" si="1"/>
        <v>1813</v>
      </c>
      <c r="I27" s="46">
        <v>1853.5</v>
      </c>
      <c r="J27" s="45">
        <v>1853.5</v>
      </c>
      <c r="K27" s="44">
        <f t="shared" si="2"/>
        <v>1853.5</v>
      </c>
      <c r="L27" s="46">
        <v>1886.5</v>
      </c>
      <c r="M27" s="45">
        <v>1886.5</v>
      </c>
      <c r="N27" s="44">
        <f t="shared" si="3"/>
        <v>1886.5</v>
      </c>
      <c r="O27" s="46">
        <v>1919.5</v>
      </c>
      <c r="P27" s="45">
        <v>1919.5</v>
      </c>
      <c r="Q27" s="44">
        <f t="shared" si="4"/>
        <v>1919.5</v>
      </c>
      <c r="R27" s="52">
        <v>1801</v>
      </c>
      <c r="S27" s="51">
        <v>1.2873000000000001</v>
      </c>
      <c r="T27" s="51">
        <v>1.1744000000000001</v>
      </c>
      <c r="U27" s="50">
        <v>105.31</v>
      </c>
      <c r="V27" s="43">
        <v>1399.05</v>
      </c>
      <c r="W27" s="43">
        <v>1407.72</v>
      </c>
      <c r="X27" s="49">
        <f t="shared" si="5"/>
        <v>1533.5490463215258</v>
      </c>
      <c r="Y27" s="48">
        <v>1.2879</v>
      </c>
    </row>
    <row r="28" spans="2:25" x14ac:dyDescent="0.2">
      <c r="B28" s="47">
        <v>44040</v>
      </c>
      <c r="C28" s="46">
        <v>1835</v>
      </c>
      <c r="D28" s="45">
        <v>1835</v>
      </c>
      <c r="E28" s="44">
        <f t="shared" si="0"/>
        <v>1835</v>
      </c>
      <c r="F28" s="46">
        <v>1850.5</v>
      </c>
      <c r="G28" s="45">
        <v>1850.5</v>
      </c>
      <c r="H28" s="44">
        <f t="shared" si="1"/>
        <v>1850.5</v>
      </c>
      <c r="I28" s="46">
        <v>1890.5</v>
      </c>
      <c r="J28" s="45">
        <v>1890.5</v>
      </c>
      <c r="K28" s="44">
        <f t="shared" si="2"/>
        <v>1890.5</v>
      </c>
      <c r="L28" s="46">
        <v>1923.5</v>
      </c>
      <c r="M28" s="45">
        <v>1923.5</v>
      </c>
      <c r="N28" s="44">
        <f t="shared" si="3"/>
        <v>1923.5</v>
      </c>
      <c r="O28" s="46">
        <v>1956.5</v>
      </c>
      <c r="P28" s="45">
        <v>1956.5</v>
      </c>
      <c r="Q28" s="44">
        <f t="shared" si="4"/>
        <v>1956.5</v>
      </c>
      <c r="R28" s="52">
        <v>1835</v>
      </c>
      <c r="S28" s="51">
        <v>1.2864</v>
      </c>
      <c r="T28" s="51">
        <v>1.1705000000000001</v>
      </c>
      <c r="U28" s="50">
        <v>105.36</v>
      </c>
      <c r="V28" s="43">
        <v>1426.46</v>
      </c>
      <c r="W28" s="43">
        <v>1437.73</v>
      </c>
      <c r="X28" s="49">
        <f t="shared" si="5"/>
        <v>1567.7061085006405</v>
      </c>
      <c r="Y28" s="48">
        <v>1.2870999999999999</v>
      </c>
    </row>
    <row r="29" spans="2:25" x14ac:dyDescent="0.2">
      <c r="B29" s="47">
        <v>44041</v>
      </c>
      <c r="C29" s="46">
        <v>1847</v>
      </c>
      <c r="D29" s="45">
        <v>1847</v>
      </c>
      <c r="E29" s="44">
        <f t="shared" si="0"/>
        <v>1847</v>
      </c>
      <c r="F29" s="46">
        <v>1867</v>
      </c>
      <c r="G29" s="45">
        <v>1867</v>
      </c>
      <c r="H29" s="44">
        <f t="shared" si="1"/>
        <v>1867</v>
      </c>
      <c r="I29" s="46">
        <v>1907</v>
      </c>
      <c r="J29" s="45">
        <v>1907</v>
      </c>
      <c r="K29" s="44">
        <f t="shared" si="2"/>
        <v>1907</v>
      </c>
      <c r="L29" s="46">
        <v>1940</v>
      </c>
      <c r="M29" s="45">
        <v>1940</v>
      </c>
      <c r="N29" s="44">
        <f t="shared" si="3"/>
        <v>1940</v>
      </c>
      <c r="O29" s="46">
        <v>1973</v>
      </c>
      <c r="P29" s="45">
        <v>1973</v>
      </c>
      <c r="Q29" s="44">
        <f t="shared" si="4"/>
        <v>1973</v>
      </c>
      <c r="R29" s="52">
        <v>1847</v>
      </c>
      <c r="S29" s="51">
        <v>1.2965</v>
      </c>
      <c r="T29" s="51">
        <v>1.1722999999999999</v>
      </c>
      <c r="U29" s="50">
        <v>105.15</v>
      </c>
      <c r="V29" s="43">
        <v>1424.6</v>
      </c>
      <c r="W29" s="43">
        <v>1439.25</v>
      </c>
      <c r="X29" s="49">
        <f t="shared" si="5"/>
        <v>1575.5352725411585</v>
      </c>
      <c r="Y29" s="48">
        <v>1.2971999999999999</v>
      </c>
    </row>
    <row r="30" spans="2:25" x14ac:dyDescent="0.2">
      <c r="B30" s="47">
        <v>44042</v>
      </c>
      <c r="C30" s="46">
        <v>1841.5</v>
      </c>
      <c r="D30" s="45">
        <v>1841.5</v>
      </c>
      <c r="E30" s="44">
        <f t="shared" si="0"/>
        <v>1841.5</v>
      </c>
      <c r="F30" s="46">
        <v>1860</v>
      </c>
      <c r="G30" s="45">
        <v>1860</v>
      </c>
      <c r="H30" s="44">
        <f t="shared" si="1"/>
        <v>1860</v>
      </c>
      <c r="I30" s="46">
        <v>1900</v>
      </c>
      <c r="J30" s="45">
        <v>1900</v>
      </c>
      <c r="K30" s="44">
        <f t="shared" si="2"/>
        <v>1900</v>
      </c>
      <c r="L30" s="46">
        <v>1933</v>
      </c>
      <c r="M30" s="45">
        <v>1933</v>
      </c>
      <c r="N30" s="44">
        <f t="shared" si="3"/>
        <v>1933</v>
      </c>
      <c r="O30" s="46">
        <v>1966</v>
      </c>
      <c r="P30" s="45">
        <v>1966</v>
      </c>
      <c r="Q30" s="44">
        <f t="shared" si="4"/>
        <v>1966</v>
      </c>
      <c r="R30" s="52">
        <v>1841.5</v>
      </c>
      <c r="S30" s="51">
        <v>1.3019000000000001</v>
      </c>
      <c r="T30" s="51">
        <v>1.1749000000000001</v>
      </c>
      <c r="U30" s="50">
        <v>105.19</v>
      </c>
      <c r="V30" s="43">
        <v>1414.47</v>
      </c>
      <c r="W30" s="43">
        <v>1428.02</v>
      </c>
      <c r="X30" s="49">
        <f t="shared" si="5"/>
        <v>1567.3674355264277</v>
      </c>
      <c r="Y30" s="48">
        <v>1.3025</v>
      </c>
    </row>
    <row r="31" spans="2:25" x14ac:dyDescent="0.2">
      <c r="B31" s="47">
        <v>44043</v>
      </c>
      <c r="C31" s="46">
        <v>1843</v>
      </c>
      <c r="D31" s="45">
        <v>1843</v>
      </c>
      <c r="E31" s="44">
        <f t="shared" si="0"/>
        <v>1843</v>
      </c>
      <c r="F31" s="46">
        <v>1861</v>
      </c>
      <c r="G31" s="45">
        <v>1861</v>
      </c>
      <c r="H31" s="44">
        <f t="shared" si="1"/>
        <v>1861</v>
      </c>
      <c r="I31" s="46">
        <v>1899.5</v>
      </c>
      <c r="J31" s="45">
        <v>1899.5</v>
      </c>
      <c r="K31" s="44">
        <f t="shared" si="2"/>
        <v>1899.5</v>
      </c>
      <c r="L31" s="46">
        <v>1932.5</v>
      </c>
      <c r="M31" s="45">
        <v>1932.5</v>
      </c>
      <c r="N31" s="44">
        <f t="shared" si="3"/>
        <v>1932.5</v>
      </c>
      <c r="O31" s="46">
        <v>1965.5</v>
      </c>
      <c r="P31" s="45">
        <v>1965.5</v>
      </c>
      <c r="Q31" s="44">
        <f t="shared" si="4"/>
        <v>1965.5</v>
      </c>
      <c r="R31" s="52">
        <v>1843</v>
      </c>
      <c r="S31" s="51">
        <v>1.3142</v>
      </c>
      <c r="T31" s="51">
        <v>1.1840999999999999</v>
      </c>
      <c r="U31" s="50">
        <v>104.91</v>
      </c>
      <c r="V31" s="43">
        <v>1402.37</v>
      </c>
      <c r="W31" s="43">
        <v>1415.42</v>
      </c>
      <c r="X31" s="49">
        <f t="shared" si="5"/>
        <v>1556.4563803732794</v>
      </c>
      <c r="Y31" s="48">
        <v>1.3148</v>
      </c>
    </row>
    <row r="32" spans="2:25" s="10" customFormat="1" x14ac:dyDescent="0.2">
      <c r="B32" s="42" t="s">
        <v>11</v>
      </c>
      <c r="C32" s="41">
        <f>ROUND(AVERAGE(C9:C31),2)</f>
        <v>1812.15</v>
      </c>
      <c r="D32" s="40">
        <f>ROUND(AVERAGE(D9:D31),2)</f>
        <v>1812.15</v>
      </c>
      <c r="E32" s="39">
        <f>ROUND(AVERAGE(C32:D32),2)</f>
        <v>1812.15</v>
      </c>
      <c r="F32" s="41">
        <f>ROUND(AVERAGE(F9:F31),2)</f>
        <v>1828.28</v>
      </c>
      <c r="G32" s="40">
        <f>ROUND(AVERAGE(G9:G31),2)</f>
        <v>1828.28</v>
      </c>
      <c r="H32" s="39">
        <f>ROUND(AVERAGE(F32:G32),2)</f>
        <v>1828.28</v>
      </c>
      <c r="I32" s="41">
        <f>ROUND(AVERAGE(I9:I31),2)</f>
        <v>1868.33</v>
      </c>
      <c r="J32" s="40">
        <f>ROUND(AVERAGE(J9:J31),2)</f>
        <v>1868.33</v>
      </c>
      <c r="K32" s="39">
        <f>ROUND(AVERAGE(I32:J32),2)</f>
        <v>1868.33</v>
      </c>
      <c r="L32" s="41">
        <f>ROUND(AVERAGE(L9:L31),2)</f>
        <v>1900.7</v>
      </c>
      <c r="M32" s="40">
        <f>ROUND(AVERAGE(M9:M31),2)</f>
        <v>1900.7</v>
      </c>
      <c r="N32" s="39">
        <f>ROUND(AVERAGE(L32:M32),2)</f>
        <v>1900.7</v>
      </c>
      <c r="O32" s="41">
        <f>ROUND(AVERAGE(O9:O31),2)</f>
        <v>1927.8</v>
      </c>
      <c r="P32" s="40">
        <f>ROUND(AVERAGE(P9:P31),2)</f>
        <v>1927.8</v>
      </c>
      <c r="Q32" s="39">
        <f>ROUND(AVERAGE(O32:P32),2)</f>
        <v>1927.8</v>
      </c>
      <c r="R32" s="38">
        <f>ROUND(AVERAGE(R9:R31),2)</f>
        <v>1812.15</v>
      </c>
      <c r="S32" s="37">
        <f>ROUND(AVERAGE(S9:S31),4)</f>
        <v>1.2669999999999999</v>
      </c>
      <c r="T32" s="36">
        <f>ROUND(AVERAGE(T9:T31),4)</f>
        <v>1.1462000000000001</v>
      </c>
      <c r="U32" s="175">
        <f>ROUND(AVERAGE(U9:U31),2)</f>
        <v>106.77</v>
      </c>
      <c r="V32" s="35">
        <f>AVERAGE(V9:V31)</f>
        <v>1430.4221739130435</v>
      </c>
      <c r="W32" s="35">
        <f>AVERAGE(W9:W31)</f>
        <v>1442.3947826086958</v>
      </c>
      <c r="X32" s="35">
        <f>AVERAGE(X9:X31)</f>
        <v>1581.2177953135176</v>
      </c>
      <c r="Y32" s="34">
        <f>AVERAGE(Y9:Y31)</f>
        <v>1.2676260869565217</v>
      </c>
    </row>
    <row r="33" spans="2:25" s="5" customFormat="1" x14ac:dyDescent="0.2">
      <c r="B33" s="33" t="s">
        <v>12</v>
      </c>
      <c r="C33" s="32">
        <f t="shared" ref="C33:Y33" si="6">MAX(C9:C31)</f>
        <v>1858</v>
      </c>
      <c r="D33" s="31">
        <f t="shared" si="6"/>
        <v>1858</v>
      </c>
      <c r="E33" s="30">
        <f t="shared" si="6"/>
        <v>1858</v>
      </c>
      <c r="F33" s="32">
        <f t="shared" si="6"/>
        <v>1870</v>
      </c>
      <c r="G33" s="31">
        <f t="shared" si="6"/>
        <v>1870</v>
      </c>
      <c r="H33" s="30">
        <f t="shared" si="6"/>
        <v>1870</v>
      </c>
      <c r="I33" s="32">
        <f t="shared" si="6"/>
        <v>1907</v>
      </c>
      <c r="J33" s="31">
        <f t="shared" si="6"/>
        <v>1907</v>
      </c>
      <c r="K33" s="30">
        <f t="shared" si="6"/>
        <v>1907</v>
      </c>
      <c r="L33" s="32">
        <f t="shared" si="6"/>
        <v>1940</v>
      </c>
      <c r="M33" s="31">
        <f t="shared" si="6"/>
        <v>1940</v>
      </c>
      <c r="N33" s="30">
        <f t="shared" si="6"/>
        <v>1940</v>
      </c>
      <c r="O33" s="32">
        <f t="shared" si="6"/>
        <v>1973</v>
      </c>
      <c r="P33" s="31">
        <f t="shared" si="6"/>
        <v>1973</v>
      </c>
      <c r="Q33" s="30">
        <f t="shared" si="6"/>
        <v>1973</v>
      </c>
      <c r="R33" s="29">
        <f t="shared" si="6"/>
        <v>1858</v>
      </c>
      <c r="S33" s="28">
        <f t="shared" si="6"/>
        <v>1.3142</v>
      </c>
      <c r="T33" s="27">
        <f t="shared" si="6"/>
        <v>1.1840999999999999</v>
      </c>
      <c r="U33" s="26">
        <f t="shared" si="6"/>
        <v>107.72</v>
      </c>
      <c r="V33" s="25">
        <f t="shared" si="6"/>
        <v>1474.14</v>
      </c>
      <c r="W33" s="25">
        <f t="shared" si="6"/>
        <v>1482.71</v>
      </c>
      <c r="X33" s="25">
        <f t="shared" si="6"/>
        <v>1639.1707101896779</v>
      </c>
      <c r="Y33" s="24">
        <f t="shared" si="6"/>
        <v>1.3148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1756</v>
      </c>
      <c r="D34" s="21">
        <f t="shared" si="7"/>
        <v>1756</v>
      </c>
      <c r="E34" s="20">
        <f t="shared" si="7"/>
        <v>1756</v>
      </c>
      <c r="F34" s="22">
        <f t="shared" si="7"/>
        <v>1770</v>
      </c>
      <c r="G34" s="21">
        <f t="shared" si="7"/>
        <v>1770</v>
      </c>
      <c r="H34" s="20">
        <f t="shared" si="7"/>
        <v>1770</v>
      </c>
      <c r="I34" s="22">
        <f t="shared" si="7"/>
        <v>1817</v>
      </c>
      <c r="J34" s="21">
        <f t="shared" si="7"/>
        <v>1817</v>
      </c>
      <c r="K34" s="20">
        <f t="shared" si="7"/>
        <v>1817</v>
      </c>
      <c r="L34" s="22">
        <f t="shared" si="7"/>
        <v>1851</v>
      </c>
      <c r="M34" s="21">
        <f t="shared" si="7"/>
        <v>1851</v>
      </c>
      <c r="N34" s="20">
        <f t="shared" si="7"/>
        <v>1851</v>
      </c>
      <c r="O34" s="22">
        <f t="shared" si="7"/>
        <v>1871</v>
      </c>
      <c r="P34" s="21">
        <f t="shared" si="7"/>
        <v>1871</v>
      </c>
      <c r="Q34" s="20">
        <f t="shared" si="7"/>
        <v>1871</v>
      </c>
      <c r="R34" s="19">
        <f t="shared" si="7"/>
        <v>1756</v>
      </c>
      <c r="S34" s="18">
        <f t="shared" si="7"/>
        <v>1.2390000000000001</v>
      </c>
      <c r="T34" s="17">
        <f t="shared" si="7"/>
        <v>1.1204000000000001</v>
      </c>
      <c r="U34" s="16">
        <f t="shared" si="7"/>
        <v>104.91</v>
      </c>
      <c r="V34" s="15">
        <f t="shared" si="7"/>
        <v>1399.05</v>
      </c>
      <c r="W34" s="15">
        <f t="shared" si="7"/>
        <v>1407.72</v>
      </c>
      <c r="X34" s="15">
        <f t="shared" si="7"/>
        <v>1533.5490463215258</v>
      </c>
      <c r="Y34" s="14">
        <f t="shared" si="7"/>
        <v>1.2397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44013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44013</v>
      </c>
      <c r="C9" s="46">
        <v>16920</v>
      </c>
      <c r="D9" s="45">
        <v>16920</v>
      </c>
      <c r="E9" s="44">
        <f t="shared" ref="E9:E31" si="0">AVERAGE(C9:D9)</f>
        <v>16920</v>
      </c>
      <c r="F9" s="46">
        <v>16795</v>
      </c>
      <c r="G9" s="45">
        <v>16795</v>
      </c>
      <c r="H9" s="44">
        <f t="shared" ref="H9:H31" si="1">AVERAGE(F9:G9)</f>
        <v>16795</v>
      </c>
      <c r="I9" s="46">
        <v>16563</v>
      </c>
      <c r="J9" s="45">
        <v>16563</v>
      </c>
      <c r="K9" s="44">
        <f t="shared" ref="K9:K31" si="2">AVERAGE(I9:J9)</f>
        <v>16563</v>
      </c>
      <c r="L9" s="52">
        <v>16920</v>
      </c>
      <c r="M9" s="51">
        <v>1.2390000000000001</v>
      </c>
      <c r="N9" s="53">
        <v>1.1204000000000001</v>
      </c>
      <c r="O9" s="50">
        <v>107.46</v>
      </c>
      <c r="P9" s="43">
        <v>13656.17</v>
      </c>
      <c r="Q9" s="43">
        <v>13547.63</v>
      </c>
      <c r="R9" s="49">
        <f t="shared" ref="R9:R31" si="3">L9/N9</f>
        <v>15101.749375223133</v>
      </c>
      <c r="S9" s="48">
        <v>1.2397</v>
      </c>
    </row>
    <row r="10" spans="1:19" x14ac:dyDescent="0.2">
      <c r="B10" s="47">
        <v>44014</v>
      </c>
      <c r="C10" s="46">
        <v>16960</v>
      </c>
      <c r="D10" s="45">
        <v>16960</v>
      </c>
      <c r="E10" s="44">
        <f t="shared" si="0"/>
        <v>16960</v>
      </c>
      <c r="F10" s="46">
        <v>16850</v>
      </c>
      <c r="G10" s="45">
        <v>16850</v>
      </c>
      <c r="H10" s="44">
        <f t="shared" si="1"/>
        <v>16850</v>
      </c>
      <c r="I10" s="46">
        <v>16622</v>
      </c>
      <c r="J10" s="45">
        <v>16622</v>
      </c>
      <c r="K10" s="44">
        <f t="shared" si="2"/>
        <v>16622</v>
      </c>
      <c r="L10" s="52">
        <v>16960</v>
      </c>
      <c r="M10" s="51">
        <v>1.2519</v>
      </c>
      <c r="N10" s="51">
        <v>1.1287</v>
      </c>
      <c r="O10" s="50">
        <v>107.46</v>
      </c>
      <c r="P10" s="43">
        <v>13547.41</v>
      </c>
      <c r="Q10" s="43">
        <v>13452.02</v>
      </c>
      <c r="R10" s="49">
        <f t="shared" si="3"/>
        <v>15026.136262957383</v>
      </c>
      <c r="S10" s="48">
        <v>1.2525999999999999</v>
      </c>
    </row>
    <row r="11" spans="1:19" x14ac:dyDescent="0.2">
      <c r="B11" s="47">
        <v>44015</v>
      </c>
      <c r="C11" s="46">
        <v>16960</v>
      </c>
      <c r="D11" s="45">
        <v>16960</v>
      </c>
      <c r="E11" s="44">
        <f t="shared" si="0"/>
        <v>16960</v>
      </c>
      <c r="F11" s="46">
        <v>16850</v>
      </c>
      <c r="G11" s="45">
        <v>16850</v>
      </c>
      <c r="H11" s="44">
        <f t="shared" si="1"/>
        <v>16850</v>
      </c>
      <c r="I11" s="46">
        <v>16617</v>
      </c>
      <c r="J11" s="45">
        <v>16617</v>
      </c>
      <c r="K11" s="44">
        <f t="shared" si="2"/>
        <v>16617</v>
      </c>
      <c r="L11" s="52">
        <v>16960</v>
      </c>
      <c r="M11" s="51">
        <v>1.2454000000000001</v>
      </c>
      <c r="N11" s="51">
        <v>1.1224000000000001</v>
      </c>
      <c r="O11" s="50">
        <v>107.53</v>
      </c>
      <c r="P11" s="43">
        <v>13618.11</v>
      </c>
      <c r="Q11" s="43">
        <v>13523.27</v>
      </c>
      <c r="R11" s="49">
        <f t="shared" si="3"/>
        <v>15110.47754811119</v>
      </c>
      <c r="S11" s="48">
        <v>1.246</v>
      </c>
    </row>
    <row r="12" spans="1:19" x14ac:dyDescent="0.2">
      <c r="B12" s="47">
        <v>44018</v>
      </c>
      <c r="C12" s="46">
        <v>17150</v>
      </c>
      <c r="D12" s="45">
        <v>17150</v>
      </c>
      <c r="E12" s="44">
        <f t="shared" si="0"/>
        <v>17150</v>
      </c>
      <c r="F12" s="46">
        <v>17030</v>
      </c>
      <c r="G12" s="45">
        <v>17030</v>
      </c>
      <c r="H12" s="44">
        <f t="shared" si="1"/>
        <v>17030</v>
      </c>
      <c r="I12" s="46">
        <v>16803</v>
      </c>
      <c r="J12" s="45">
        <v>16803</v>
      </c>
      <c r="K12" s="44">
        <f t="shared" si="2"/>
        <v>16803</v>
      </c>
      <c r="L12" s="52">
        <v>17150</v>
      </c>
      <c r="M12" s="51">
        <v>1.2509999999999999</v>
      </c>
      <c r="N12" s="51">
        <v>1.1318999999999999</v>
      </c>
      <c r="O12" s="50">
        <v>107.53</v>
      </c>
      <c r="P12" s="43">
        <v>13709.03</v>
      </c>
      <c r="Q12" s="43">
        <v>13605.5</v>
      </c>
      <c r="R12" s="49">
        <f t="shared" si="3"/>
        <v>15151.515151515152</v>
      </c>
      <c r="S12" s="48">
        <v>1.2517</v>
      </c>
    </row>
    <row r="13" spans="1:19" x14ac:dyDescent="0.2">
      <c r="B13" s="47">
        <v>44019</v>
      </c>
      <c r="C13" s="46">
        <v>17110</v>
      </c>
      <c r="D13" s="45">
        <v>17110</v>
      </c>
      <c r="E13" s="44">
        <f t="shared" si="0"/>
        <v>17110</v>
      </c>
      <c r="F13" s="46">
        <v>17060</v>
      </c>
      <c r="G13" s="45">
        <v>17060</v>
      </c>
      <c r="H13" s="44">
        <f t="shared" si="1"/>
        <v>17060</v>
      </c>
      <c r="I13" s="46">
        <v>16835</v>
      </c>
      <c r="J13" s="45">
        <v>16835</v>
      </c>
      <c r="K13" s="44">
        <f t="shared" si="2"/>
        <v>16835</v>
      </c>
      <c r="L13" s="52">
        <v>17110</v>
      </c>
      <c r="M13" s="51">
        <v>1.2519</v>
      </c>
      <c r="N13" s="51">
        <v>1.1291</v>
      </c>
      <c r="O13" s="50">
        <v>107.72</v>
      </c>
      <c r="P13" s="43">
        <v>13667.23</v>
      </c>
      <c r="Q13" s="43">
        <v>13619.67</v>
      </c>
      <c r="R13" s="49">
        <f t="shared" si="3"/>
        <v>15153.662208838898</v>
      </c>
      <c r="S13" s="48">
        <v>1.2525999999999999</v>
      </c>
    </row>
    <row r="14" spans="1:19" x14ac:dyDescent="0.2">
      <c r="B14" s="47">
        <v>44020</v>
      </c>
      <c r="C14" s="46">
        <v>17126</v>
      </c>
      <c r="D14" s="45">
        <v>17126</v>
      </c>
      <c r="E14" s="44">
        <f t="shared" si="0"/>
        <v>17126</v>
      </c>
      <c r="F14" s="46">
        <v>17026</v>
      </c>
      <c r="G14" s="45">
        <v>17026</v>
      </c>
      <c r="H14" s="44">
        <f t="shared" si="1"/>
        <v>17026</v>
      </c>
      <c r="I14" s="46">
        <v>16834</v>
      </c>
      <c r="J14" s="45">
        <v>16834</v>
      </c>
      <c r="K14" s="44">
        <f t="shared" si="2"/>
        <v>16834</v>
      </c>
      <c r="L14" s="52">
        <v>17126</v>
      </c>
      <c r="M14" s="51">
        <v>1.2559</v>
      </c>
      <c r="N14" s="51">
        <v>1.129</v>
      </c>
      <c r="O14" s="50">
        <v>107.52</v>
      </c>
      <c r="P14" s="43">
        <v>13636.44</v>
      </c>
      <c r="Q14" s="43">
        <v>13549.26</v>
      </c>
      <c r="R14" s="49">
        <f t="shared" si="3"/>
        <v>15169.176262178918</v>
      </c>
      <c r="S14" s="48">
        <v>1.2565999999999999</v>
      </c>
    </row>
    <row r="15" spans="1:19" x14ac:dyDescent="0.2">
      <c r="B15" s="47">
        <v>44021</v>
      </c>
      <c r="C15" s="46">
        <v>17455</v>
      </c>
      <c r="D15" s="45">
        <v>17455</v>
      </c>
      <c r="E15" s="44">
        <f t="shared" si="0"/>
        <v>17455</v>
      </c>
      <c r="F15" s="46">
        <v>17328</v>
      </c>
      <c r="G15" s="45">
        <v>17328</v>
      </c>
      <c r="H15" s="44">
        <f t="shared" si="1"/>
        <v>17328</v>
      </c>
      <c r="I15" s="46">
        <v>17147</v>
      </c>
      <c r="J15" s="45">
        <v>17147</v>
      </c>
      <c r="K15" s="44">
        <f t="shared" si="2"/>
        <v>17147</v>
      </c>
      <c r="L15" s="52">
        <v>17455</v>
      </c>
      <c r="M15" s="51">
        <v>1.2652000000000001</v>
      </c>
      <c r="N15" s="51">
        <v>1.1343000000000001</v>
      </c>
      <c r="O15" s="50">
        <v>107.29</v>
      </c>
      <c r="P15" s="43">
        <v>13796.24</v>
      </c>
      <c r="Q15" s="43">
        <v>13689.37</v>
      </c>
      <c r="R15" s="49">
        <f t="shared" si="3"/>
        <v>15388.345234946662</v>
      </c>
      <c r="S15" s="48">
        <v>1.2658</v>
      </c>
    </row>
    <row r="16" spans="1:19" x14ac:dyDescent="0.2">
      <c r="B16" s="47">
        <v>44022</v>
      </c>
      <c r="C16" s="46">
        <v>17080</v>
      </c>
      <c r="D16" s="45">
        <v>17080</v>
      </c>
      <c r="E16" s="44">
        <f t="shared" si="0"/>
        <v>17080</v>
      </c>
      <c r="F16" s="46">
        <v>16958</v>
      </c>
      <c r="G16" s="45">
        <v>16958</v>
      </c>
      <c r="H16" s="44">
        <f t="shared" si="1"/>
        <v>16958</v>
      </c>
      <c r="I16" s="46">
        <v>16775</v>
      </c>
      <c r="J16" s="45">
        <v>16775</v>
      </c>
      <c r="K16" s="44">
        <f t="shared" si="2"/>
        <v>16775</v>
      </c>
      <c r="L16" s="52">
        <v>17080</v>
      </c>
      <c r="M16" s="51">
        <v>1.2599</v>
      </c>
      <c r="N16" s="51">
        <v>1.1286</v>
      </c>
      <c r="O16" s="50">
        <v>106.86</v>
      </c>
      <c r="P16" s="43">
        <v>13556.63</v>
      </c>
      <c r="Q16" s="43">
        <v>13452.32</v>
      </c>
      <c r="R16" s="49">
        <f t="shared" si="3"/>
        <v>15133.794081162501</v>
      </c>
      <c r="S16" s="48">
        <v>1.2605999999999999</v>
      </c>
    </row>
    <row r="17" spans="2:19" x14ac:dyDescent="0.2">
      <c r="B17" s="47">
        <v>44025</v>
      </c>
      <c r="C17" s="46">
        <v>17377</v>
      </c>
      <c r="D17" s="45">
        <v>17377</v>
      </c>
      <c r="E17" s="44">
        <f t="shared" si="0"/>
        <v>17377</v>
      </c>
      <c r="F17" s="46">
        <v>17278</v>
      </c>
      <c r="G17" s="45">
        <v>17278</v>
      </c>
      <c r="H17" s="44">
        <f t="shared" si="1"/>
        <v>17278</v>
      </c>
      <c r="I17" s="46">
        <v>17081</v>
      </c>
      <c r="J17" s="45">
        <v>17081</v>
      </c>
      <c r="K17" s="44">
        <f t="shared" si="2"/>
        <v>17081</v>
      </c>
      <c r="L17" s="52">
        <v>17377</v>
      </c>
      <c r="M17" s="51">
        <v>1.2604</v>
      </c>
      <c r="N17" s="51">
        <v>1.1335</v>
      </c>
      <c r="O17" s="50">
        <v>107.1</v>
      </c>
      <c r="P17" s="43">
        <v>13786.89</v>
      </c>
      <c r="Q17" s="43">
        <v>13699.65</v>
      </c>
      <c r="R17" s="49">
        <f t="shared" si="3"/>
        <v>15330.3925893251</v>
      </c>
      <c r="S17" s="48">
        <v>1.2612000000000001</v>
      </c>
    </row>
    <row r="18" spans="2:19" x14ac:dyDescent="0.2">
      <c r="B18" s="47">
        <v>44026</v>
      </c>
      <c r="C18" s="46">
        <v>17225</v>
      </c>
      <c r="D18" s="45">
        <v>17225</v>
      </c>
      <c r="E18" s="44">
        <f t="shared" si="0"/>
        <v>17225</v>
      </c>
      <c r="F18" s="46">
        <v>17170</v>
      </c>
      <c r="G18" s="45">
        <v>17170</v>
      </c>
      <c r="H18" s="44">
        <f t="shared" si="1"/>
        <v>17170</v>
      </c>
      <c r="I18" s="46">
        <v>16961</v>
      </c>
      <c r="J18" s="45">
        <v>16961</v>
      </c>
      <c r="K18" s="44">
        <f t="shared" si="2"/>
        <v>16961</v>
      </c>
      <c r="L18" s="52">
        <v>17225</v>
      </c>
      <c r="M18" s="51">
        <v>1.2529999999999999</v>
      </c>
      <c r="N18" s="51">
        <v>1.1377999999999999</v>
      </c>
      <c r="O18" s="50">
        <v>107.37</v>
      </c>
      <c r="P18" s="43">
        <v>13747.01</v>
      </c>
      <c r="Q18" s="43">
        <v>13695.46</v>
      </c>
      <c r="R18" s="49">
        <f t="shared" si="3"/>
        <v>15138.864475303219</v>
      </c>
      <c r="S18" s="48">
        <v>1.2537</v>
      </c>
    </row>
    <row r="19" spans="2:19" x14ac:dyDescent="0.2">
      <c r="B19" s="47">
        <v>44027</v>
      </c>
      <c r="C19" s="46">
        <v>17398</v>
      </c>
      <c r="D19" s="45">
        <v>17398</v>
      </c>
      <c r="E19" s="44">
        <f t="shared" si="0"/>
        <v>17398</v>
      </c>
      <c r="F19" s="46">
        <v>17310</v>
      </c>
      <c r="G19" s="45">
        <v>17310</v>
      </c>
      <c r="H19" s="44">
        <f t="shared" si="1"/>
        <v>17310</v>
      </c>
      <c r="I19" s="46">
        <v>17099</v>
      </c>
      <c r="J19" s="45">
        <v>17099</v>
      </c>
      <c r="K19" s="44">
        <f t="shared" si="2"/>
        <v>17099</v>
      </c>
      <c r="L19" s="52">
        <v>17398</v>
      </c>
      <c r="M19" s="51">
        <v>1.2632000000000001</v>
      </c>
      <c r="N19" s="51">
        <v>1.1438999999999999</v>
      </c>
      <c r="O19" s="50">
        <v>106.9</v>
      </c>
      <c r="P19" s="43">
        <v>13772.96</v>
      </c>
      <c r="Q19" s="43">
        <v>13695.7</v>
      </c>
      <c r="R19" s="49">
        <f t="shared" si="3"/>
        <v>15209.371448553196</v>
      </c>
      <c r="S19" s="48">
        <v>1.2639</v>
      </c>
    </row>
    <row r="20" spans="2:19" x14ac:dyDescent="0.2">
      <c r="B20" s="47">
        <v>44028</v>
      </c>
      <c r="C20" s="46">
        <v>17270</v>
      </c>
      <c r="D20" s="45">
        <v>17270</v>
      </c>
      <c r="E20" s="44">
        <f t="shared" si="0"/>
        <v>17270</v>
      </c>
      <c r="F20" s="46">
        <v>17200</v>
      </c>
      <c r="G20" s="45">
        <v>17200</v>
      </c>
      <c r="H20" s="44">
        <f t="shared" si="1"/>
        <v>17200</v>
      </c>
      <c r="I20" s="46">
        <v>16992</v>
      </c>
      <c r="J20" s="45">
        <v>16992</v>
      </c>
      <c r="K20" s="44">
        <f t="shared" si="2"/>
        <v>16992</v>
      </c>
      <c r="L20" s="52">
        <v>17270</v>
      </c>
      <c r="M20" s="51">
        <v>1.2555000000000001</v>
      </c>
      <c r="N20" s="51">
        <v>1.1413</v>
      </c>
      <c r="O20" s="50">
        <v>107.09</v>
      </c>
      <c r="P20" s="43">
        <v>13755.48</v>
      </c>
      <c r="Q20" s="43">
        <v>13693.18</v>
      </c>
      <c r="R20" s="49">
        <f t="shared" si="3"/>
        <v>15131.867169017787</v>
      </c>
      <c r="S20" s="48">
        <v>1.2561</v>
      </c>
    </row>
    <row r="21" spans="2:19" x14ac:dyDescent="0.2">
      <c r="B21" s="47">
        <v>44029</v>
      </c>
      <c r="C21" s="46">
        <v>17400</v>
      </c>
      <c r="D21" s="45">
        <v>17400</v>
      </c>
      <c r="E21" s="44">
        <f t="shared" si="0"/>
        <v>17400</v>
      </c>
      <c r="F21" s="46">
        <v>17340</v>
      </c>
      <c r="G21" s="45">
        <v>17340</v>
      </c>
      <c r="H21" s="44">
        <f t="shared" si="1"/>
        <v>17340</v>
      </c>
      <c r="I21" s="46">
        <v>17132</v>
      </c>
      <c r="J21" s="45">
        <v>17132</v>
      </c>
      <c r="K21" s="44">
        <f t="shared" si="2"/>
        <v>17132</v>
      </c>
      <c r="L21" s="52">
        <v>17400</v>
      </c>
      <c r="M21" s="51">
        <v>1.2546999999999999</v>
      </c>
      <c r="N21" s="51">
        <v>1.1422000000000001</v>
      </c>
      <c r="O21" s="50">
        <v>107.22</v>
      </c>
      <c r="P21" s="43">
        <v>13867.86</v>
      </c>
      <c r="Q21" s="43">
        <v>13813.43</v>
      </c>
      <c r="R21" s="49">
        <f t="shared" si="3"/>
        <v>15233.759411661704</v>
      </c>
      <c r="S21" s="48">
        <v>1.2553000000000001</v>
      </c>
    </row>
    <row r="22" spans="2:19" x14ac:dyDescent="0.2">
      <c r="B22" s="47">
        <v>44032</v>
      </c>
      <c r="C22" s="46">
        <v>17400</v>
      </c>
      <c r="D22" s="45">
        <v>17400</v>
      </c>
      <c r="E22" s="44">
        <f t="shared" si="0"/>
        <v>17400</v>
      </c>
      <c r="F22" s="46">
        <v>17330</v>
      </c>
      <c r="G22" s="45">
        <v>17330</v>
      </c>
      <c r="H22" s="44">
        <f t="shared" si="1"/>
        <v>17330</v>
      </c>
      <c r="I22" s="46">
        <v>17121</v>
      </c>
      <c r="J22" s="45">
        <v>17121</v>
      </c>
      <c r="K22" s="44">
        <f t="shared" si="2"/>
        <v>17121</v>
      </c>
      <c r="L22" s="52">
        <v>17400</v>
      </c>
      <c r="M22" s="51">
        <v>1.2634000000000001</v>
      </c>
      <c r="N22" s="51">
        <v>1.1447000000000001</v>
      </c>
      <c r="O22" s="50">
        <v>107.1</v>
      </c>
      <c r="P22" s="43">
        <v>13772.36</v>
      </c>
      <c r="Q22" s="43">
        <v>13709.36</v>
      </c>
      <c r="R22" s="49">
        <f t="shared" si="3"/>
        <v>15200.489211147025</v>
      </c>
      <c r="S22" s="48">
        <v>1.2641</v>
      </c>
    </row>
    <row r="23" spans="2:19" x14ac:dyDescent="0.2">
      <c r="B23" s="47">
        <v>44033</v>
      </c>
      <c r="C23" s="46">
        <v>17485</v>
      </c>
      <c r="D23" s="45">
        <v>17485</v>
      </c>
      <c r="E23" s="44">
        <f t="shared" si="0"/>
        <v>17485</v>
      </c>
      <c r="F23" s="46">
        <v>17465</v>
      </c>
      <c r="G23" s="45">
        <v>17465</v>
      </c>
      <c r="H23" s="44">
        <f t="shared" si="1"/>
        <v>17465</v>
      </c>
      <c r="I23" s="46">
        <v>17256</v>
      </c>
      <c r="J23" s="45">
        <v>17256</v>
      </c>
      <c r="K23" s="44">
        <f t="shared" si="2"/>
        <v>17256</v>
      </c>
      <c r="L23" s="52">
        <v>17485</v>
      </c>
      <c r="M23" s="51">
        <v>1.2694000000000001</v>
      </c>
      <c r="N23" s="51">
        <v>1.1436999999999999</v>
      </c>
      <c r="O23" s="50">
        <v>107.24</v>
      </c>
      <c r="P23" s="43">
        <v>13774.22</v>
      </c>
      <c r="Q23" s="43">
        <v>13751.97</v>
      </c>
      <c r="R23" s="49">
        <f t="shared" si="3"/>
        <v>15288.100026230655</v>
      </c>
      <c r="S23" s="48">
        <v>1.27</v>
      </c>
    </row>
    <row r="24" spans="2:19" x14ac:dyDescent="0.2">
      <c r="B24" s="47">
        <v>44034</v>
      </c>
      <c r="C24" s="46">
        <v>17750</v>
      </c>
      <c r="D24" s="45">
        <v>17750</v>
      </c>
      <c r="E24" s="44">
        <f t="shared" si="0"/>
        <v>17750</v>
      </c>
      <c r="F24" s="46">
        <v>17695</v>
      </c>
      <c r="G24" s="45">
        <v>17695</v>
      </c>
      <c r="H24" s="44">
        <f t="shared" si="1"/>
        <v>17695</v>
      </c>
      <c r="I24" s="46">
        <v>17475</v>
      </c>
      <c r="J24" s="45">
        <v>17475</v>
      </c>
      <c r="K24" s="44">
        <f t="shared" si="2"/>
        <v>17475</v>
      </c>
      <c r="L24" s="52">
        <v>17750</v>
      </c>
      <c r="M24" s="51">
        <v>1.2698</v>
      </c>
      <c r="N24" s="51">
        <v>1.1577999999999999</v>
      </c>
      <c r="O24" s="50">
        <v>106.98</v>
      </c>
      <c r="P24" s="43">
        <v>13978.58</v>
      </c>
      <c r="Q24" s="43">
        <v>13928.68</v>
      </c>
      <c r="R24" s="49">
        <f t="shared" si="3"/>
        <v>15330.799792710313</v>
      </c>
      <c r="S24" s="48">
        <v>1.2704</v>
      </c>
    </row>
    <row r="25" spans="2:19" x14ac:dyDescent="0.2">
      <c r="B25" s="47">
        <v>44035</v>
      </c>
      <c r="C25" s="46">
        <v>17762</v>
      </c>
      <c r="D25" s="45">
        <v>17762</v>
      </c>
      <c r="E25" s="44">
        <f t="shared" si="0"/>
        <v>17762</v>
      </c>
      <c r="F25" s="46">
        <v>17703</v>
      </c>
      <c r="G25" s="45">
        <v>17703</v>
      </c>
      <c r="H25" s="44">
        <f t="shared" si="1"/>
        <v>17703</v>
      </c>
      <c r="I25" s="46">
        <v>17465</v>
      </c>
      <c r="J25" s="45">
        <v>17465</v>
      </c>
      <c r="K25" s="44">
        <f t="shared" si="2"/>
        <v>17465</v>
      </c>
      <c r="L25" s="52">
        <v>17762</v>
      </c>
      <c r="M25" s="51">
        <v>1.2689999999999999</v>
      </c>
      <c r="N25" s="51">
        <v>1.1572</v>
      </c>
      <c r="O25" s="50">
        <v>107.18</v>
      </c>
      <c r="P25" s="43">
        <v>13996.85</v>
      </c>
      <c r="Q25" s="43">
        <v>13943.76</v>
      </c>
      <c r="R25" s="49">
        <f t="shared" si="3"/>
        <v>15349.118562046318</v>
      </c>
      <c r="S25" s="48">
        <v>1.2696000000000001</v>
      </c>
    </row>
    <row r="26" spans="2:19" x14ac:dyDescent="0.2">
      <c r="B26" s="47">
        <v>44036</v>
      </c>
      <c r="C26" s="46">
        <v>17695</v>
      </c>
      <c r="D26" s="45">
        <v>17695</v>
      </c>
      <c r="E26" s="44">
        <f t="shared" si="0"/>
        <v>17695</v>
      </c>
      <c r="F26" s="46">
        <v>17624</v>
      </c>
      <c r="G26" s="45">
        <v>17624</v>
      </c>
      <c r="H26" s="44">
        <f t="shared" si="1"/>
        <v>17624</v>
      </c>
      <c r="I26" s="46">
        <v>17366</v>
      </c>
      <c r="J26" s="45">
        <v>17366</v>
      </c>
      <c r="K26" s="44">
        <f t="shared" si="2"/>
        <v>17366</v>
      </c>
      <c r="L26" s="52">
        <v>17695</v>
      </c>
      <c r="M26" s="51">
        <v>1.2754000000000001</v>
      </c>
      <c r="N26" s="51">
        <v>1.1600999999999999</v>
      </c>
      <c r="O26" s="50">
        <v>106.22</v>
      </c>
      <c r="P26" s="43">
        <v>13874.08</v>
      </c>
      <c r="Q26" s="43">
        <v>13811.91</v>
      </c>
      <c r="R26" s="49">
        <f t="shared" si="3"/>
        <v>15252.995431428326</v>
      </c>
      <c r="S26" s="48">
        <v>1.276</v>
      </c>
    </row>
    <row r="27" spans="2:19" x14ac:dyDescent="0.2">
      <c r="B27" s="47">
        <v>44039</v>
      </c>
      <c r="C27" s="46">
        <v>17900</v>
      </c>
      <c r="D27" s="45">
        <v>17900</v>
      </c>
      <c r="E27" s="44">
        <f t="shared" si="0"/>
        <v>17900</v>
      </c>
      <c r="F27" s="46">
        <v>17817</v>
      </c>
      <c r="G27" s="45">
        <v>17817</v>
      </c>
      <c r="H27" s="44">
        <f t="shared" si="1"/>
        <v>17817</v>
      </c>
      <c r="I27" s="46">
        <v>17557</v>
      </c>
      <c r="J27" s="45">
        <v>17557</v>
      </c>
      <c r="K27" s="44">
        <f t="shared" si="2"/>
        <v>17557</v>
      </c>
      <c r="L27" s="52">
        <v>17900</v>
      </c>
      <c r="M27" s="51">
        <v>1.2873000000000001</v>
      </c>
      <c r="N27" s="51">
        <v>1.1744000000000001</v>
      </c>
      <c r="O27" s="50">
        <v>105.31</v>
      </c>
      <c r="P27" s="43">
        <v>13905.07</v>
      </c>
      <c r="Q27" s="43">
        <v>13834.15</v>
      </c>
      <c r="R27" s="49">
        <f t="shared" si="3"/>
        <v>15241.825613079018</v>
      </c>
      <c r="S27" s="48">
        <v>1.2879</v>
      </c>
    </row>
    <row r="28" spans="2:19" x14ac:dyDescent="0.2">
      <c r="B28" s="47">
        <v>44040</v>
      </c>
      <c r="C28" s="46">
        <v>18000</v>
      </c>
      <c r="D28" s="45">
        <v>18000</v>
      </c>
      <c r="E28" s="44">
        <f t="shared" si="0"/>
        <v>18000</v>
      </c>
      <c r="F28" s="46">
        <v>17960</v>
      </c>
      <c r="G28" s="45">
        <v>17960</v>
      </c>
      <c r="H28" s="44">
        <f t="shared" si="1"/>
        <v>17960</v>
      </c>
      <c r="I28" s="46">
        <v>17703</v>
      </c>
      <c r="J28" s="45">
        <v>17703</v>
      </c>
      <c r="K28" s="44">
        <f t="shared" si="2"/>
        <v>17703</v>
      </c>
      <c r="L28" s="52">
        <v>18000</v>
      </c>
      <c r="M28" s="51">
        <v>1.2864</v>
      </c>
      <c r="N28" s="51">
        <v>1.1705000000000001</v>
      </c>
      <c r="O28" s="50">
        <v>105.36</v>
      </c>
      <c r="P28" s="43">
        <v>13992.54</v>
      </c>
      <c r="Q28" s="43">
        <v>13953.85</v>
      </c>
      <c r="R28" s="49">
        <f t="shared" si="3"/>
        <v>15378.04357112345</v>
      </c>
      <c r="S28" s="48">
        <v>1.2870999999999999</v>
      </c>
    </row>
    <row r="29" spans="2:19" x14ac:dyDescent="0.2">
      <c r="B29" s="47">
        <v>44041</v>
      </c>
      <c r="C29" s="46">
        <v>18195</v>
      </c>
      <c r="D29" s="45">
        <v>18195</v>
      </c>
      <c r="E29" s="44">
        <f t="shared" si="0"/>
        <v>18195</v>
      </c>
      <c r="F29" s="46">
        <v>18141</v>
      </c>
      <c r="G29" s="45">
        <v>18141</v>
      </c>
      <c r="H29" s="44">
        <f t="shared" si="1"/>
        <v>18141</v>
      </c>
      <c r="I29" s="46">
        <v>17886</v>
      </c>
      <c r="J29" s="45">
        <v>17886</v>
      </c>
      <c r="K29" s="44">
        <f t="shared" si="2"/>
        <v>17886</v>
      </c>
      <c r="L29" s="52">
        <v>18195</v>
      </c>
      <c r="M29" s="51">
        <v>1.2965</v>
      </c>
      <c r="N29" s="51">
        <v>1.1722999999999999</v>
      </c>
      <c r="O29" s="50">
        <v>105.15</v>
      </c>
      <c r="P29" s="43">
        <v>14033.94</v>
      </c>
      <c r="Q29" s="43">
        <v>13984.74</v>
      </c>
      <c r="R29" s="49">
        <f t="shared" si="3"/>
        <v>15520.771133668857</v>
      </c>
      <c r="S29" s="48">
        <v>1.2971999999999999</v>
      </c>
    </row>
    <row r="30" spans="2:19" x14ac:dyDescent="0.2">
      <c r="B30" s="47">
        <v>44042</v>
      </c>
      <c r="C30" s="46">
        <v>17920</v>
      </c>
      <c r="D30" s="45">
        <v>17920</v>
      </c>
      <c r="E30" s="44">
        <f t="shared" si="0"/>
        <v>17920</v>
      </c>
      <c r="F30" s="46">
        <v>17884</v>
      </c>
      <c r="G30" s="45">
        <v>17884</v>
      </c>
      <c r="H30" s="44">
        <f t="shared" si="1"/>
        <v>17884</v>
      </c>
      <c r="I30" s="46">
        <v>17635</v>
      </c>
      <c r="J30" s="45">
        <v>17635</v>
      </c>
      <c r="K30" s="44">
        <f t="shared" si="2"/>
        <v>17635</v>
      </c>
      <c r="L30" s="52">
        <v>17920</v>
      </c>
      <c r="M30" s="51">
        <v>1.3019000000000001</v>
      </c>
      <c r="N30" s="51">
        <v>1.1749000000000001</v>
      </c>
      <c r="O30" s="50">
        <v>105.19</v>
      </c>
      <c r="P30" s="43">
        <v>13764.5</v>
      </c>
      <c r="Q30" s="43">
        <v>13730.52</v>
      </c>
      <c r="R30" s="49">
        <f t="shared" si="3"/>
        <v>15252.361903140692</v>
      </c>
      <c r="S30" s="48">
        <v>1.3025</v>
      </c>
    </row>
    <row r="31" spans="2:19" x14ac:dyDescent="0.2">
      <c r="B31" s="47">
        <v>44043</v>
      </c>
      <c r="C31" s="46">
        <v>17880</v>
      </c>
      <c r="D31" s="45">
        <v>17880</v>
      </c>
      <c r="E31" s="44">
        <f t="shared" si="0"/>
        <v>17880</v>
      </c>
      <c r="F31" s="46">
        <v>17822</v>
      </c>
      <c r="G31" s="45">
        <v>17822</v>
      </c>
      <c r="H31" s="44">
        <f t="shared" si="1"/>
        <v>17822</v>
      </c>
      <c r="I31" s="46">
        <v>17584</v>
      </c>
      <c r="J31" s="45">
        <v>17584</v>
      </c>
      <c r="K31" s="44">
        <f t="shared" si="2"/>
        <v>17584</v>
      </c>
      <c r="L31" s="52">
        <v>17880</v>
      </c>
      <c r="M31" s="51">
        <v>1.3142</v>
      </c>
      <c r="N31" s="51">
        <v>1.1840999999999999</v>
      </c>
      <c r="O31" s="50">
        <v>104.91</v>
      </c>
      <c r="P31" s="43">
        <v>13605.24</v>
      </c>
      <c r="Q31" s="43">
        <v>13554.91</v>
      </c>
      <c r="R31" s="49">
        <f t="shared" si="3"/>
        <v>15100.076007093996</v>
      </c>
      <c r="S31" s="48">
        <v>1.3148</v>
      </c>
    </row>
    <row r="32" spans="2:19" s="10" customFormat="1" x14ac:dyDescent="0.2">
      <c r="B32" s="42" t="s">
        <v>11</v>
      </c>
      <c r="C32" s="41">
        <f>ROUND(AVERAGE(C9:C31),2)</f>
        <v>17452.96</v>
      </c>
      <c r="D32" s="40">
        <f>ROUND(AVERAGE(D9:D31),2)</f>
        <v>17452.96</v>
      </c>
      <c r="E32" s="39">
        <f>ROUND(AVERAGE(C32:D32),2)</f>
        <v>17452.96</v>
      </c>
      <c r="F32" s="41">
        <f>ROUND(AVERAGE(F9:F31),2)</f>
        <v>17375.48</v>
      </c>
      <c r="G32" s="40">
        <f>ROUND(AVERAGE(G9:G31),2)</f>
        <v>17375.48</v>
      </c>
      <c r="H32" s="39">
        <f>ROUND(AVERAGE(F32:G32),2)</f>
        <v>17375.48</v>
      </c>
      <c r="I32" s="41">
        <f>ROUND(AVERAGE(I9:I31),2)</f>
        <v>17152.57</v>
      </c>
      <c r="J32" s="40">
        <f>ROUND(AVERAGE(J9:J31),2)</f>
        <v>17152.57</v>
      </c>
      <c r="K32" s="39">
        <f>ROUND(AVERAGE(I32:J32),2)</f>
        <v>17152.57</v>
      </c>
      <c r="L32" s="38">
        <f>ROUND(AVERAGE(L9:L31),2)</f>
        <v>17452.96</v>
      </c>
      <c r="M32" s="37">
        <f>ROUND(AVERAGE(M9:M31),4)</f>
        <v>1.2669999999999999</v>
      </c>
      <c r="N32" s="36">
        <f>ROUND(AVERAGE(N9:N31),4)</f>
        <v>1.1462000000000001</v>
      </c>
      <c r="O32" s="175">
        <f>ROUND(AVERAGE(O9:O31),2)</f>
        <v>106.77</v>
      </c>
      <c r="P32" s="35">
        <f>AVERAGE(P9:P31)</f>
        <v>13774.558260869564</v>
      </c>
      <c r="Q32" s="35">
        <f>AVERAGE(Q9:Q31)</f>
        <v>13706.100434782606</v>
      </c>
      <c r="R32" s="35">
        <f>AVERAGE(R9:R31)</f>
        <v>15225.812716107106</v>
      </c>
      <c r="S32" s="34">
        <f>AVERAGE(S9:S31)</f>
        <v>1.2676260869565217</v>
      </c>
    </row>
    <row r="33" spans="2:19" s="5" customFormat="1" x14ac:dyDescent="0.2">
      <c r="B33" s="33" t="s">
        <v>12</v>
      </c>
      <c r="C33" s="32">
        <f t="shared" ref="C33:S33" si="4">MAX(C9:C31)</f>
        <v>18195</v>
      </c>
      <c r="D33" s="31">
        <f t="shared" si="4"/>
        <v>18195</v>
      </c>
      <c r="E33" s="30">
        <f t="shared" si="4"/>
        <v>18195</v>
      </c>
      <c r="F33" s="32">
        <f t="shared" si="4"/>
        <v>18141</v>
      </c>
      <c r="G33" s="31">
        <f t="shared" si="4"/>
        <v>18141</v>
      </c>
      <c r="H33" s="30">
        <f t="shared" si="4"/>
        <v>18141</v>
      </c>
      <c r="I33" s="32">
        <f t="shared" si="4"/>
        <v>17886</v>
      </c>
      <c r="J33" s="31">
        <f t="shared" si="4"/>
        <v>17886</v>
      </c>
      <c r="K33" s="30">
        <f t="shared" si="4"/>
        <v>17886</v>
      </c>
      <c r="L33" s="29">
        <f t="shared" si="4"/>
        <v>18195</v>
      </c>
      <c r="M33" s="28">
        <f t="shared" si="4"/>
        <v>1.3142</v>
      </c>
      <c r="N33" s="27">
        <f t="shared" si="4"/>
        <v>1.1840999999999999</v>
      </c>
      <c r="O33" s="26">
        <f t="shared" si="4"/>
        <v>107.72</v>
      </c>
      <c r="P33" s="25">
        <f t="shared" si="4"/>
        <v>14033.94</v>
      </c>
      <c r="Q33" s="25">
        <f t="shared" si="4"/>
        <v>13984.74</v>
      </c>
      <c r="R33" s="25">
        <f t="shared" si="4"/>
        <v>15520.771133668857</v>
      </c>
      <c r="S33" s="24">
        <f t="shared" si="4"/>
        <v>1.3148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16920</v>
      </c>
      <c r="D34" s="21">
        <f t="shared" si="5"/>
        <v>16920</v>
      </c>
      <c r="E34" s="20">
        <f t="shared" si="5"/>
        <v>16920</v>
      </c>
      <c r="F34" s="22">
        <f t="shared" si="5"/>
        <v>16795</v>
      </c>
      <c r="G34" s="21">
        <f t="shared" si="5"/>
        <v>16795</v>
      </c>
      <c r="H34" s="20">
        <f t="shared" si="5"/>
        <v>16795</v>
      </c>
      <c r="I34" s="22">
        <f t="shared" si="5"/>
        <v>16563</v>
      </c>
      <c r="J34" s="21">
        <f t="shared" si="5"/>
        <v>16563</v>
      </c>
      <c r="K34" s="20">
        <f t="shared" si="5"/>
        <v>16563</v>
      </c>
      <c r="L34" s="19">
        <f t="shared" si="5"/>
        <v>16920</v>
      </c>
      <c r="M34" s="18">
        <f t="shared" si="5"/>
        <v>1.2390000000000001</v>
      </c>
      <c r="N34" s="17">
        <f t="shared" si="5"/>
        <v>1.1204000000000001</v>
      </c>
      <c r="O34" s="16">
        <f t="shared" si="5"/>
        <v>104.91</v>
      </c>
      <c r="P34" s="15">
        <f t="shared" si="5"/>
        <v>13547.41</v>
      </c>
      <c r="Q34" s="15">
        <f t="shared" si="5"/>
        <v>13452.02</v>
      </c>
      <c r="R34" s="15">
        <f t="shared" si="5"/>
        <v>15026.136262957383</v>
      </c>
      <c r="S34" s="14">
        <f t="shared" si="5"/>
        <v>1.2397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44013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44013</v>
      </c>
      <c r="C9" s="46">
        <v>12555</v>
      </c>
      <c r="D9" s="45">
        <v>12555</v>
      </c>
      <c r="E9" s="44">
        <f t="shared" ref="E9:E31" si="0">AVERAGE(C9:D9)</f>
        <v>12555</v>
      </c>
      <c r="F9" s="46">
        <v>12620</v>
      </c>
      <c r="G9" s="45">
        <v>12620</v>
      </c>
      <c r="H9" s="44">
        <f t="shared" ref="H9:H31" si="1">AVERAGE(F9:G9)</f>
        <v>12620</v>
      </c>
      <c r="I9" s="46">
        <v>12895</v>
      </c>
      <c r="J9" s="45">
        <v>12895</v>
      </c>
      <c r="K9" s="44">
        <f t="shared" ref="K9:K31" si="2">AVERAGE(I9:J9)</f>
        <v>12895</v>
      </c>
      <c r="L9" s="46">
        <v>13125</v>
      </c>
      <c r="M9" s="45">
        <v>13125</v>
      </c>
      <c r="N9" s="44">
        <f t="shared" ref="N9:N31" si="3">AVERAGE(L9:M9)</f>
        <v>13125</v>
      </c>
      <c r="O9" s="46">
        <v>13355</v>
      </c>
      <c r="P9" s="45">
        <v>13355</v>
      </c>
      <c r="Q9" s="44">
        <f t="shared" ref="Q9:Q31" si="4">AVERAGE(O9:P9)</f>
        <v>13355</v>
      </c>
      <c r="R9" s="52">
        <v>12555</v>
      </c>
      <c r="S9" s="51">
        <v>1.2390000000000001</v>
      </c>
      <c r="T9" s="53">
        <v>1.1204000000000001</v>
      </c>
      <c r="U9" s="50">
        <v>107.46</v>
      </c>
      <c r="V9" s="43">
        <v>10133.17</v>
      </c>
      <c r="W9" s="43">
        <v>10179.879999999999</v>
      </c>
      <c r="X9" s="49">
        <f t="shared" ref="X9:X31" si="5">R9/T9</f>
        <v>11205.819350232059</v>
      </c>
      <c r="Y9" s="48">
        <v>1.2397</v>
      </c>
    </row>
    <row r="10" spans="1:25" x14ac:dyDescent="0.2">
      <c r="B10" s="47">
        <v>44014</v>
      </c>
      <c r="C10" s="46">
        <v>12823</v>
      </c>
      <c r="D10" s="45">
        <v>12823</v>
      </c>
      <c r="E10" s="44">
        <f t="shared" si="0"/>
        <v>12823</v>
      </c>
      <c r="F10" s="46">
        <v>12873</v>
      </c>
      <c r="G10" s="45">
        <v>12873</v>
      </c>
      <c r="H10" s="44">
        <f t="shared" si="1"/>
        <v>12873</v>
      </c>
      <c r="I10" s="46">
        <v>13147</v>
      </c>
      <c r="J10" s="45">
        <v>13147</v>
      </c>
      <c r="K10" s="44">
        <f t="shared" si="2"/>
        <v>13147</v>
      </c>
      <c r="L10" s="46">
        <v>13377</v>
      </c>
      <c r="M10" s="45">
        <v>13377</v>
      </c>
      <c r="N10" s="44">
        <f t="shared" si="3"/>
        <v>13377</v>
      </c>
      <c r="O10" s="46">
        <v>13607</v>
      </c>
      <c r="P10" s="45">
        <v>13607</v>
      </c>
      <c r="Q10" s="44">
        <f t="shared" si="4"/>
        <v>13607</v>
      </c>
      <c r="R10" s="52">
        <v>12823</v>
      </c>
      <c r="S10" s="51">
        <v>1.2519</v>
      </c>
      <c r="T10" s="51">
        <v>1.1287</v>
      </c>
      <c r="U10" s="50">
        <v>107.46</v>
      </c>
      <c r="V10" s="43">
        <v>10242.83</v>
      </c>
      <c r="W10" s="43">
        <v>10277.02</v>
      </c>
      <c r="X10" s="49">
        <f t="shared" si="5"/>
        <v>11360.857623815007</v>
      </c>
      <c r="Y10" s="48">
        <v>1.2525999999999999</v>
      </c>
    </row>
    <row r="11" spans="1:25" x14ac:dyDescent="0.2">
      <c r="B11" s="47">
        <v>44015</v>
      </c>
      <c r="C11" s="46">
        <v>13040</v>
      </c>
      <c r="D11" s="45">
        <v>13040</v>
      </c>
      <c r="E11" s="44">
        <f t="shared" si="0"/>
        <v>13040</v>
      </c>
      <c r="F11" s="46">
        <v>13089</v>
      </c>
      <c r="G11" s="45">
        <v>13089</v>
      </c>
      <c r="H11" s="44">
        <f t="shared" si="1"/>
        <v>13089</v>
      </c>
      <c r="I11" s="46">
        <v>13358</v>
      </c>
      <c r="J11" s="45">
        <v>13358</v>
      </c>
      <c r="K11" s="44">
        <f t="shared" si="2"/>
        <v>13358</v>
      </c>
      <c r="L11" s="46">
        <v>13588</v>
      </c>
      <c r="M11" s="45">
        <v>13588</v>
      </c>
      <c r="N11" s="44">
        <f t="shared" si="3"/>
        <v>13588</v>
      </c>
      <c r="O11" s="46">
        <v>13818</v>
      </c>
      <c r="P11" s="45">
        <v>13818</v>
      </c>
      <c r="Q11" s="44">
        <f t="shared" si="4"/>
        <v>13818</v>
      </c>
      <c r="R11" s="52">
        <v>13040</v>
      </c>
      <c r="S11" s="51">
        <v>1.2454000000000001</v>
      </c>
      <c r="T11" s="51">
        <v>1.1224000000000001</v>
      </c>
      <c r="U11" s="50">
        <v>107.53</v>
      </c>
      <c r="V11" s="43">
        <v>10470.530000000001</v>
      </c>
      <c r="W11" s="43">
        <v>10504.82</v>
      </c>
      <c r="X11" s="49">
        <f t="shared" si="5"/>
        <v>11617.961511047753</v>
      </c>
      <c r="Y11" s="48">
        <v>1.246</v>
      </c>
    </row>
    <row r="12" spans="1:25" x14ac:dyDescent="0.2">
      <c r="B12" s="47">
        <v>44018</v>
      </c>
      <c r="C12" s="46">
        <v>13242</v>
      </c>
      <c r="D12" s="45">
        <v>13242</v>
      </c>
      <c r="E12" s="44">
        <f t="shared" si="0"/>
        <v>13242</v>
      </c>
      <c r="F12" s="46">
        <v>13308</v>
      </c>
      <c r="G12" s="45">
        <v>13308</v>
      </c>
      <c r="H12" s="44">
        <f t="shared" si="1"/>
        <v>13308</v>
      </c>
      <c r="I12" s="46">
        <v>13572</v>
      </c>
      <c r="J12" s="45">
        <v>13572</v>
      </c>
      <c r="K12" s="44">
        <f t="shared" si="2"/>
        <v>13572</v>
      </c>
      <c r="L12" s="46">
        <v>13794</v>
      </c>
      <c r="M12" s="45">
        <v>13794</v>
      </c>
      <c r="N12" s="44">
        <f t="shared" si="3"/>
        <v>13794</v>
      </c>
      <c r="O12" s="46">
        <v>14024</v>
      </c>
      <c r="P12" s="45">
        <v>14024</v>
      </c>
      <c r="Q12" s="44">
        <f t="shared" si="4"/>
        <v>14024</v>
      </c>
      <c r="R12" s="52">
        <v>13242</v>
      </c>
      <c r="S12" s="51">
        <v>1.2509999999999999</v>
      </c>
      <c r="T12" s="51">
        <v>1.1318999999999999</v>
      </c>
      <c r="U12" s="50">
        <v>107.53</v>
      </c>
      <c r="V12" s="43">
        <v>10585.13</v>
      </c>
      <c r="W12" s="43">
        <v>10631.94</v>
      </c>
      <c r="X12" s="49">
        <f t="shared" si="5"/>
        <v>11698.913331566393</v>
      </c>
      <c r="Y12" s="48">
        <v>1.2517</v>
      </c>
    </row>
    <row r="13" spans="1:25" x14ac:dyDescent="0.2">
      <c r="B13" s="47">
        <v>44019</v>
      </c>
      <c r="C13" s="46">
        <v>13231</v>
      </c>
      <c r="D13" s="45">
        <v>13231</v>
      </c>
      <c r="E13" s="44">
        <f t="shared" si="0"/>
        <v>13231</v>
      </c>
      <c r="F13" s="46">
        <v>13286</v>
      </c>
      <c r="G13" s="45">
        <v>13286</v>
      </c>
      <c r="H13" s="44">
        <f t="shared" si="1"/>
        <v>13286</v>
      </c>
      <c r="I13" s="46">
        <v>13552</v>
      </c>
      <c r="J13" s="45">
        <v>13552</v>
      </c>
      <c r="K13" s="44">
        <f t="shared" si="2"/>
        <v>13552</v>
      </c>
      <c r="L13" s="46">
        <v>13774</v>
      </c>
      <c r="M13" s="45">
        <v>13774</v>
      </c>
      <c r="N13" s="44">
        <f t="shared" si="3"/>
        <v>13774</v>
      </c>
      <c r="O13" s="46">
        <v>14004</v>
      </c>
      <c r="P13" s="45">
        <v>14004</v>
      </c>
      <c r="Q13" s="44">
        <f t="shared" si="4"/>
        <v>14004</v>
      </c>
      <c r="R13" s="52">
        <v>13231</v>
      </c>
      <c r="S13" s="51">
        <v>1.2519</v>
      </c>
      <c r="T13" s="51">
        <v>1.1291</v>
      </c>
      <c r="U13" s="50">
        <v>107.72</v>
      </c>
      <c r="V13" s="43">
        <v>10568.74</v>
      </c>
      <c r="W13" s="43">
        <v>10606.74</v>
      </c>
      <c r="X13" s="49">
        <f t="shared" si="5"/>
        <v>11718.182623328315</v>
      </c>
      <c r="Y13" s="48">
        <v>1.2525999999999999</v>
      </c>
    </row>
    <row r="14" spans="1:25" x14ac:dyDescent="0.2">
      <c r="B14" s="47">
        <v>44020</v>
      </c>
      <c r="C14" s="46">
        <v>13415</v>
      </c>
      <c r="D14" s="45">
        <v>13415</v>
      </c>
      <c r="E14" s="44">
        <f t="shared" si="0"/>
        <v>13415</v>
      </c>
      <c r="F14" s="46">
        <v>13465</v>
      </c>
      <c r="G14" s="45">
        <v>13465</v>
      </c>
      <c r="H14" s="44">
        <f t="shared" si="1"/>
        <v>13465</v>
      </c>
      <c r="I14" s="46">
        <v>13726</v>
      </c>
      <c r="J14" s="45">
        <v>13726</v>
      </c>
      <c r="K14" s="44">
        <f t="shared" si="2"/>
        <v>13726</v>
      </c>
      <c r="L14" s="46">
        <v>13951</v>
      </c>
      <c r="M14" s="45">
        <v>13951</v>
      </c>
      <c r="N14" s="44">
        <f t="shared" si="3"/>
        <v>13951</v>
      </c>
      <c r="O14" s="46">
        <v>14181</v>
      </c>
      <c r="P14" s="45">
        <v>14181</v>
      </c>
      <c r="Q14" s="44">
        <f t="shared" si="4"/>
        <v>14181</v>
      </c>
      <c r="R14" s="52">
        <v>13415</v>
      </c>
      <c r="S14" s="51">
        <v>1.2559</v>
      </c>
      <c r="T14" s="51">
        <v>1.129</v>
      </c>
      <c r="U14" s="50">
        <v>107.52</v>
      </c>
      <c r="V14" s="43">
        <v>10681.58</v>
      </c>
      <c r="W14" s="43">
        <v>10715.42</v>
      </c>
      <c r="X14" s="49">
        <f t="shared" si="5"/>
        <v>11882.196634189548</v>
      </c>
      <c r="Y14" s="48">
        <v>1.2565999999999999</v>
      </c>
    </row>
    <row r="15" spans="1:25" x14ac:dyDescent="0.2">
      <c r="B15" s="47">
        <v>44021</v>
      </c>
      <c r="C15" s="46">
        <v>13425</v>
      </c>
      <c r="D15" s="45">
        <v>13425</v>
      </c>
      <c r="E15" s="44">
        <f t="shared" si="0"/>
        <v>13425</v>
      </c>
      <c r="F15" s="46">
        <v>13478</v>
      </c>
      <c r="G15" s="45">
        <v>13478</v>
      </c>
      <c r="H15" s="44">
        <f t="shared" si="1"/>
        <v>13478</v>
      </c>
      <c r="I15" s="46">
        <v>13735</v>
      </c>
      <c r="J15" s="45">
        <v>13735</v>
      </c>
      <c r="K15" s="44">
        <f t="shared" si="2"/>
        <v>13735</v>
      </c>
      <c r="L15" s="46">
        <v>13956</v>
      </c>
      <c r="M15" s="45">
        <v>13956</v>
      </c>
      <c r="N15" s="44">
        <f t="shared" si="3"/>
        <v>13956</v>
      </c>
      <c r="O15" s="46">
        <v>14188</v>
      </c>
      <c r="P15" s="45">
        <v>14188</v>
      </c>
      <c r="Q15" s="44">
        <f t="shared" si="4"/>
        <v>14188</v>
      </c>
      <c r="R15" s="52">
        <v>13425</v>
      </c>
      <c r="S15" s="51">
        <v>1.2652000000000001</v>
      </c>
      <c r="T15" s="51">
        <v>1.1343000000000001</v>
      </c>
      <c r="U15" s="50">
        <v>107.29</v>
      </c>
      <c r="V15" s="43">
        <v>10610.97</v>
      </c>
      <c r="W15" s="43">
        <v>10647.81</v>
      </c>
      <c r="X15" s="49">
        <f t="shared" si="5"/>
        <v>11835.493255752446</v>
      </c>
      <c r="Y15" s="48">
        <v>1.2658</v>
      </c>
    </row>
    <row r="16" spans="1:25" x14ac:dyDescent="0.2">
      <c r="B16" s="47">
        <v>44022</v>
      </c>
      <c r="C16" s="46">
        <v>13070</v>
      </c>
      <c r="D16" s="45">
        <v>13070</v>
      </c>
      <c r="E16" s="44">
        <f t="shared" si="0"/>
        <v>13070</v>
      </c>
      <c r="F16" s="46">
        <v>13108</v>
      </c>
      <c r="G16" s="45">
        <v>13108</v>
      </c>
      <c r="H16" s="44">
        <f t="shared" si="1"/>
        <v>13108</v>
      </c>
      <c r="I16" s="46">
        <v>13367</v>
      </c>
      <c r="J16" s="45">
        <v>13367</v>
      </c>
      <c r="K16" s="44">
        <f t="shared" si="2"/>
        <v>13367</v>
      </c>
      <c r="L16" s="46">
        <v>13588</v>
      </c>
      <c r="M16" s="45">
        <v>13588</v>
      </c>
      <c r="N16" s="44">
        <f t="shared" si="3"/>
        <v>13588</v>
      </c>
      <c r="O16" s="46">
        <v>13818</v>
      </c>
      <c r="P16" s="45">
        <v>13818</v>
      </c>
      <c r="Q16" s="44">
        <f t="shared" si="4"/>
        <v>13818</v>
      </c>
      <c r="R16" s="52">
        <v>13070</v>
      </c>
      <c r="S16" s="51">
        <v>1.2599</v>
      </c>
      <c r="T16" s="51">
        <v>1.1286</v>
      </c>
      <c r="U16" s="50">
        <v>106.86</v>
      </c>
      <c r="V16" s="43">
        <v>10373.84</v>
      </c>
      <c r="W16" s="43">
        <v>10398.219999999999</v>
      </c>
      <c r="X16" s="49">
        <f t="shared" si="5"/>
        <v>11580.719475456317</v>
      </c>
      <c r="Y16" s="48">
        <v>1.2605999999999999</v>
      </c>
    </row>
    <row r="17" spans="2:25" x14ac:dyDescent="0.2">
      <c r="B17" s="47">
        <v>44025</v>
      </c>
      <c r="C17" s="46">
        <v>13482</v>
      </c>
      <c r="D17" s="45">
        <v>13482</v>
      </c>
      <c r="E17" s="44">
        <f t="shared" si="0"/>
        <v>13482</v>
      </c>
      <c r="F17" s="46">
        <v>13524</v>
      </c>
      <c r="G17" s="45">
        <v>13524</v>
      </c>
      <c r="H17" s="44">
        <f t="shared" si="1"/>
        <v>13524</v>
      </c>
      <c r="I17" s="46">
        <v>13777</v>
      </c>
      <c r="J17" s="45">
        <v>13777</v>
      </c>
      <c r="K17" s="44">
        <f t="shared" si="2"/>
        <v>13777</v>
      </c>
      <c r="L17" s="46">
        <v>13998</v>
      </c>
      <c r="M17" s="45">
        <v>13998</v>
      </c>
      <c r="N17" s="44">
        <f t="shared" si="3"/>
        <v>13998</v>
      </c>
      <c r="O17" s="46">
        <v>14228</v>
      </c>
      <c r="P17" s="45">
        <v>14228</v>
      </c>
      <c r="Q17" s="44">
        <f t="shared" si="4"/>
        <v>14228</v>
      </c>
      <c r="R17" s="52">
        <v>13482</v>
      </c>
      <c r="S17" s="51">
        <v>1.2604</v>
      </c>
      <c r="T17" s="51">
        <v>1.1335</v>
      </c>
      <c r="U17" s="50">
        <v>107.1</v>
      </c>
      <c r="V17" s="43">
        <v>10696.6</v>
      </c>
      <c r="W17" s="43">
        <v>10723.12</v>
      </c>
      <c r="X17" s="49">
        <f t="shared" si="5"/>
        <v>11894.133215703574</v>
      </c>
      <c r="Y17" s="48">
        <v>1.2612000000000001</v>
      </c>
    </row>
    <row r="18" spans="2:25" x14ac:dyDescent="0.2">
      <c r="B18" s="47">
        <v>44026</v>
      </c>
      <c r="C18" s="46">
        <v>13518</v>
      </c>
      <c r="D18" s="45">
        <v>13518</v>
      </c>
      <c r="E18" s="44">
        <f t="shared" si="0"/>
        <v>13518</v>
      </c>
      <c r="F18" s="46">
        <v>13567</v>
      </c>
      <c r="G18" s="45">
        <v>13567</v>
      </c>
      <c r="H18" s="44">
        <f t="shared" si="1"/>
        <v>13567</v>
      </c>
      <c r="I18" s="46">
        <v>13811</v>
      </c>
      <c r="J18" s="45">
        <v>13811</v>
      </c>
      <c r="K18" s="44">
        <f t="shared" si="2"/>
        <v>13811</v>
      </c>
      <c r="L18" s="46">
        <v>14026</v>
      </c>
      <c r="M18" s="45">
        <v>14026</v>
      </c>
      <c r="N18" s="44">
        <f t="shared" si="3"/>
        <v>14026</v>
      </c>
      <c r="O18" s="46">
        <v>14256</v>
      </c>
      <c r="P18" s="45">
        <v>14256</v>
      </c>
      <c r="Q18" s="44">
        <f t="shared" si="4"/>
        <v>14256</v>
      </c>
      <c r="R18" s="52">
        <v>13518</v>
      </c>
      <c r="S18" s="51">
        <v>1.2529999999999999</v>
      </c>
      <c r="T18" s="51">
        <v>1.1377999999999999</v>
      </c>
      <c r="U18" s="50">
        <v>107.37</v>
      </c>
      <c r="V18" s="43">
        <v>10788.51</v>
      </c>
      <c r="W18" s="43">
        <v>10821.57</v>
      </c>
      <c r="X18" s="49">
        <f t="shared" si="5"/>
        <v>11880.822640182811</v>
      </c>
      <c r="Y18" s="48">
        <v>1.2537</v>
      </c>
    </row>
    <row r="19" spans="2:25" x14ac:dyDescent="0.2">
      <c r="B19" s="47">
        <v>44027</v>
      </c>
      <c r="C19" s="46">
        <v>13512</v>
      </c>
      <c r="D19" s="45">
        <v>13512</v>
      </c>
      <c r="E19" s="44">
        <f t="shared" si="0"/>
        <v>13512</v>
      </c>
      <c r="F19" s="46">
        <v>13555</v>
      </c>
      <c r="G19" s="45">
        <v>13555</v>
      </c>
      <c r="H19" s="44">
        <f t="shared" si="1"/>
        <v>13555</v>
      </c>
      <c r="I19" s="46">
        <v>13798</v>
      </c>
      <c r="J19" s="45">
        <v>13798</v>
      </c>
      <c r="K19" s="44">
        <f t="shared" si="2"/>
        <v>13798</v>
      </c>
      <c r="L19" s="46">
        <v>14018</v>
      </c>
      <c r="M19" s="45">
        <v>14018</v>
      </c>
      <c r="N19" s="44">
        <f t="shared" si="3"/>
        <v>14018</v>
      </c>
      <c r="O19" s="46">
        <v>14248</v>
      </c>
      <c r="P19" s="45">
        <v>14248</v>
      </c>
      <c r="Q19" s="44">
        <f t="shared" si="4"/>
        <v>14248</v>
      </c>
      <c r="R19" s="52">
        <v>13512</v>
      </c>
      <c r="S19" s="51">
        <v>1.2632000000000001</v>
      </c>
      <c r="T19" s="51">
        <v>1.1438999999999999</v>
      </c>
      <c r="U19" s="50">
        <v>106.9</v>
      </c>
      <c r="V19" s="43">
        <v>10696.64</v>
      </c>
      <c r="W19" s="43">
        <v>10724.74</v>
      </c>
      <c r="X19" s="49">
        <f t="shared" si="5"/>
        <v>11812.221348019933</v>
      </c>
      <c r="Y19" s="48">
        <v>1.2639</v>
      </c>
    </row>
    <row r="20" spans="2:25" x14ac:dyDescent="0.2">
      <c r="B20" s="47">
        <v>44028</v>
      </c>
      <c r="C20" s="46">
        <v>13253</v>
      </c>
      <c r="D20" s="45">
        <v>13253</v>
      </c>
      <c r="E20" s="44">
        <f t="shared" si="0"/>
        <v>13253</v>
      </c>
      <c r="F20" s="46">
        <v>13289</v>
      </c>
      <c r="G20" s="45">
        <v>13289</v>
      </c>
      <c r="H20" s="44">
        <f t="shared" si="1"/>
        <v>13289</v>
      </c>
      <c r="I20" s="46">
        <v>13530</v>
      </c>
      <c r="J20" s="45">
        <v>13530</v>
      </c>
      <c r="K20" s="44">
        <f t="shared" si="2"/>
        <v>13530</v>
      </c>
      <c r="L20" s="46">
        <v>13750</v>
      </c>
      <c r="M20" s="45">
        <v>13750</v>
      </c>
      <c r="N20" s="44">
        <f t="shared" si="3"/>
        <v>13750</v>
      </c>
      <c r="O20" s="46">
        <v>13980</v>
      </c>
      <c r="P20" s="45">
        <v>13980</v>
      </c>
      <c r="Q20" s="44">
        <f t="shared" si="4"/>
        <v>13980</v>
      </c>
      <c r="R20" s="52">
        <v>13253</v>
      </c>
      <c r="S20" s="51">
        <v>1.2555000000000001</v>
      </c>
      <c r="T20" s="51">
        <v>1.1413</v>
      </c>
      <c r="U20" s="50">
        <v>107.09</v>
      </c>
      <c r="V20" s="43">
        <v>10555.95</v>
      </c>
      <c r="W20" s="43">
        <v>10579.57</v>
      </c>
      <c r="X20" s="49">
        <f t="shared" si="5"/>
        <v>11612.196617891877</v>
      </c>
      <c r="Y20" s="48">
        <v>1.2561</v>
      </c>
    </row>
    <row r="21" spans="2:25" x14ac:dyDescent="0.2">
      <c r="B21" s="47">
        <v>44029</v>
      </c>
      <c r="C21" s="46">
        <v>13281</v>
      </c>
      <c r="D21" s="45">
        <v>13281</v>
      </c>
      <c r="E21" s="44">
        <f t="shared" si="0"/>
        <v>13281</v>
      </c>
      <c r="F21" s="46">
        <v>13320</v>
      </c>
      <c r="G21" s="45">
        <v>13320</v>
      </c>
      <c r="H21" s="44">
        <f t="shared" si="1"/>
        <v>13320</v>
      </c>
      <c r="I21" s="46">
        <v>13562</v>
      </c>
      <c r="J21" s="45">
        <v>13562</v>
      </c>
      <c r="K21" s="44">
        <f t="shared" si="2"/>
        <v>13562</v>
      </c>
      <c r="L21" s="46">
        <v>13782</v>
      </c>
      <c r="M21" s="45">
        <v>13782</v>
      </c>
      <c r="N21" s="44">
        <f t="shared" si="3"/>
        <v>13782</v>
      </c>
      <c r="O21" s="46">
        <v>14012</v>
      </c>
      <c r="P21" s="45">
        <v>14012</v>
      </c>
      <c r="Q21" s="44">
        <f t="shared" si="4"/>
        <v>14012</v>
      </c>
      <c r="R21" s="52">
        <v>13281</v>
      </c>
      <c r="S21" s="51">
        <v>1.2546999999999999</v>
      </c>
      <c r="T21" s="51">
        <v>1.1422000000000001</v>
      </c>
      <c r="U21" s="50">
        <v>107.22</v>
      </c>
      <c r="V21" s="43">
        <v>10585</v>
      </c>
      <c r="W21" s="43">
        <v>10611.01</v>
      </c>
      <c r="X21" s="49">
        <f t="shared" si="5"/>
        <v>11627.560847487304</v>
      </c>
      <c r="Y21" s="48">
        <v>1.2553000000000001</v>
      </c>
    </row>
    <row r="22" spans="2:25" x14ac:dyDescent="0.2">
      <c r="B22" s="47">
        <v>44032</v>
      </c>
      <c r="C22" s="46">
        <v>13162</v>
      </c>
      <c r="D22" s="45">
        <v>13162</v>
      </c>
      <c r="E22" s="44">
        <f t="shared" si="0"/>
        <v>13162</v>
      </c>
      <c r="F22" s="46">
        <v>13187</v>
      </c>
      <c r="G22" s="45">
        <v>13187</v>
      </c>
      <c r="H22" s="44">
        <f t="shared" si="1"/>
        <v>13187</v>
      </c>
      <c r="I22" s="46">
        <v>13428</v>
      </c>
      <c r="J22" s="45">
        <v>13428</v>
      </c>
      <c r="K22" s="44">
        <f t="shared" si="2"/>
        <v>13428</v>
      </c>
      <c r="L22" s="46">
        <v>13648</v>
      </c>
      <c r="M22" s="45">
        <v>13648</v>
      </c>
      <c r="N22" s="44">
        <f t="shared" si="3"/>
        <v>13648</v>
      </c>
      <c r="O22" s="46">
        <v>13878</v>
      </c>
      <c r="P22" s="45">
        <v>13878</v>
      </c>
      <c r="Q22" s="44">
        <f t="shared" si="4"/>
        <v>13878</v>
      </c>
      <c r="R22" s="52">
        <v>13162</v>
      </c>
      <c r="S22" s="51">
        <v>1.2634000000000001</v>
      </c>
      <c r="T22" s="51">
        <v>1.1447000000000001</v>
      </c>
      <c r="U22" s="50">
        <v>107.1</v>
      </c>
      <c r="V22" s="43">
        <v>10417.92</v>
      </c>
      <c r="W22" s="43">
        <v>10431.93</v>
      </c>
      <c r="X22" s="49">
        <f t="shared" si="5"/>
        <v>11498.209137765352</v>
      </c>
      <c r="Y22" s="48">
        <v>1.2641</v>
      </c>
    </row>
    <row r="23" spans="2:25" x14ac:dyDescent="0.2">
      <c r="B23" s="47">
        <v>44033</v>
      </c>
      <c r="C23" s="46">
        <v>13315</v>
      </c>
      <c r="D23" s="45">
        <v>13315</v>
      </c>
      <c r="E23" s="44">
        <f t="shared" si="0"/>
        <v>13315</v>
      </c>
      <c r="F23" s="46">
        <v>13367</v>
      </c>
      <c r="G23" s="45">
        <v>13367</v>
      </c>
      <c r="H23" s="44">
        <f t="shared" si="1"/>
        <v>13367</v>
      </c>
      <c r="I23" s="46">
        <v>13607</v>
      </c>
      <c r="J23" s="45">
        <v>13607</v>
      </c>
      <c r="K23" s="44">
        <f t="shared" si="2"/>
        <v>13607</v>
      </c>
      <c r="L23" s="46">
        <v>13827</v>
      </c>
      <c r="M23" s="45">
        <v>13827</v>
      </c>
      <c r="N23" s="44">
        <f t="shared" si="3"/>
        <v>13827</v>
      </c>
      <c r="O23" s="46">
        <v>14057</v>
      </c>
      <c r="P23" s="45">
        <v>14057</v>
      </c>
      <c r="Q23" s="44">
        <f t="shared" si="4"/>
        <v>14057</v>
      </c>
      <c r="R23" s="52">
        <v>13315</v>
      </c>
      <c r="S23" s="51">
        <v>1.2694000000000001</v>
      </c>
      <c r="T23" s="51">
        <v>1.1436999999999999</v>
      </c>
      <c r="U23" s="50">
        <v>107.24</v>
      </c>
      <c r="V23" s="43">
        <v>10489.21</v>
      </c>
      <c r="W23" s="43">
        <v>10525.2</v>
      </c>
      <c r="X23" s="49">
        <f t="shared" si="5"/>
        <v>11642.038996240273</v>
      </c>
      <c r="Y23" s="48">
        <v>1.27</v>
      </c>
    </row>
    <row r="24" spans="2:25" x14ac:dyDescent="0.2">
      <c r="B24" s="47">
        <v>44034</v>
      </c>
      <c r="C24" s="46">
        <v>13215</v>
      </c>
      <c r="D24" s="45">
        <v>13215</v>
      </c>
      <c r="E24" s="44">
        <f t="shared" si="0"/>
        <v>13215</v>
      </c>
      <c r="F24" s="46">
        <v>13260</v>
      </c>
      <c r="G24" s="45">
        <v>13260</v>
      </c>
      <c r="H24" s="44">
        <f t="shared" si="1"/>
        <v>13260</v>
      </c>
      <c r="I24" s="46">
        <v>13503</v>
      </c>
      <c r="J24" s="45">
        <v>13503</v>
      </c>
      <c r="K24" s="44">
        <f t="shared" si="2"/>
        <v>13503</v>
      </c>
      <c r="L24" s="46">
        <v>13724</v>
      </c>
      <c r="M24" s="45">
        <v>13724</v>
      </c>
      <c r="N24" s="44">
        <f t="shared" si="3"/>
        <v>13724</v>
      </c>
      <c r="O24" s="46">
        <v>13954</v>
      </c>
      <c r="P24" s="45">
        <v>13954</v>
      </c>
      <c r="Q24" s="44">
        <f t="shared" si="4"/>
        <v>13954</v>
      </c>
      <c r="R24" s="52">
        <v>13215</v>
      </c>
      <c r="S24" s="51">
        <v>1.2698</v>
      </c>
      <c r="T24" s="51">
        <v>1.1577999999999999</v>
      </c>
      <c r="U24" s="50">
        <v>106.98</v>
      </c>
      <c r="V24" s="43">
        <v>10407.15</v>
      </c>
      <c r="W24" s="43">
        <v>10437.66</v>
      </c>
      <c r="X24" s="49">
        <f t="shared" si="5"/>
        <v>11413.888409051649</v>
      </c>
      <c r="Y24" s="48">
        <v>1.2704</v>
      </c>
    </row>
    <row r="25" spans="2:25" x14ac:dyDescent="0.2">
      <c r="B25" s="47">
        <v>44035</v>
      </c>
      <c r="C25" s="46">
        <v>13460</v>
      </c>
      <c r="D25" s="45">
        <v>13460</v>
      </c>
      <c r="E25" s="44">
        <f t="shared" si="0"/>
        <v>13460</v>
      </c>
      <c r="F25" s="46">
        <v>13498</v>
      </c>
      <c r="G25" s="45">
        <v>13498</v>
      </c>
      <c r="H25" s="44">
        <f t="shared" si="1"/>
        <v>13498</v>
      </c>
      <c r="I25" s="46">
        <v>13738</v>
      </c>
      <c r="J25" s="45">
        <v>13738</v>
      </c>
      <c r="K25" s="44">
        <f t="shared" si="2"/>
        <v>13738</v>
      </c>
      <c r="L25" s="46">
        <v>13948</v>
      </c>
      <c r="M25" s="45">
        <v>13948</v>
      </c>
      <c r="N25" s="44">
        <f t="shared" si="3"/>
        <v>13948</v>
      </c>
      <c r="O25" s="46">
        <v>14178</v>
      </c>
      <c r="P25" s="45">
        <v>14178</v>
      </c>
      <c r="Q25" s="44">
        <f t="shared" si="4"/>
        <v>14178</v>
      </c>
      <c r="R25" s="52">
        <v>13460</v>
      </c>
      <c r="S25" s="51">
        <v>1.2689999999999999</v>
      </c>
      <c r="T25" s="51">
        <v>1.1572</v>
      </c>
      <c r="U25" s="50">
        <v>107.18</v>
      </c>
      <c r="V25" s="43">
        <v>10606.78</v>
      </c>
      <c r="W25" s="43">
        <v>10631.7</v>
      </c>
      <c r="X25" s="49">
        <f t="shared" si="5"/>
        <v>11631.524369166955</v>
      </c>
      <c r="Y25" s="48">
        <v>1.2696000000000001</v>
      </c>
    </row>
    <row r="26" spans="2:25" x14ac:dyDescent="0.2">
      <c r="B26" s="47">
        <v>44036</v>
      </c>
      <c r="C26" s="46">
        <v>13430</v>
      </c>
      <c r="D26" s="45">
        <v>13430</v>
      </c>
      <c r="E26" s="44">
        <f t="shared" si="0"/>
        <v>13430</v>
      </c>
      <c r="F26" s="46">
        <v>13465</v>
      </c>
      <c r="G26" s="45">
        <v>13465</v>
      </c>
      <c r="H26" s="44">
        <f t="shared" si="1"/>
        <v>13465</v>
      </c>
      <c r="I26" s="46">
        <v>13705</v>
      </c>
      <c r="J26" s="45">
        <v>13705</v>
      </c>
      <c r="K26" s="44">
        <f t="shared" si="2"/>
        <v>13705</v>
      </c>
      <c r="L26" s="46">
        <v>13913</v>
      </c>
      <c r="M26" s="45">
        <v>13913</v>
      </c>
      <c r="N26" s="44">
        <f t="shared" si="3"/>
        <v>13913</v>
      </c>
      <c r="O26" s="46">
        <v>14133</v>
      </c>
      <c r="P26" s="45">
        <v>14133</v>
      </c>
      <c r="Q26" s="44">
        <f t="shared" si="4"/>
        <v>14133</v>
      </c>
      <c r="R26" s="52">
        <v>13430</v>
      </c>
      <c r="S26" s="51">
        <v>1.2754000000000001</v>
      </c>
      <c r="T26" s="51">
        <v>1.1600999999999999</v>
      </c>
      <c r="U26" s="50">
        <v>106.22</v>
      </c>
      <c r="V26" s="43">
        <v>10530.03</v>
      </c>
      <c r="W26" s="43">
        <v>10552.51</v>
      </c>
      <c r="X26" s="49">
        <f t="shared" si="5"/>
        <v>11576.588225153006</v>
      </c>
      <c r="Y26" s="48">
        <v>1.276</v>
      </c>
    </row>
    <row r="27" spans="2:25" x14ac:dyDescent="0.2">
      <c r="B27" s="47">
        <v>44039</v>
      </c>
      <c r="C27" s="46">
        <v>13718</v>
      </c>
      <c r="D27" s="45">
        <v>13718</v>
      </c>
      <c r="E27" s="44">
        <f t="shared" si="0"/>
        <v>13718</v>
      </c>
      <c r="F27" s="46">
        <v>13773</v>
      </c>
      <c r="G27" s="45">
        <v>13773</v>
      </c>
      <c r="H27" s="44">
        <f t="shared" si="1"/>
        <v>13773</v>
      </c>
      <c r="I27" s="46">
        <v>14014</v>
      </c>
      <c r="J27" s="45">
        <v>14014</v>
      </c>
      <c r="K27" s="44">
        <f t="shared" si="2"/>
        <v>14014</v>
      </c>
      <c r="L27" s="46">
        <v>14229</v>
      </c>
      <c r="M27" s="45">
        <v>14229</v>
      </c>
      <c r="N27" s="44">
        <f t="shared" si="3"/>
        <v>14229</v>
      </c>
      <c r="O27" s="46">
        <v>14439</v>
      </c>
      <c r="P27" s="45">
        <v>14439</v>
      </c>
      <c r="Q27" s="44">
        <f t="shared" si="4"/>
        <v>14439</v>
      </c>
      <c r="R27" s="52">
        <v>13718</v>
      </c>
      <c r="S27" s="51">
        <v>1.2873000000000001</v>
      </c>
      <c r="T27" s="51">
        <v>1.1744000000000001</v>
      </c>
      <c r="U27" s="50">
        <v>105.31</v>
      </c>
      <c r="V27" s="43">
        <v>10656.41</v>
      </c>
      <c r="W27" s="43">
        <v>10694.15</v>
      </c>
      <c r="X27" s="49">
        <f t="shared" si="5"/>
        <v>11680.858310626701</v>
      </c>
      <c r="Y27" s="48">
        <v>1.2879</v>
      </c>
    </row>
    <row r="28" spans="2:25" x14ac:dyDescent="0.2">
      <c r="B28" s="47">
        <v>44040</v>
      </c>
      <c r="C28" s="46">
        <v>13470</v>
      </c>
      <c r="D28" s="45">
        <v>13470</v>
      </c>
      <c r="E28" s="44">
        <f t="shared" si="0"/>
        <v>13470</v>
      </c>
      <c r="F28" s="46">
        <v>13525</v>
      </c>
      <c r="G28" s="45">
        <v>13525</v>
      </c>
      <c r="H28" s="44">
        <f t="shared" si="1"/>
        <v>13525</v>
      </c>
      <c r="I28" s="46">
        <v>13758</v>
      </c>
      <c r="J28" s="45">
        <v>13758</v>
      </c>
      <c r="K28" s="44">
        <f t="shared" si="2"/>
        <v>13758</v>
      </c>
      <c r="L28" s="46">
        <v>13967</v>
      </c>
      <c r="M28" s="45">
        <v>13967</v>
      </c>
      <c r="N28" s="44">
        <f t="shared" si="3"/>
        <v>13967</v>
      </c>
      <c r="O28" s="46">
        <v>14178</v>
      </c>
      <c r="P28" s="45">
        <v>14178</v>
      </c>
      <c r="Q28" s="44">
        <f t="shared" si="4"/>
        <v>14178</v>
      </c>
      <c r="R28" s="52">
        <v>13470</v>
      </c>
      <c r="S28" s="51">
        <v>1.2864</v>
      </c>
      <c r="T28" s="51">
        <v>1.1705000000000001</v>
      </c>
      <c r="U28" s="50">
        <v>105.36</v>
      </c>
      <c r="V28" s="43">
        <v>10471.08</v>
      </c>
      <c r="W28" s="43">
        <v>10508.12</v>
      </c>
      <c r="X28" s="49">
        <f t="shared" si="5"/>
        <v>11507.902605724048</v>
      </c>
      <c r="Y28" s="48">
        <v>1.2870999999999999</v>
      </c>
    </row>
    <row r="29" spans="2:25" x14ac:dyDescent="0.2">
      <c r="B29" s="47">
        <v>44041</v>
      </c>
      <c r="C29" s="46">
        <v>13762</v>
      </c>
      <c r="D29" s="45">
        <v>13762</v>
      </c>
      <c r="E29" s="44">
        <f t="shared" si="0"/>
        <v>13762</v>
      </c>
      <c r="F29" s="46">
        <v>13809</v>
      </c>
      <c r="G29" s="45">
        <v>13809</v>
      </c>
      <c r="H29" s="44">
        <f t="shared" si="1"/>
        <v>13809</v>
      </c>
      <c r="I29" s="46">
        <v>14043</v>
      </c>
      <c r="J29" s="45">
        <v>14043</v>
      </c>
      <c r="K29" s="44">
        <f t="shared" si="2"/>
        <v>14043</v>
      </c>
      <c r="L29" s="46">
        <v>14249</v>
      </c>
      <c r="M29" s="45">
        <v>14249</v>
      </c>
      <c r="N29" s="44">
        <f t="shared" si="3"/>
        <v>14249</v>
      </c>
      <c r="O29" s="46">
        <v>14460</v>
      </c>
      <c r="P29" s="45">
        <v>14460</v>
      </c>
      <c r="Q29" s="44">
        <f t="shared" si="4"/>
        <v>14460</v>
      </c>
      <c r="R29" s="52">
        <v>13762</v>
      </c>
      <c r="S29" s="51">
        <v>1.2965</v>
      </c>
      <c r="T29" s="51">
        <v>1.1722999999999999</v>
      </c>
      <c r="U29" s="50">
        <v>105.15</v>
      </c>
      <c r="V29" s="43">
        <v>10614.73</v>
      </c>
      <c r="W29" s="43">
        <v>10645.24</v>
      </c>
      <c r="X29" s="49">
        <f t="shared" si="5"/>
        <v>11739.315874776083</v>
      </c>
      <c r="Y29" s="48">
        <v>1.2971999999999999</v>
      </c>
    </row>
    <row r="30" spans="2:25" x14ac:dyDescent="0.2">
      <c r="B30" s="47">
        <v>44042</v>
      </c>
      <c r="C30" s="46">
        <v>13716</v>
      </c>
      <c r="D30" s="45">
        <v>13716</v>
      </c>
      <c r="E30" s="44">
        <f t="shared" si="0"/>
        <v>13716</v>
      </c>
      <c r="F30" s="46">
        <v>13771</v>
      </c>
      <c r="G30" s="45">
        <v>13771</v>
      </c>
      <c r="H30" s="44">
        <f t="shared" si="1"/>
        <v>13771</v>
      </c>
      <c r="I30" s="46">
        <v>14010</v>
      </c>
      <c r="J30" s="45">
        <v>14010</v>
      </c>
      <c r="K30" s="44">
        <f t="shared" si="2"/>
        <v>14010</v>
      </c>
      <c r="L30" s="46">
        <v>14220</v>
      </c>
      <c r="M30" s="45">
        <v>14220</v>
      </c>
      <c r="N30" s="44">
        <f t="shared" si="3"/>
        <v>14220</v>
      </c>
      <c r="O30" s="46">
        <v>14435</v>
      </c>
      <c r="P30" s="45">
        <v>14435</v>
      </c>
      <c r="Q30" s="44">
        <f t="shared" si="4"/>
        <v>14435</v>
      </c>
      <c r="R30" s="52">
        <v>13716</v>
      </c>
      <c r="S30" s="51">
        <v>1.3019000000000001</v>
      </c>
      <c r="T30" s="51">
        <v>1.1749000000000001</v>
      </c>
      <c r="U30" s="50">
        <v>105.19</v>
      </c>
      <c r="V30" s="43">
        <v>10535.37</v>
      </c>
      <c r="W30" s="43">
        <v>10572.74</v>
      </c>
      <c r="X30" s="49">
        <f t="shared" si="5"/>
        <v>11674.185037024426</v>
      </c>
      <c r="Y30" s="48">
        <v>1.3025</v>
      </c>
    </row>
    <row r="31" spans="2:25" x14ac:dyDescent="0.2">
      <c r="B31" s="47">
        <v>44043</v>
      </c>
      <c r="C31" s="46">
        <v>13756</v>
      </c>
      <c r="D31" s="45">
        <v>13756</v>
      </c>
      <c r="E31" s="44">
        <f t="shared" si="0"/>
        <v>13756</v>
      </c>
      <c r="F31" s="46">
        <v>13806</v>
      </c>
      <c r="G31" s="45">
        <v>13806</v>
      </c>
      <c r="H31" s="44">
        <f t="shared" si="1"/>
        <v>13806</v>
      </c>
      <c r="I31" s="46">
        <v>14044</v>
      </c>
      <c r="J31" s="45">
        <v>14044</v>
      </c>
      <c r="K31" s="44">
        <f t="shared" si="2"/>
        <v>14044</v>
      </c>
      <c r="L31" s="46">
        <v>14257</v>
      </c>
      <c r="M31" s="45">
        <v>14257</v>
      </c>
      <c r="N31" s="44">
        <f t="shared" si="3"/>
        <v>14257</v>
      </c>
      <c r="O31" s="46">
        <v>14472</v>
      </c>
      <c r="P31" s="45">
        <v>14472</v>
      </c>
      <c r="Q31" s="44">
        <f t="shared" si="4"/>
        <v>14472</v>
      </c>
      <c r="R31" s="52">
        <v>13756</v>
      </c>
      <c r="S31" s="51">
        <v>1.3142</v>
      </c>
      <c r="T31" s="51">
        <v>1.1840999999999999</v>
      </c>
      <c r="U31" s="50">
        <v>104.91</v>
      </c>
      <c r="V31" s="43">
        <v>10467.200000000001</v>
      </c>
      <c r="W31" s="43">
        <v>10500.46</v>
      </c>
      <c r="X31" s="49">
        <f t="shared" si="5"/>
        <v>11617.262055569632</v>
      </c>
      <c r="Y31" s="48">
        <v>1.3148</v>
      </c>
    </row>
    <row r="32" spans="2:25" s="10" customFormat="1" x14ac:dyDescent="0.2">
      <c r="B32" s="42" t="s">
        <v>11</v>
      </c>
      <c r="C32" s="41">
        <f>ROUND(AVERAGE(C9:C31),2)</f>
        <v>13341.35</v>
      </c>
      <c r="D32" s="40">
        <f>ROUND(AVERAGE(D9:D31),2)</f>
        <v>13341.35</v>
      </c>
      <c r="E32" s="39">
        <f>ROUND(AVERAGE(C32:D32),2)</f>
        <v>13341.35</v>
      </c>
      <c r="F32" s="41">
        <f>ROUND(AVERAGE(F9:F31),2)</f>
        <v>13388.83</v>
      </c>
      <c r="G32" s="40">
        <f>ROUND(AVERAGE(G9:G31),2)</f>
        <v>13388.83</v>
      </c>
      <c r="H32" s="39">
        <f>ROUND(AVERAGE(F32:G32),2)</f>
        <v>13388.83</v>
      </c>
      <c r="I32" s="41">
        <f>ROUND(AVERAGE(I9:I31),2)</f>
        <v>13638.26</v>
      </c>
      <c r="J32" s="40">
        <f>ROUND(AVERAGE(J9:J31),2)</f>
        <v>13638.26</v>
      </c>
      <c r="K32" s="39">
        <f>ROUND(AVERAGE(I32:J32),2)</f>
        <v>13638.26</v>
      </c>
      <c r="L32" s="41">
        <f>ROUND(AVERAGE(L9:L31),2)</f>
        <v>13856.91</v>
      </c>
      <c r="M32" s="40">
        <f>ROUND(AVERAGE(M9:M31),2)</f>
        <v>13856.91</v>
      </c>
      <c r="N32" s="39">
        <f>ROUND(AVERAGE(L32:M32),2)</f>
        <v>13856.91</v>
      </c>
      <c r="O32" s="41">
        <f>ROUND(AVERAGE(O9:O31),2)</f>
        <v>14082.74</v>
      </c>
      <c r="P32" s="40">
        <f>ROUND(AVERAGE(P9:P31),2)</f>
        <v>14082.74</v>
      </c>
      <c r="Q32" s="39">
        <f>ROUND(AVERAGE(O32:P32),2)</f>
        <v>14082.74</v>
      </c>
      <c r="R32" s="38">
        <f>ROUND(AVERAGE(R9:R31),2)</f>
        <v>13341.35</v>
      </c>
      <c r="S32" s="37">
        <f>ROUND(AVERAGE(S9:S31),4)</f>
        <v>1.2669999999999999</v>
      </c>
      <c r="T32" s="36">
        <f>ROUND(AVERAGE(T9:T31),4)</f>
        <v>1.1462000000000001</v>
      </c>
      <c r="U32" s="175">
        <f>ROUND(AVERAGE(U9:U31),2)</f>
        <v>106.77</v>
      </c>
      <c r="V32" s="35">
        <f>AVERAGE(V9:V31)</f>
        <v>10529.798695652175</v>
      </c>
      <c r="W32" s="35">
        <f>AVERAGE(W9:W31)</f>
        <v>10561.807391304348</v>
      </c>
      <c r="X32" s="35">
        <f>AVERAGE(X9:X31)</f>
        <v>11639.515282424845</v>
      </c>
      <c r="Y32" s="34">
        <f>AVERAGE(Y9:Y31)</f>
        <v>1.2676260869565217</v>
      </c>
    </row>
    <row r="33" spans="2:25" s="5" customFormat="1" x14ac:dyDescent="0.2">
      <c r="B33" s="33" t="s">
        <v>12</v>
      </c>
      <c r="C33" s="32">
        <f t="shared" ref="C33:Y33" si="6">MAX(C9:C31)</f>
        <v>13762</v>
      </c>
      <c r="D33" s="31">
        <f t="shared" si="6"/>
        <v>13762</v>
      </c>
      <c r="E33" s="30">
        <f t="shared" si="6"/>
        <v>13762</v>
      </c>
      <c r="F33" s="32">
        <f t="shared" si="6"/>
        <v>13809</v>
      </c>
      <c r="G33" s="31">
        <f t="shared" si="6"/>
        <v>13809</v>
      </c>
      <c r="H33" s="30">
        <f t="shared" si="6"/>
        <v>13809</v>
      </c>
      <c r="I33" s="32">
        <f t="shared" si="6"/>
        <v>14044</v>
      </c>
      <c r="J33" s="31">
        <f t="shared" si="6"/>
        <v>14044</v>
      </c>
      <c r="K33" s="30">
        <f t="shared" si="6"/>
        <v>14044</v>
      </c>
      <c r="L33" s="32">
        <f t="shared" si="6"/>
        <v>14257</v>
      </c>
      <c r="M33" s="31">
        <f t="shared" si="6"/>
        <v>14257</v>
      </c>
      <c r="N33" s="30">
        <f t="shared" si="6"/>
        <v>14257</v>
      </c>
      <c r="O33" s="32">
        <f t="shared" si="6"/>
        <v>14472</v>
      </c>
      <c r="P33" s="31">
        <f t="shared" si="6"/>
        <v>14472</v>
      </c>
      <c r="Q33" s="30">
        <f t="shared" si="6"/>
        <v>14472</v>
      </c>
      <c r="R33" s="29">
        <f t="shared" si="6"/>
        <v>13762</v>
      </c>
      <c r="S33" s="28">
        <f t="shared" si="6"/>
        <v>1.3142</v>
      </c>
      <c r="T33" s="27">
        <f t="shared" si="6"/>
        <v>1.1840999999999999</v>
      </c>
      <c r="U33" s="26">
        <f t="shared" si="6"/>
        <v>107.72</v>
      </c>
      <c r="V33" s="25">
        <f t="shared" si="6"/>
        <v>10788.51</v>
      </c>
      <c r="W33" s="25">
        <f t="shared" si="6"/>
        <v>10821.57</v>
      </c>
      <c r="X33" s="25">
        <f t="shared" si="6"/>
        <v>11894.133215703574</v>
      </c>
      <c r="Y33" s="24">
        <f t="shared" si="6"/>
        <v>1.3148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12555</v>
      </c>
      <c r="D34" s="21">
        <f t="shared" si="7"/>
        <v>12555</v>
      </c>
      <c r="E34" s="20">
        <f t="shared" si="7"/>
        <v>12555</v>
      </c>
      <c r="F34" s="22">
        <f t="shared" si="7"/>
        <v>12620</v>
      </c>
      <c r="G34" s="21">
        <f t="shared" si="7"/>
        <v>12620</v>
      </c>
      <c r="H34" s="20">
        <f t="shared" si="7"/>
        <v>12620</v>
      </c>
      <c r="I34" s="22">
        <f t="shared" si="7"/>
        <v>12895</v>
      </c>
      <c r="J34" s="21">
        <f t="shared" si="7"/>
        <v>12895</v>
      </c>
      <c r="K34" s="20">
        <f t="shared" si="7"/>
        <v>12895</v>
      </c>
      <c r="L34" s="22">
        <f t="shared" si="7"/>
        <v>13125</v>
      </c>
      <c r="M34" s="21">
        <f t="shared" si="7"/>
        <v>13125</v>
      </c>
      <c r="N34" s="20">
        <f t="shared" si="7"/>
        <v>13125</v>
      </c>
      <c r="O34" s="22">
        <f t="shared" si="7"/>
        <v>13355</v>
      </c>
      <c r="P34" s="21">
        <f t="shared" si="7"/>
        <v>13355</v>
      </c>
      <c r="Q34" s="20">
        <f t="shared" si="7"/>
        <v>13355</v>
      </c>
      <c r="R34" s="19">
        <f t="shared" si="7"/>
        <v>12555</v>
      </c>
      <c r="S34" s="18">
        <f t="shared" si="7"/>
        <v>1.2390000000000001</v>
      </c>
      <c r="T34" s="17">
        <f t="shared" si="7"/>
        <v>1.1204000000000001</v>
      </c>
      <c r="U34" s="16">
        <f t="shared" si="7"/>
        <v>104.91</v>
      </c>
      <c r="V34" s="15">
        <f t="shared" si="7"/>
        <v>10133.17</v>
      </c>
      <c r="W34" s="15">
        <f t="shared" si="7"/>
        <v>10179.879999999999</v>
      </c>
      <c r="X34" s="15">
        <f t="shared" si="7"/>
        <v>11205.819350232059</v>
      </c>
      <c r="Y34" s="14">
        <f t="shared" si="7"/>
        <v>1.2397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44013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44013</v>
      </c>
      <c r="C9" s="46">
        <v>28500</v>
      </c>
      <c r="D9" s="45">
        <v>28500</v>
      </c>
      <c r="E9" s="44">
        <f t="shared" ref="E9:E31" si="0">AVERAGE(C9:D9)</f>
        <v>28500</v>
      </c>
      <c r="F9" s="46">
        <v>28500</v>
      </c>
      <c r="G9" s="45">
        <v>28500</v>
      </c>
      <c r="H9" s="44">
        <f t="shared" ref="H9:H31" si="1">AVERAGE(F9:G9)</f>
        <v>28500</v>
      </c>
      <c r="I9" s="46">
        <v>30305</v>
      </c>
      <c r="J9" s="45">
        <v>30305</v>
      </c>
      <c r="K9" s="44">
        <f t="shared" ref="K9:K31" si="2">AVERAGE(I9:J9)</f>
        <v>30305</v>
      </c>
      <c r="L9" s="52">
        <v>28500</v>
      </c>
      <c r="M9" s="51">
        <v>1.2390000000000001</v>
      </c>
      <c r="N9" s="53">
        <v>1.1204000000000001</v>
      </c>
      <c r="O9" s="50">
        <v>107.46</v>
      </c>
      <c r="P9" s="43">
        <v>23002.42</v>
      </c>
      <c r="Q9" s="43">
        <v>22989.43</v>
      </c>
      <c r="R9" s="49">
        <f t="shared" ref="R9:R31" si="3">L9/N9</f>
        <v>25437.343805783647</v>
      </c>
      <c r="S9" s="48">
        <v>1.2397</v>
      </c>
    </row>
    <row r="10" spans="1:19" x14ac:dyDescent="0.2">
      <c r="B10" s="47">
        <v>44014</v>
      </c>
      <c r="C10" s="46">
        <v>28500</v>
      </c>
      <c r="D10" s="45">
        <v>28500</v>
      </c>
      <c r="E10" s="44">
        <f t="shared" si="0"/>
        <v>28500</v>
      </c>
      <c r="F10" s="46">
        <v>28500</v>
      </c>
      <c r="G10" s="45">
        <v>28500</v>
      </c>
      <c r="H10" s="44">
        <f t="shared" si="1"/>
        <v>28500</v>
      </c>
      <c r="I10" s="46">
        <v>30300</v>
      </c>
      <c r="J10" s="45">
        <v>30300</v>
      </c>
      <c r="K10" s="44">
        <f t="shared" si="2"/>
        <v>30300</v>
      </c>
      <c r="L10" s="52">
        <v>28500</v>
      </c>
      <c r="M10" s="51">
        <v>1.2519</v>
      </c>
      <c r="N10" s="51">
        <v>1.1287</v>
      </c>
      <c r="O10" s="50">
        <v>107.46</v>
      </c>
      <c r="P10" s="43">
        <v>22765.4</v>
      </c>
      <c r="Q10" s="43">
        <v>22752.67</v>
      </c>
      <c r="R10" s="49">
        <f t="shared" si="3"/>
        <v>25250.287941880037</v>
      </c>
      <c r="S10" s="48">
        <v>1.2525999999999999</v>
      </c>
    </row>
    <row r="11" spans="1:19" x14ac:dyDescent="0.2">
      <c r="B11" s="47">
        <v>44015</v>
      </c>
      <c r="C11" s="46">
        <v>28500</v>
      </c>
      <c r="D11" s="45">
        <v>28500</v>
      </c>
      <c r="E11" s="44">
        <f t="shared" si="0"/>
        <v>28500</v>
      </c>
      <c r="F11" s="46">
        <v>28500</v>
      </c>
      <c r="G11" s="45">
        <v>28500</v>
      </c>
      <c r="H11" s="44">
        <f t="shared" si="1"/>
        <v>28500</v>
      </c>
      <c r="I11" s="46">
        <v>30300</v>
      </c>
      <c r="J11" s="45">
        <v>30300</v>
      </c>
      <c r="K11" s="44">
        <f t="shared" si="2"/>
        <v>30300</v>
      </c>
      <c r="L11" s="52">
        <v>28500</v>
      </c>
      <c r="M11" s="51">
        <v>1.2454000000000001</v>
      </c>
      <c r="N11" s="51">
        <v>1.1224000000000001</v>
      </c>
      <c r="O11" s="50">
        <v>107.53</v>
      </c>
      <c r="P11" s="43">
        <v>22884.21</v>
      </c>
      <c r="Q11" s="43">
        <v>22873.19</v>
      </c>
      <c r="R11" s="49">
        <f t="shared" si="3"/>
        <v>25392.017106200998</v>
      </c>
      <c r="S11" s="48">
        <v>1.246</v>
      </c>
    </row>
    <row r="12" spans="1:19" x14ac:dyDescent="0.2">
      <c r="B12" s="47">
        <v>44018</v>
      </c>
      <c r="C12" s="46">
        <v>28500</v>
      </c>
      <c r="D12" s="45">
        <v>28500</v>
      </c>
      <c r="E12" s="44">
        <f t="shared" si="0"/>
        <v>28500</v>
      </c>
      <c r="F12" s="46">
        <v>28500</v>
      </c>
      <c r="G12" s="45">
        <v>28500</v>
      </c>
      <c r="H12" s="44">
        <f t="shared" si="1"/>
        <v>28500</v>
      </c>
      <c r="I12" s="46">
        <v>30290</v>
      </c>
      <c r="J12" s="45">
        <v>30290</v>
      </c>
      <c r="K12" s="44">
        <f t="shared" si="2"/>
        <v>30290</v>
      </c>
      <c r="L12" s="52">
        <v>28500</v>
      </c>
      <c r="M12" s="51">
        <v>1.2509999999999999</v>
      </c>
      <c r="N12" s="51">
        <v>1.1318999999999999</v>
      </c>
      <c r="O12" s="50">
        <v>107.53</v>
      </c>
      <c r="P12" s="43">
        <v>22781.77</v>
      </c>
      <c r="Q12" s="43">
        <v>22769.03</v>
      </c>
      <c r="R12" s="49">
        <f t="shared" si="3"/>
        <v>25178.902729923138</v>
      </c>
      <c r="S12" s="48">
        <v>1.2517</v>
      </c>
    </row>
    <row r="13" spans="1:19" x14ac:dyDescent="0.2">
      <c r="B13" s="47">
        <v>44019</v>
      </c>
      <c r="C13" s="46">
        <v>28500</v>
      </c>
      <c r="D13" s="45">
        <v>28500</v>
      </c>
      <c r="E13" s="44">
        <f t="shared" si="0"/>
        <v>28500</v>
      </c>
      <c r="F13" s="46">
        <v>28500</v>
      </c>
      <c r="G13" s="45">
        <v>28500</v>
      </c>
      <c r="H13" s="44">
        <f t="shared" si="1"/>
        <v>28500</v>
      </c>
      <c r="I13" s="46">
        <v>30285</v>
      </c>
      <c r="J13" s="45">
        <v>30285</v>
      </c>
      <c r="K13" s="44">
        <f t="shared" si="2"/>
        <v>30285</v>
      </c>
      <c r="L13" s="52">
        <v>28500</v>
      </c>
      <c r="M13" s="51">
        <v>1.2519</v>
      </c>
      <c r="N13" s="51">
        <v>1.1291</v>
      </c>
      <c r="O13" s="50">
        <v>107.72</v>
      </c>
      <c r="P13" s="43">
        <v>22765.4</v>
      </c>
      <c r="Q13" s="43">
        <v>22752.67</v>
      </c>
      <c r="R13" s="49">
        <f t="shared" si="3"/>
        <v>25241.342662297404</v>
      </c>
      <c r="S13" s="48">
        <v>1.2525999999999999</v>
      </c>
    </row>
    <row r="14" spans="1:19" x14ac:dyDescent="0.2">
      <c r="B14" s="47">
        <v>44020</v>
      </c>
      <c r="C14" s="46">
        <v>28500</v>
      </c>
      <c r="D14" s="45">
        <v>28500</v>
      </c>
      <c r="E14" s="44">
        <f t="shared" si="0"/>
        <v>28500</v>
      </c>
      <c r="F14" s="46">
        <v>28500</v>
      </c>
      <c r="G14" s="45">
        <v>28500</v>
      </c>
      <c r="H14" s="44">
        <f t="shared" si="1"/>
        <v>28500</v>
      </c>
      <c r="I14" s="46">
        <v>30280</v>
      </c>
      <c r="J14" s="45">
        <v>30280</v>
      </c>
      <c r="K14" s="44">
        <f t="shared" si="2"/>
        <v>30280</v>
      </c>
      <c r="L14" s="52">
        <v>28500</v>
      </c>
      <c r="M14" s="51">
        <v>1.2559</v>
      </c>
      <c r="N14" s="51">
        <v>1.129</v>
      </c>
      <c r="O14" s="50">
        <v>107.52</v>
      </c>
      <c r="P14" s="43">
        <v>22692.89</v>
      </c>
      <c r="Q14" s="43">
        <v>22680.25</v>
      </c>
      <c r="R14" s="49">
        <f t="shared" si="3"/>
        <v>25243.578387953941</v>
      </c>
      <c r="S14" s="48">
        <v>1.2565999999999999</v>
      </c>
    </row>
    <row r="15" spans="1:19" x14ac:dyDescent="0.2">
      <c r="B15" s="47">
        <v>44021</v>
      </c>
      <c r="C15" s="46">
        <v>28500</v>
      </c>
      <c r="D15" s="45">
        <v>28500</v>
      </c>
      <c r="E15" s="44">
        <f t="shared" si="0"/>
        <v>28500</v>
      </c>
      <c r="F15" s="46">
        <v>28500</v>
      </c>
      <c r="G15" s="45">
        <v>28500</v>
      </c>
      <c r="H15" s="44">
        <f t="shared" si="1"/>
        <v>28500</v>
      </c>
      <c r="I15" s="46">
        <v>30280</v>
      </c>
      <c r="J15" s="45">
        <v>30280</v>
      </c>
      <c r="K15" s="44">
        <f t="shared" si="2"/>
        <v>30280</v>
      </c>
      <c r="L15" s="52">
        <v>28500</v>
      </c>
      <c r="M15" s="51">
        <v>1.2652000000000001</v>
      </c>
      <c r="N15" s="51">
        <v>1.1343000000000001</v>
      </c>
      <c r="O15" s="50">
        <v>107.29</v>
      </c>
      <c r="P15" s="43">
        <v>22526.080000000002</v>
      </c>
      <c r="Q15" s="43">
        <v>22515.41</v>
      </c>
      <c r="R15" s="49">
        <f t="shared" si="3"/>
        <v>25125.628140703517</v>
      </c>
      <c r="S15" s="48">
        <v>1.2658</v>
      </c>
    </row>
    <row r="16" spans="1:19" x14ac:dyDescent="0.2">
      <c r="B16" s="47">
        <v>44022</v>
      </c>
      <c r="C16" s="46">
        <v>28500</v>
      </c>
      <c r="D16" s="45">
        <v>28500</v>
      </c>
      <c r="E16" s="44">
        <f t="shared" si="0"/>
        <v>28500</v>
      </c>
      <c r="F16" s="46">
        <v>28500</v>
      </c>
      <c r="G16" s="45">
        <v>28500</v>
      </c>
      <c r="H16" s="44">
        <f t="shared" si="1"/>
        <v>28500</v>
      </c>
      <c r="I16" s="46">
        <v>30280</v>
      </c>
      <c r="J16" s="45">
        <v>30280</v>
      </c>
      <c r="K16" s="44">
        <f t="shared" si="2"/>
        <v>30280</v>
      </c>
      <c r="L16" s="52">
        <v>28500</v>
      </c>
      <c r="M16" s="51">
        <v>1.2599</v>
      </c>
      <c r="N16" s="51">
        <v>1.1286</v>
      </c>
      <c r="O16" s="50">
        <v>106.86</v>
      </c>
      <c r="P16" s="43">
        <v>22620.84</v>
      </c>
      <c r="Q16" s="43">
        <v>22608.28</v>
      </c>
      <c r="R16" s="49">
        <f t="shared" si="3"/>
        <v>25252.525252525251</v>
      </c>
      <c r="S16" s="48">
        <v>1.2605999999999999</v>
      </c>
    </row>
    <row r="17" spans="2:19" x14ac:dyDescent="0.2">
      <c r="B17" s="47">
        <v>44025</v>
      </c>
      <c r="C17" s="46">
        <v>28500</v>
      </c>
      <c r="D17" s="45">
        <v>28500</v>
      </c>
      <c r="E17" s="44">
        <f t="shared" si="0"/>
        <v>28500</v>
      </c>
      <c r="F17" s="46">
        <v>28500</v>
      </c>
      <c r="G17" s="45">
        <v>28500</v>
      </c>
      <c r="H17" s="44">
        <f t="shared" si="1"/>
        <v>28500</v>
      </c>
      <c r="I17" s="46">
        <v>30265</v>
      </c>
      <c r="J17" s="45">
        <v>30265</v>
      </c>
      <c r="K17" s="44">
        <f t="shared" si="2"/>
        <v>30265</v>
      </c>
      <c r="L17" s="52">
        <v>28500</v>
      </c>
      <c r="M17" s="51">
        <v>1.2604</v>
      </c>
      <c r="N17" s="51">
        <v>1.1335</v>
      </c>
      <c r="O17" s="50">
        <v>107.1</v>
      </c>
      <c r="P17" s="43">
        <v>22611.87</v>
      </c>
      <c r="Q17" s="43">
        <v>22597.53</v>
      </c>
      <c r="R17" s="49">
        <f t="shared" si="3"/>
        <v>25143.361270401412</v>
      </c>
      <c r="S17" s="48">
        <v>1.2612000000000001</v>
      </c>
    </row>
    <row r="18" spans="2:19" x14ac:dyDescent="0.2">
      <c r="B18" s="47">
        <v>44026</v>
      </c>
      <c r="C18" s="46">
        <v>28500</v>
      </c>
      <c r="D18" s="45">
        <v>28500</v>
      </c>
      <c r="E18" s="44">
        <f t="shared" si="0"/>
        <v>28500</v>
      </c>
      <c r="F18" s="46">
        <v>28500</v>
      </c>
      <c r="G18" s="45">
        <v>28500</v>
      </c>
      <c r="H18" s="44">
        <f t="shared" si="1"/>
        <v>28500</v>
      </c>
      <c r="I18" s="46">
        <v>30265</v>
      </c>
      <c r="J18" s="45">
        <v>30265</v>
      </c>
      <c r="K18" s="44">
        <f t="shared" si="2"/>
        <v>30265</v>
      </c>
      <c r="L18" s="52">
        <v>28500</v>
      </c>
      <c r="M18" s="51">
        <v>1.2529999999999999</v>
      </c>
      <c r="N18" s="51">
        <v>1.1377999999999999</v>
      </c>
      <c r="O18" s="50">
        <v>107.37</v>
      </c>
      <c r="P18" s="43">
        <v>22745.41</v>
      </c>
      <c r="Q18" s="43">
        <v>22732.71</v>
      </c>
      <c r="R18" s="49">
        <f t="shared" si="3"/>
        <v>25048.338899630868</v>
      </c>
      <c r="S18" s="48">
        <v>1.2537</v>
      </c>
    </row>
    <row r="19" spans="2:19" x14ac:dyDescent="0.2">
      <c r="B19" s="47">
        <v>44027</v>
      </c>
      <c r="C19" s="46">
        <v>28500</v>
      </c>
      <c r="D19" s="45">
        <v>28500</v>
      </c>
      <c r="E19" s="44">
        <f t="shared" si="0"/>
        <v>28500</v>
      </c>
      <c r="F19" s="46">
        <v>28500</v>
      </c>
      <c r="G19" s="45">
        <v>28500</v>
      </c>
      <c r="H19" s="44">
        <f t="shared" si="1"/>
        <v>28500</v>
      </c>
      <c r="I19" s="46">
        <v>30260</v>
      </c>
      <c r="J19" s="45">
        <v>30260</v>
      </c>
      <c r="K19" s="44">
        <f t="shared" si="2"/>
        <v>30260</v>
      </c>
      <c r="L19" s="52">
        <v>28500</v>
      </c>
      <c r="M19" s="51">
        <v>1.2632000000000001</v>
      </c>
      <c r="N19" s="51">
        <v>1.1438999999999999</v>
      </c>
      <c r="O19" s="50">
        <v>106.9</v>
      </c>
      <c r="P19" s="43">
        <v>22561.75</v>
      </c>
      <c r="Q19" s="43">
        <v>22549.25</v>
      </c>
      <c r="R19" s="49">
        <f t="shared" si="3"/>
        <v>24914.765276685026</v>
      </c>
      <c r="S19" s="48">
        <v>1.2639</v>
      </c>
    </row>
    <row r="20" spans="2:19" x14ac:dyDescent="0.2">
      <c r="B20" s="47">
        <v>44028</v>
      </c>
      <c r="C20" s="46">
        <v>28500</v>
      </c>
      <c r="D20" s="45">
        <v>28500</v>
      </c>
      <c r="E20" s="44">
        <f t="shared" si="0"/>
        <v>28500</v>
      </c>
      <c r="F20" s="46">
        <v>28500</v>
      </c>
      <c r="G20" s="45">
        <v>28500</v>
      </c>
      <c r="H20" s="44">
        <f t="shared" si="1"/>
        <v>28500</v>
      </c>
      <c r="I20" s="46">
        <v>30255</v>
      </c>
      <c r="J20" s="45">
        <v>30255</v>
      </c>
      <c r="K20" s="44">
        <f t="shared" si="2"/>
        <v>30255</v>
      </c>
      <c r="L20" s="52">
        <v>28500</v>
      </c>
      <c r="M20" s="51">
        <v>1.2555000000000001</v>
      </c>
      <c r="N20" s="51">
        <v>1.1413</v>
      </c>
      <c r="O20" s="50">
        <v>107.09</v>
      </c>
      <c r="P20" s="43">
        <v>22700.12</v>
      </c>
      <c r="Q20" s="43">
        <v>22689.279999999999</v>
      </c>
      <c r="R20" s="49">
        <f t="shared" si="3"/>
        <v>24971.523701042672</v>
      </c>
      <c r="S20" s="48">
        <v>1.2561</v>
      </c>
    </row>
    <row r="21" spans="2:19" x14ac:dyDescent="0.2">
      <c r="B21" s="47">
        <v>44029</v>
      </c>
      <c r="C21" s="46">
        <v>28500</v>
      </c>
      <c r="D21" s="45">
        <v>28500</v>
      </c>
      <c r="E21" s="44">
        <f t="shared" si="0"/>
        <v>28500</v>
      </c>
      <c r="F21" s="46">
        <v>28500</v>
      </c>
      <c r="G21" s="45">
        <v>28500</v>
      </c>
      <c r="H21" s="44">
        <f t="shared" si="1"/>
        <v>28500</v>
      </c>
      <c r="I21" s="46">
        <v>30255</v>
      </c>
      <c r="J21" s="45">
        <v>30255</v>
      </c>
      <c r="K21" s="44">
        <f t="shared" si="2"/>
        <v>30255</v>
      </c>
      <c r="L21" s="52">
        <v>28500</v>
      </c>
      <c r="M21" s="51">
        <v>1.2546999999999999</v>
      </c>
      <c r="N21" s="51">
        <v>1.1422000000000001</v>
      </c>
      <c r="O21" s="50">
        <v>107.22</v>
      </c>
      <c r="P21" s="43">
        <v>22714.59</v>
      </c>
      <c r="Q21" s="43">
        <v>22703.74</v>
      </c>
      <c r="R21" s="49">
        <f t="shared" si="3"/>
        <v>24951.847312204514</v>
      </c>
      <c r="S21" s="48">
        <v>1.2553000000000001</v>
      </c>
    </row>
    <row r="22" spans="2:19" x14ac:dyDescent="0.2">
      <c r="B22" s="47">
        <v>44032</v>
      </c>
      <c r="C22" s="46">
        <v>28500</v>
      </c>
      <c r="D22" s="45">
        <v>28500</v>
      </c>
      <c r="E22" s="44">
        <f t="shared" si="0"/>
        <v>28500</v>
      </c>
      <c r="F22" s="46">
        <v>28500</v>
      </c>
      <c r="G22" s="45">
        <v>28500</v>
      </c>
      <c r="H22" s="44">
        <f t="shared" si="1"/>
        <v>28500</v>
      </c>
      <c r="I22" s="46">
        <v>30245</v>
      </c>
      <c r="J22" s="45">
        <v>30245</v>
      </c>
      <c r="K22" s="44">
        <f t="shared" si="2"/>
        <v>30245</v>
      </c>
      <c r="L22" s="52">
        <v>28500</v>
      </c>
      <c r="M22" s="51">
        <v>1.2634000000000001</v>
      </c>
      <c r="N22" s="51">
        <v>1.1447000000000001</v>
      </c>
      <c r="O22" s="50">
        <v>107.1</v>
      </c>
      <c r="P22" s="43">
        <v>22558.18</v>
      </c>
      <c r="Q22" s="43">
        <v>22545.68</v>
      </c>
      <c r="R22" s="49">
        <f t="shared" si="3"/>
        <v>24897.353018258058</v>
      </c>
      <c r="S22" s="48">
        <v>1.2641</v>
      </c>
    </row>
    <row r="23" spans="2:19" x14ac:dyDescent="0.2">
      <c r="B23" s="47">
        <v>44033</v>
      </c>
      <c r="C23" s="46">
        <v>28500</v>
      </c>
      <c r="D23" s="45">
        <v>28500</v>
      </c>
      <c r="E23" s="44">
        <f t="shared" si="0"/>
        <v>28500</v>
      </c>
      <c r="F23" s="46">
        <v>28500</v>
      </c>
      <c r="G23" s="45">
        <v>28500</v>
      </c>
      <c r="H23" s="44">
        <f t="shared" si="1"/>
        <v>28500</v>
      </c>
      <c r="I23" s="46">
        <v>30240</v>
      </c>
      <c r="J23" s="45">
        <v>30240</v>
      </c>
      <c r="K23" s="44">
        <f t="shared" si="2"/>
        <v>30240</v>
      </c>
      <c r="L23" s="52">
        <v>28500</v>
      </c>
      <c r="M23" s="51">
        <v>1.2694000000000001</v>
      </c>
      <c r="N23" s="51">
        <v>1.1436999999999999</v>
      </c>
      <c r="O23" s="50">
        <v>107.24</v>
      </c>
      <c r="P23" s="43">
        <v>22451.55</v>
      </c>
      <c r="Q23" s="43">
        <v>22440.94</v>
      </c>
      <c r="R23" s="49">
        <f t="shared" si="3"/>
        <v>24919.122147416281</v>
      </c>
      <c r="S23" s="48">
        <v>1.27</v>
      </c>
    </row>
    <row r="24" spans="2:19" x14ac:dyDescent="0.2">
      <c r="B24" s="47">
        <v>44034</v>
      </c>
      <c r="C24" s="46">
        <v>28500</v>
      </c>
      <c r="D24" s="45">
        <v>28500</v>
      </c>
      <c r="E24" s="44">
        <f t="shared" si="0"/>
        <v>28500</v>
      </c>
      <c r="F24" s="46">
        <v>28500</v>
      </c>
      <c r="G24" s="45">
        <v>28500</v>
      </c>
      <c r="H24" s="44">
        <f t="shared" si="1"/>
        <v>28500</v>
      </c>
      <c r="I24" s="46">
        <v>30235</v>
      </c>
      <c r="J24" s="45">
        <v>30235</v>
      </c>
      <c r="K24" s="44">
        <f t="shared" si="2"/>
        <v>30235</v>
      </c>
      <c r="L24" s="52">
        <v>28500</v>
      </c>
      <c r="M24" s="51">
        <v>1.2698</v>
      </c>
      <c r="N24" s="51">
        <v>1.1577999999999999</v>
      </c>
      <c r="O24" s="50">
        <v>106.98</v>
      </c>
      <c r="P24" s="43">
        <v>22444.48</v>
      </c>
      <c r="Q24" s="43">
        <v>22433.88</v>
      </c>
      <c r="R24" s="49">
        <f t="shared" si="3"/>
        <v>24615.650371394026</v>
      </c>
      <c r="S24" s="48">
        <v>1.2704</v>
      </c>
    </row>
    <row r="25" spans="2:19" x14ac:dyDescent="0.2">
      <c r="B25" s="47">
        <v>44035</v>
      </c>
      <c r="C25" s="46">
        <v>28500</v>
      </c>
      <c r="D25" s="45">
        <v>28500</v>
      </c>
      <c r="E25" s="44">
        <f t="shared" si="0"/>
        <v>28500</v>
      </c>
      <c r="F25" s="46">
        <v>28500</v>
      </c>
      <c r="G25" s="45">
        <v>28500</v>
      </c>
      <c r="H25" s="44">
        <f t="shared" si="1"/>
        <v>28500</v>
      </c>
      <c r="I25" s="46">
        <v>30230</v>
      </c>
      <c r="J25" s="45">
        <v>30230</v>
      </c>
      <c r="K25" s="44">
        <f t="shared" si="2"/>
        <v>30230</v>
      </c>
      <c r="L25" s="52">
        <v>28500</v>
      </c>
      <c r="M25" s="51">
        <v>1.2689999999999999</v>
      </c>
      <c r="N25" s="51">
        <v>1.1572</v>
      </c>
      <c r="O25" s="50">
        <v>107.18</v>
      </c>
      <c r="P25" s="43">
        <v>22458.63</v>
      </c>
      <c r="Q25" s="43">
        <v>22448.02</v>
      </c>
      <c r="R25" s="49">
        <f t="shared" si="3"/>
        <v>24628.413411683374</v>
      </c>
      <c r="S25" s="48">
        <v>1.2696000000000001</v>
      </c>
    </row>
    <row r="26" spans="2:19" x14ac:dyDescent="0.2">
      <c r="B26" s="47">
        <v>44036</v>
      </c>
      <c r="C26" s="46">
        <v>28500</v>
      </c>
      <c r="D26" s="45">
        <v>28500</v>
      </c>
      <c r="E26" s="44">
        <f t="shared" si="0"/>
        <v>28500</v>
      </c>
      <c r="F26" s="46">
        <v>28500</v>
      </c>
      <c r="G26" s="45">
        <v>28500</v>
      </c>
      <c r="H26" s="44">
        <f t="shared" si="1"/>
        <v>28500</v>
      </c>
      <c r="I26" s="46">
        <v>30230</v>
      </c>
      <c r="J26" s="45">
        <v>30230</v>
      </c>
      <c r="K26" s="44">
        <f t="shared" si="2"/>
        <v>30230</v>
      </c>
      <c r="L26" s="52">
        <v>28500</v>
      </c>
      <c r="M26" s="51">
        <v>1.2754000000000001</v>
      </c>
      <c r="N26" s="51">
        <v>1.1600999999999999</v>
      </c>
      <c r="O26" s="50">
        <v>106.22</v>
      </c>
      <c r="P26" s="43">
        <v>22345.93</v>
      </c>
      <c r="Q26" s="43">
        <v>22335.42</v>
      </c>
      <c r="R26" s="49">
        <f t="shared" si="3"/>
        <v>24566.847685544351</v>
      </c>
      <c r="S26" s="48">
        <v>1.276</v>
      </c>
    </row>
    <row r="27" spans="2:19" x14ac:dyDescent="0.2">
      <c r="B27" s="47">
        <v>44039</v>
      </c>
      <c r="C27" s="46">
        <v>28500</v>
      </c>
      <c r="D27" s="45">
        <v>28500</v>
      </c>
      <c r="E27" s="44">
        <f t="shared" si="0"/>
        <v>28500</v>
      </c>
      <c r="F27" s="46">
        <v>28500</v>
      </c>
      <c r="G27" s="45">
        <v>28500</v>
      </c>
      <c r="H27" s="44">
        <f t="shared" si="1"/>
        <v>28500</v>
      </c>
      <c r="I27" s="46">
        <v>30215</v>
      </c>
      <c r="J27" s="45">
        <v>30215</v>
      </c>
      <c r="K27" s="44">
        <f t="shared" si="2"/>
        <v>30215</v>
      </c>
      <c r="L27" s="52">
        <v>28500</v>
      </c>
      <c r="M27" s="51">
        <v>1.2873000000000001</v>
      </c>
      <c r="N27" s="51">
        <v>1.1744000000000001</v>
      </c>
      <c r="O27" s="50">
        <v>105.31</v>
      </c>
      <c r="P27" s="43">
        <v>22139.360000000001</v>
      </c>
      <c r="Q27" s="43">
        <v>22129.05</v>
      </c>
      <c r="R27" s="49">
        <f t="shared" si="3"/>
        <v>24267.711171662122</v>
      </c>
      <c r="S27" s="48">
        <v>1.2879</v>
      </c>
    </row>
    <row r="28" spans="2:19" x14ac:dyDescent="0.2">
      <c r="B28" s="47">
        <v>44040</v>
      </c>
      <c r="C28" s="46">
        <v>28500</v>
      </c>
      <c r="D28" s="45">
        <v>28500</v>
      </c>
      <c r="E28" s="44">
        <f t="shared" si="0"/>
        <v>28500</v>
      </c>
      <c r="F28" s="46">
        <v>28500</v>
      </c>
      <c r="G28" s="45">
        <v>28500</v>
      </c>
      <c r="H28" s="44">
        <f t="shared" si="1"/>
        <v>28500</v>
      </c>
      <c r="I28" s="46">
        <v>30210</v>
      </c>
      <c r="J28" s="45">
        <v>30210</v>
      </c>
      <c r="K28" s="44">
        <f t="shared" si="2"/>
        <v>30210</v>
      </c>
      <c r="L28" s="52">
        <v>28500</v>
      </c>
      <c r="M28" s="51">
        <v>1.2864</v>
      </c>
      <c r="N28" s="51">
        <v>1.1705000000000001</v>
      </c>
      <c r="O28" s="50">
        <v>105.36</v>
      </c>
      <c r="P28" s="43">
        <v>22154.85</v>
      </c>
      <c r="Q28" s="43">
        <v>22142.799999999999</v>
      </c>
      <c r="R28" s="49">
        <f t="shared" si="3"/>
        <v>24348.568987612129</v>
      </c>
      <c r="S28" s="48">
        <v>1.2870999999999999</v>
      </c>
    </row>
    <row r="29" spans="2:19" x14ac:dyDescent="0.2">
      <c r="B29" s="47">
        <v>44041</v>
      </c>
      <c r="C29" s="46">
        <v>28750</v>
      </c>
      <c r="D29" s="45">
        <v>28750</v>
      </c>
      <c r="E29" s="44">
        <f t="shared" si="0"/>
        <v>28750</v>
      </c>
      <c r="F29" s="46">
        <v>29000</v>
      </c>
      <c r="G29" s="45">
        <v>29000</v>
      </c>
      <c r="H29" s="44">
        <f t="shared" si="1"/>
        <v>29000</v>
      </c>
      <c r="I29" s="46">
        <v>30705</v>
      </c>
      <c r="J29" s="45">
        <v>30705</v>
      </c>
      <c r="K29" s="44">
        <f t="shared" si="2"/>
        <v>30705</v>
      </c>
      <c r="L29" s="52">
        <v>28750</v>
      </c>
      <c r="M29" s="51">
        <v>1.2965</v>
      </c>
      <c r="N29" s="51">
        <v>1.1722999999999999</v>
      </c>
      <c r="O29" s="50">
        <v>105.15</v>
      </c>
      <c r="P29" s="43">
        <v>22175.09</v>
      </c>
      <c r="Q29" s="43">
        <v>22355.84</v>
      </c>
      <c r="R29" s="49">
        <f t="shared" si="3"/>
        <v>24524.439136739744</v>
      </c>
      <c r="S29" s="48">
        <v>1.2971999999999999</v>
      </c>
    </row>
    <row r="30" spans="2:19" x14ac:dyDescent="0.2">
      <c r="B30" s="47">
        <v>44042</v>
      </c>
      <c r="C30" s="46">
        <v>29000</v>
      </c>
      <c r="D30" s="45">
        <v>29000</v>
      </c>
      <c r="E30" s="44">
        <f t="shared" si="0"/>
        <v>29000</v>
      </c>
      <c r="F30" s="46">
        <v>29000</v>
      </c>
      <c r="G30" s="45">
        <v>29000</v>
      </c>
      <c r="H30" s="44">
        <f t="shared" si="1"/>
        <v>29000</v>
      </c>
      <c r="I30" s="46">
        <v>30700</v>
      </c>
      <c r="J30" s="45">
        <v>30700</v>
      </c>
      <c r="K30" s="44">
        <f t="shared" si="2"/>
        <v>30700</v>
      </c>
      <c r="L30" s="52">
        <v>29000</v>
      </c>
      <c r="M30" s="51">
        <v>1.3019000000000001</v>
      </c>
      <c r="N30" s="51">
        <v>1.1749000000000001</v>
      </c>
      <c r="O30" s="50">
        <v>105.19</v>
      </c>
      <c r="P30" s="43">
        <v>22275.14</v>
      </c>
      <c r="Q30" s="43">
        <v>22264.880000000001</v>
      </c>
      <c r="R30" s="49">
        <f t="shared" si="3"/>
        <v>24682.951740573666</v>
      </c>
      <c r="S30" s="48">
        <v>1.3025</v>
      </c>
    </row>
    <row r="31" spans="2:19" x14ac:dyDescent="0.2">
      <c r="B31" s="47">
        <v>44043</v>
      </c>
      <c r="C31" s="46">
        <v>29050</v>
      </c>
      <c r="D31" s="45">
        <v>29050</v>
      </c>
      <c r="E31" s="44">
        <f t="shared" si="0"/>
        <v>29050</v>
      </c>
      <c r="F31" s="46">
        <v>29250</v>
      </c>
      <c r="G31" s="45">
        <v>29250</v>
      </c>
      <c r="H31" s="44">
        <f t="shared" si="1"/>
        <v>29250</v>
      </c>
      <c r="I31" s="46">
        <v>30950</v>
      </c>
      <c r="J31" s="45">
        <v>30950</v>
      </c>
      <c r="K31" s="44">
        <f t="shared" si="2"/>
        <v>30950</v>
      </c>
      <c r="L31" s="52">
        <v>29050</v>
      </c>
      <c r="M31" s="51">
        <v>1.3142</v>
      </c>
      <c r="N31" s="51">
        <v>1.1840999999999999</v>
      </c>
      <c r="O31" s="50">
        <v>104.91</v>
      </c>
      <c r="P31" s="43">
        <v>22104.7</v>
      </c>
      <c r="Q31" s="43">
        <v>22246.73</v>
      </c>
      <c r="R31" s="49">
        <f t="shared" si="3"/>
        <v>24533.400895194663</v>
      </c>
      <c r="S31" s="48">
        <v>1.3148</v>
      </c>
    </row>
    <row r="32" spans="2:19" s="10" customFormat="1" x14ac:dyDescent="0.2">
      <c r="B32" s="42" t="s">
        <v>11</v>
      </c>
      <c r="C32" s="41">
        <f>ROUND(AVERAGE(C9:C31),2)</f>
        <v>28556.52</v>
      </c>
      <c r="D32" s="40">
        <f>ROUND(AVERAGE(D9:D31),2)</f>
        <v>28556.52</v>
      </c>
      <c r="E32" s="39">
        <f>ROUND(AVERAGE(C32:D32),2)</f>
        <v>28556.52</v>
      </c>
      <c r="F32" s="41">
        <f>ROUND(AVERAGE(F9:F31),2)</f>
        <v>28576.09</v>
      </c>
      <c r="G32" s="40">
        <f>ROUND(AVERAGE(G9:G31),2)</f>
        <v>28576.09</v>
      </c>
      <c r="H32" s="39">
        <f>ROUND(AVERAGE(F32:G32),2)</f>
        <v>28576.09</v>
      </c>
      <c r="I32" s="41">
        <f>ROUND(AVERAGE(I9:I31),2)</f>
        <v>30329.57</v>
      </c>
      <c r="J32" s="40">
        <f>ROUND(AVERAGE(J9:J31),2)</f>
        <v>30329.57</v>
      </c>
      <c r="K32" s="39">
        <f>ROUND(AVERAGE(I32:J32),2)</f>
        <v>30329.57</v>
      </c>
      <c r="L32" s="38">
        <f>ROUND(AVERAGE(L9:L31),2)</f>
        <v>28556.52</v>
      </c>
      <c r="M32" s="37">
        <f>ROUND(AVERAGE(M9:M31),4)</f>
        <v>1.2669999999999999</v>
      </c>
      <c r="N32" s="36">
        <f>ROUND(AVERAGE(N9:N31),4)</f>
        <v>1.1462000000000001</v>
      </c>
      <c r="O32" s="175">
        <f>ROUND(AVERAGE(O9:O31),2)</f>
        <v>106.77</v>
      </c>
      <c r="P32" s="35">
        <f>AVERAGE(P9:P31)</f>
        <v>22542.63739130435</v>
      </c>
      <c r="Q32" s="35">
        <f>AVERAGE(Q9:Q31)</f>
        <v>22545.942608695648</v>
      </c>
      <c r="R32" s="35">
        <f>AVERAGE(R9:R31)</f>
        <v>24918.95308927439</v>
      </c>
      <c r="S32" s="34">
        <f>AVERAGE(S9:S31)</f>
        <v>1.2676260869565217</v>
      </c>
    </row>
    <row r="33" spans="2:19" s="5" customFormat="1" x14ac:dyDescent="0.2">
      <c r="B33" s="33" t="s">
        <v>12</v>
      </c>
      <c r="C33" s="32">
        <f t="shared" ref="C33:S33" si="4">MAX(C9:C31)</f>
        <v>29050</v>
      </c>
      <c r="D33" s="31">
        <f t="shared" si="4"/>
        <v>29050</v>
      </c>
      <c r="E33" s="30">
        <f t="shared" si="4"/>
        <v>29050</v>
      </c>
      <c r="F33" s="32">
        <f t="shared" si="4"/>
        <v>29250</v>
      </c>
      <c r="G33" s="31">
        <f t="shared" si="4"/>
        <v>29250</v>
      </c>
      <c r="H33" s="30">
        <f t="shared" si="4"/>
        <v>29250</v>
      </c>
      <c r="I33" s="32">
        <f t="shared" si="4"/>
        <v>30950</v>
      </c>
      <c r="J33" s="31">
        <f t="shared" si="4"/>
        <v>30950</v>
      </c>
      <c r="K33" s="30">
        <f t="shared" si="4"/>
        <v>30950</v>
      </c>
      <c r="L33" s="29">
        <f t="shared" si="4"/>
        <v>29050</v>
      </c>
      <c r="M33" s="28">
        <f t="shared" si="4"/>
        <v>1.3142</v>
      </c>
      <c r="N33" s="27">
        <f t="shared" si="4"/>
        <v>1.1840999999999999</v>
      </c>
      <c r="O33" s="26">
        <f t="shared" si="4"/>
        <v>107.72</v>
      </c>
      <c r="P33" s="25">
        <f t="shared" si="4"/>
        <v>23002.42</v>
      </c>
      <c r="Q33" s="25">
        <f t="shared" si="4"/>
        <v>22989.43</v>
      </c>
      <c r="R33" s="25">
        <f t="shared" si="4"/>
        <v>25437.343805783647</v>
      </c>
      <c r="S33" s="24">
        <f t="shared" si="4"/>
        <v>1.3148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28500</v>
      </c>
      <c r="D34" s="21">
        <f t="shared" si="5"/>
        <v>28500</v>
      </c>
      <c r="E34" s="20">
        <f t="shared" si="5"/>
        <v>28500</v>
      </c>
      <c r="F34" s="22">
        <f t="shared" si="5"/>
        <v>28500</v>
      </c>
      <c r="G34" s="21">
        <f t="shared" si="5"/>
        <v>28500</v>
      </c>
      <c r="H34" s="20">
        <f t="shared" si="5"/>
        <v>28500</v>
      </c>
      <c r="I34" s="22">
        <f t="shared" si="5"/>
        <v>30210</v>
      </c>
      <c r="J34" s="21">
        <f t="shared" si="5"/>
        <v>30210</v>
      </c>
      <c r="K34" s="20">
        <f t="shared" si="5"/>
        <v>30210</v>
      </c>
      <c r="L34" s="19">
        <f t="shared" si="5"/>
        <v>28500</v>
      </c>
      <c r="M34" s="18">
        <f t="shared" si="5"/>
        <v>1.2390000000000001</v>
      </c>
      <c r="N34" s="17">
        <f t="shared" si="5"/>
        <v>1.1204000000000001</v>
      </c>
      <c r="O34" s="16">
        <f t="shared" si="5"/>
        <v>104.91</v>
      </c>
      <c r="P34" s="15">
        <f t="shared" si="5"/>
        <v>22104.7</v>
      </c>
      <c r="Q34" s="15">
        <f t="shared" si="5"/>
        <v>22129.05</v>
      </c>
      <c r="R34" s="15">
        <f t="shared" si="5"/>
        <v>24267.711171662122</v>
      </c>
      <c r="S34" s="14">
        <f t="shared" si="5"/>
        <v>1.2397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44043</v>
      </c>
      <c r="D5" s="74"/>
      <c r="F5" s="75">
        <v>44043</v>
      </c>
      <c r="G5" s="74"/>
      <c r="I5" s="75">
        <v>44043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44013</v>
      </c>
      <c r="D8" s="68">
        <v>6089.48</v>
      </c>
      <c r="F8" s="69">
        <f t="shared" ref="F8:F30" si="0">C8</f>
        <v>44013</v>
      </c>
      <c r="G8" s="68">
        <v>1621.62</v>
      </c>
      <c r="I8" s="69">
        <f t="shared" ref="I8:I30" si="1">C8</f>
        <v>44013</v>
      </c>
      <c r="J8" s="68">
        <v>2037.9</v>
      </c>
    </row>
    <row r="9" spans="2:10" x14ac:dyDescent="0.2">
      <c r="C9" s="69">
        <v>44014</v>
      </c>
      <c r="D9" s="68">
        <v>6098.91</v>
      </c>
      <c r="F9" s="69">
        <f t="shared" si="0"/>
        <v>44014</v>
      </c>
      <c r="G9" s="68">
        <v>1614.34</v>
      </c>
      <c r="I9" s="69">
        <f t="shared" si="1"/>
        <v>44014</v>
      </c>
      <c r="J9" s="68">
        <v>2053.9699999999998</v>
      </c>
    </row>
    <row r="10" spans="2:10" x14ac:dyDescent="0.2">
      <c r="C10" s="69">
        <v>44015</v>
      </c>
      <c r="D10" s="68">
        <v>6040.42</v>
      </c>
      <c r="F10" s="69">
        <f t="shared" si="0"/>
        <v>44015</v>
      </c>
      <c r="G10" s="68">
        <v>1622.32</v>
      </c>
      <c r="I10" s="69">
        <f t="shared" si="1"/>
        <v>44015</v>
      </c>
      <c r="J10" s="68">
        <v>2043</v>
      </c>
    </row>
    <row r="11" spans="2:10" x14ac:dyDescent="0.2">
      <c r="C11" s="69">
        <v>44018</v>
      </c>
      <c r="D11" s="68">
        <v>6082.44</v>
      </c>
      <c r="F11" s="69">
        <f t="shared" si="0"/>
        <v>44018</v>
      </c>
      <c r="G11" s="68">
        <v>1618.05</v>
      </c>
      <c r="I11" s="69">
        <f t="shared" si="1"/>
        <v>44018</v>
      </c>
      <c r="J11" s="68">
        <v>2049.2199999999998</v>
      </c>
    </row>
    <row r="12" spans="2:10" x14ac:dyDescent="0.2">
      <c r="C12" s="69">
        <v>44019</v>
      </c>
      <c r="D12" s="68">
        <v>6133.56</v>
      </c>
      <c r="F12" s="69">
        <f t="shared" si="0"/>
        <v>44019</v>
      </c>
      <c r="G12" s="68">
        <v>1632.6</v>
      </c>
      <c r="I12" s="69">
        <f t="shared" si="1"/>
        <v>44019</v>
      </c>
      <c r="J12" s="68">
        <v>2049.5</v>
      </c>
    </row>
    <row r="13" spans="2:10" x14ac:dyDescent="0.2">
      <c r="C13" s="69">
        <v>44020</v>
      </c>
      <c r="D13" s="68">
        <v>6192.14</v>
      </c>
      <c r="F13" s="69">
        <f t="shared" si="0"/>
        <v>44020</v>
      </c>
      <c r="G13" s="68">
        <v>1640.55</v>
      </c>
      <c r="I13" s="69">
        <f t="shared" si="1"/>
        <v>44020</v>
      </c>
      <c r="J13" s="68">
        <v>2087.4299999999998</v>
      </c>
    </row>
    <row r="14" spans="2:10" x14ac:dyDescent="0.2">
      <c r="C14" s="69">
        <v>44021</v>
      </c>
      <c r="D14" s="68">
        <v>6321.58</v>
      </c>
      <c r="F14" s="69">
        <f t="shared" si="0"/>
        <v>44021</v>
      </c>
      <c r="G14" s="68">
        <v>1679.67</v>
      </c>
      <c r="I14" s="69">
        <f t="shared" si="1"/>
        <v>44021</v>
      </c>
      <c r="J14" s="68">
        <v>2157.0300000000002</v>
      </c>
    </row>
    <row r="15" spans="2:10" x14ac:dyDescent="0.2">
      <c r="C15" s="69">
        <v>44022</v>
      </c>
      <c r="D15" s="68">
        <v>6275.24</v>
      </c>
      <c r="F15" s="69">
        <f t="shared" si="0"/>
        <v>44022</v>
      </c>
      <c r="G15" s="68">
        <v>1656.64</v>
      </c>
      <c r="I15" s="69">
        <f t="shared" si="1"/>
        <v>44022</v>
      </c>
      <c r="J15" s="68">
        <v>2151.5</v>
      </c>
    </row>
    <row r="16" spans="2:10" x14ac:dyDescent="0.2">
      <c r="C16" s="69">
        <v>44025</v>
      </c>
      <c r="D16" s="68">
        <v>6589.72</v>
      </c>
      <c r="F16" s="69">
        <f t="shared" si="0"/>
        <v>44025</v>
      </c>
      <c r="G16" s="68">
        <v>1698.68</v>
      </c>
      <c r="I16" s="69">
        <f t="shared" si="1"/>
        <v>44025</v>
      </c>
      <c r="J16" s="68">
        <v>2215.73</v>
      </c>
    </row>
    <row r="17" spans="2:10" x14ac:dyDescent="0.2">
      <c r="C17" s="69">
        <v>44026</v>
      </c>
      <c r="D17" s="68">
        <v>6471.68</v>
      </c>
      <c r="F17" s="69">
        <f t="shared" si="0"/>
        <v>44026</v>
      </c>
      <c r="G17" s="68">
        <v>1682.69</v>
      </c>
      <c r="I17" s="69">
        <f t="shared" si="1"/>
        <v>44026</v>
      </c>
      <c r="J17" s="68">
        <v>2212.11</v>
      </c>
    </row>
    <row r="18" spans="2:10" x14ac:dyDescent="0.2">
      <c r="C18" s="69">
        <v>44027</v>
      </c>
      <c r="D18" s="68">
        <v>6499.96</v>
      </c>
      <c r="F18" s="69">
        <f t="shared" si="0"/>
        <v>44027</v>
      </c>
      <c r="G18" s="68">
        <v>1685.27</v>
      </c>
      <c r="I18" s="69">
        <f t="shared" si="1"/>
        <v>44027</v>
      </c>
      <c r="J18" s="68">
        <v>2202.66</v>
      </c>
    </row>
    <row r="19" spans="2:10" x14ac:dyDescent="0.2">
      <c r="C19" s="69">
        <v>44028</v>
      </c>
      <c r="D19" s="68">
        <v>6317.73</v>
      </c>
      <c r="F19" s="69">
        <f t="shared" si="0"/>
        <v>44028</v>
      </c>
      <c r="G19" s="68">
        <v>1662.02</v>
      </c>
      <c r="I19" s="69">
        <f t="shared" si="1"/>
        <v>44028</v>
      </c>
      <c r="J19" s="68">
        <v>2186.66</v>
      </c>
    </row>
    <row r="20" spans="2:10" x14ac:dyDescent="0.2">
      <c r="C20" s="69">
        <v>44029</v>
      </c>
      <c r="D20" s="68">
        <v>6406.05</v>
      </c>
      <c r="F20" s="69">
        <f t="shared" si="0"/>
        <v>44029</v>
      </c>
      <c r="G20" s="68">
        <v>1662.08</v>
      </c>
      <c r="I20" s="69">
        <f t="shared" si="1"/>
        <v>44029</v>
      </c>
      <c r="J20" s="68">
        <v>2210.3000000000002</v>
      </c>
    </row>
    <row r="21" spans="2:10" x14ac:dyDescent="0.2">
      <c r="C21" s="69">
        <v>44032</v>
      </c>
      <c r="D21" s="68">
        <v>6420.67</v>
      </c>
      <c r="F21" s="69">
        <f t="shared" si="0"/>
        <v>44032</v>
      </c>
      <c r="G21" s="68">
        <v>1658.96</v>
      </c>
      <c r="I21" s="69">
        <f t="shared" si="1"/>
        <v>44032</v>
      </c>
      <c r="J21" s="68">
        <v>2177.04</v>
      </c>
    </row>
    <row r="22" spans="2:10" x14ac:dyDescent="0.2">
      <c r="C22" s="69">
        <v>44033</v>
      </c>
      <c r="D22" s="68">
        <v>6491.38</v>
      </c>
      <c r="F22" s="69">
        <f t="shared" si="0"/>
        <v>44033</v>
      </c>
      <c r="G22" s="68">
        <v>1670.38</v>
      </c>
      <c r="I22" s="69">
        <f t="shared" si="1"/>
        <v>44033</v>
      </c>
      <c r="J22" s="68">
        <v>2205.37</v>
      </c>
    </row>
    <row r="23" spans="2:10" x14ac:dyDescent="0.2">
      <c r="C23" s="69">
        <v>44034</v>
      </c>
      <c r="D23" s="68">
        <v>6565.53</v>
      </c>
      <c r="F23" s="69">
        <f t="shared" si="0"/>
        <v>44034</v>
      </c>
      <c r="G23" s="68">
        <v>1699.5</v>
      </c>
      <c r="I23" s="69">
        <f t="shared" si="1"/>
        <v>44034</v>
      </c>
      <c r="J23" s="68">
        <v>2236.75</v>
      </c>
    </row>
    <row r="24" spans="2:10" x14ac:dyDescent="0.2">
      <c r="C24" s="69">
        <v>44035</v>
      </c>
      <c r="D24" s="68">
        <v>6489.55</v>
      </c>
      <c r="F24" s="69">
        <f t="shared" si="0"/>
        <v>44035</v>
      </c>
      <c r="G24" s="68">
        <v>1690.48</v>
      </c>
      <c r="I24" s="69">
        <f t="shared" si="1"/>
        <v>44035</v>
      </c>
      <c r="J24" s="68">
        <v>2222.37</v>
      </c>
    </row>
    <row r="25" spans="2:10" x14ac:dyDescent="0.2">
      <c r="C25" s="69">
        <v>44036</v>
      </c>
      <c r="D25" s="68">
        <v>6383.74</v>
      </c>
      <c r="F25" s="69">
        <f t="shared" si="0"/>
        <v>44036</v>
      </c>
      <c r="G25" s="68">
        <v>1692.43</v>
      </c>
      <c r="I25" s="69">
        <f t="shared" si="1"/>
        <v>44036</v>
      </c>
      <c r="J25" s="68">
        <v>2200.6799999999998</v>
      </c>
    </row>
    <row r="26" spans="2:10" x14ac:dyDescent="0.2">
      <c r="C26" s="69">
        <v>44039</v>
      </c>
      <c r="D26" s="68">
        <v>6451.4</v>
      </c>
      <c r="F26" s="69">
        <f t="shared" si="0"/>
        <v>44039</v>
      </c>
      <c r="G26" s="68">
        <v>1702.76</v>
      </c>
      <c r="I26" s="69">
        <f t="shared" si="1"/>
        <v>44039</v>
      </c>
      <c r="J26" s="68">
        <v>2230.5500000000002</v>
      </c>
    </row>
    <row r="27" spans="2:10" x14ac:dyDescent="0.2">
      <c r="C27" s="69">
        <v>44040</v>
      </c>
      <c r="D27" s="68">
        <v>6434.32</v>
      </c>
      <c r="F27" s="69">
        <f t="shared" si="0"/>
        <v>44040</v>
      </c>
      <c r="G27" s="68">
        <v>1710.13</v>
      </c>
      <c r="I27" s="69">
        <f t="shared" si="1"/>
        <v>44040</v>
      </c>
      <c r="J27" s="68">
        <v>2216.2199999999998</v>
      </c>
    </row>
    <row r="28" spans="2:10" x14ac:dyDescent="0.2">
      <c r="C28" s="69">
        <v>44041</v>
      </c>
      <c r="D28" s="68">
        <v>6471</v>
      </c>
      <c r="F28" s="69">
        <f t="shared" si="0"/>
        <v>44041</v>
      </c>
      <c r="G28" s="68">
        <v>1725.5</v>
      </c>
      <c r="I28" s="69">
        <f t="shared" si="1"/>
        <v>44041</v>
      </c>
      <c r="J28" s="68">
        <v>2283.85</v>
      </c>
    </row>
    <row r="29" spans="2:10" x14ac:dyDescent="0.2">
      <c r="C29" s="69">
        <v>44042</v>
      </c>
      <c r="D29" s="68">
        <v>6459.87</v>
      </c>
      <c r="F29" s="69">
        <f t="shared" si="0"/>
        <v>44042</v>
      </c>
      <c r="G29" s="68">
        <v>1729.86</v>
      </c>
      <c r="I29" s="69">
        <f t="shared" si="1"/>
        <v>44042</v>
      </c>
      <c r="J29" s="68">
        <v>2305.02</v>
      </c>
    </row>
    <row r="30" spans="2:10" ht="13.5" thickBot="1" x14ac:dyDescent="0.25">
      <c r="C30" s="69">
        <v>44043</v>
      </c>
      <c r="D30" s="68">
        <v>6478.02</v>
      </c>
      <c r="F30" s="69">
        <f t="shared" si="0"/>
        <v>44043</v>
      </c>
      <c r="G30" s="68">
        <v>1727.51</v>
      </c>
      <c r="I30" s="69">
        <f t="shared" si="1"/>
        <v>44043</v>
      </c>
      <c r="J30" s="68">
        <v>2327.52</v>
      </c>
    </row>
    <row r="31" spans="2:10" x14ac:dyDescent="0.2">
      <c r="B31" s="5"/>
      <c r="C31" s="67" t="s">
        <v>11</v>
      </c>
      <c r="D31" s="66">
        <f>ROUND(AVERAGE(D8:D30),2)</f>
        <v>6354.97</v>
      </c>
      <c r="F31" s="67" t="s">
        <v>11</v>
      </c>
      <c r="G31" s="66">
        <f>ROUND(AVERAGE(G8:G30),2)</f>
        <v>1673.22</v>
      </c>
      <c r="I31" s="67" t="s">
        <v>11</v>
      </c>
      <c r="J31" s="66">
        <f>ROUND(AVERAGE(J8:J30),2)</f>
        <v>2176.63</v>
      </c>
    </row>
    <row r="32" spans="2:10" x14ac:dyDescent="0.2">
      <c r="B32" s="5"/>
      <c r="C32" s="65" t="s">
        <v>12</v>
      </c>
      <c r="D32" s="64">
        <f>MAX(D8:D30)</f>
        <v>6589.72</v>
      </c>
      <c r="F32" s="65" t="s">
        <v>12</v>
      </c>
      <c r="G32" s="64">
        <f>MAX(G8:G30)</f>
        <v>1729.86</v>
      </c>
      <c r="I32" s="65" t="s">
        <v>12</v>
      </c>
      <c r="J32" s="64">
        <f>MAX(J8:J30)</f>
        <v>2327.52</v>
      </c>
    </row>
    <row r="33" spans="2:10" x14ac:dyDescent="0.2">
      <c r="B33" s="5"/>
      <c r="C33" s="63" t="s">
        <v>13</v>
      </c>
      <c r="D33" s="62">
        <f>MIN(D8:D30)</f>
        <v>6040.42</v>
      </c>
      <c r="F33" s="63" t="s">
        <v>13</v>
      </c>
      <c r="G33" s="62">
        <f>MIN(G8:G30)</f>
        <v>1614.34</v>
      </c>
      <c r="I33" s="63" t="s">
        <v>13</v>
      </c>
      <c r="J33" s="62">
        <f>MIN(J8:J30)</f>
        <v>2037.9</v>
      </c>
    </row>
    <row r="36" spans="2:10" x14ac:dyDescent="0.2">
      <c r="B36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ABR!D31</f>
        <v>6354.97</v>
      </c>
      <c r="D11" s="155">
        <f>ABR!G31</f>
        <v>1673.22</v>
      </c>
      <c r="E11" s="155">
        <f>ABR!J31</f>
        <v>2176.63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1.2669999999999999</v>
      </c>
    </row>
    <row r="18" spans="2:9" x14ac:dyDescent="0.2">
      <c r="B18" s="151" t="s">
        <v>43</v>
      </c>
      <c r="C18" s="150">
        <f>'Averages Inc. Euro Eq'!F67</f>
        <v>106.77</v>
      </c>
    </row>
    <row r="19" spans="2:9" x14ac:dyDescent="0.2">
      <c r="B19" s="151" t="s">
        <v>41</v>
      </c>
      <c r="C19" s="149">
        <f>'Averages Inc. Euro Eq'!F68</f>
        <v>1.1462000000000001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1639.35</v>
      </c>
      <c r="D13" s="113">
        <v>1249.76</v>
      </c>
      <c r="E13" s="113">
        <v>6353.76</v>
      </c>
      <c r="F13" s="113">
        <v>1812.15</v>
      </c>
      <c r="G13" s="113">
        <v>13341.35</v>
      </c>
      <c r="H13" s="113">
        <v>17452.96</v>
      </c>
      <c r="I13" s="113">
        <v>2162.2399999999998</v>
      </c>
      <c r="J13" s="113">
        <v>1265.26</v>
      </c>
      <c r="K13" s="113">
        <v>0.5</v>
      </c>
      <c r="L13" s="113">
        <v>28556.52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1639.35</v>
      </c>
      <c r="D15" s="113">
        <v>1249.76</v>
      </c>
      <c r="E15" s="113">
        <v>6353.76</v>
      </c>
      <c r="F15" s="113">
        <v>1812.15</v>
      </c>
      <c r="G15" s="113">
        <v>13341.35</v>
      </c>
      <c r="H15" s="113">
        <v>17452.96</v>
      </c>
      <c r="I15" s="113">
        <v>2162.2399999999998</v>
      </c>
      <c r="J15" s="113">
        <v>1265.26</v>
      </c>
      <c r="K15" s="113">
        <v>1</v>
      </c>
      <c r="L15" s="113">
        <v>28556.52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1639.35</v>
      </c>
      <c r="D17" s="113">
        <v>1249.76</v>
      </c>
      <c r="E17" s="113">
        <v>6353.76</v>
      </c>
      <c r="F17" s="113">
        <v>1812.15</v>
      </c>
      <c r="G17" s="113">
        <v>13341.35</v>
      </c>
      <c r="H17" s="113">
        <v>17452.96</v>
      </c>
      <c r="I17" s="113">
        <v>2162.2399999999998</v>
      </c>
      <c r="J17" s="113">
        <v>1265.26</v>
      </c>
      <c r="K17" s="113">
        <v>0.75</v>
      </c>
      <c r="L17" s="113">
        <v>28556.52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1672.93</v>
      </c>
      <c r="D19" s="113">
        <v>1251.74</v>
      </c>
      <c r="E19" s="113">
        <v>6348.59</v>
      </c>
      <c r="F19" s="113">
        <v>1828.28</v>
      </c>
      <c r="G19" s="113">
        <v>13388.83</v>
      </c>
      <c r="H19" s="113">
        <v>17375.48</v>
      </c>
      <c r="I19" s="113">
        <v>2172.89</v>
      </c>
      <c r="J19" s="113">
        <v>1268.96</v>
      </c>
      <c r="K19" s="113">
        <v>0.5</v>
      </c>
      <c r="L19" s="113">
        <v>28576.09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1672.93</v>
      </c>
      <c r="D21" s="113">
        <v>1251.74</v>
      </c>
      <c r="E21" s="113">
        <v>6348.59</v>
      </c>
      <c r="F21" s="113">
        <v>1828.28</v>
      </c>
      <c r="G21" s="113">
        <v>13388.83</v>
      </c>
      <c r="H21" s="113">
        <v>17375.48</v>
      </c>
      <c r="I21" s="113">
        <v>2172.89</v>
      </c>
      <c r="J21" s="113">
        <v>1268.96</v>
      </c>
      <c r="K21" s="113">
        <v>1</v>
      </c>
      <c r="L21" s="113">
        <v>28576.09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1672.93</v>
      </c>
      <c r="D23" s="113">
        <v>1251.74</v>
      </c>
      <c r="E23" s="113">
        <v>6348.59</v>
      </c>
      <c r="F23" s="113">
        <v>1828.28</v>
      </c>
      <c r="G23" s="113">
        <v>13388.83</v>
      </c>
      <c r="H23" s="113">
        <v>17375.48</v>
      </c>
      <c r="I23" s="113">
        <v>2172.89</v>
      </c>
      <c r="J23" s="113">
        <v>1268.96</v>
      </c>
      <c r="K23" s="113">
        <v>0.75</v>
      </c>
      <c r="L23" s="113">
        <v>28576.09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1761.28</v>
      </c>
      <c r="D25" s="113">
        <v>1247.04</v>
      </c>
      <c r="E25" s="113">
        <v>6345.24</v>
      </c>
      <c r="F25" s="113">
        <v>1868.33</v>
      </c>
      <c r="G25" s="113">
        <v>13638.26</v>
      </c>
      <c r="H25" s="113"/>
      <c r="I25" s="113">
        <v>2214.02</v>
      </c>
      <c r="J25" s="113">
        <v>1286.04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1761.28</v>
      </c>
      <c r="D27" s="113">
        <v>1247.04</v>
      </c>
      <c r="E27" s="113">
        <v>6345.24</v>
      </c>
      <c r="F27" s="113">
        <v>1868.33</v>
      </c>
      <c r="G27" s="113">
        <v>13638.26</v>
      </c>
      <c r="H27" s="113"/>
      <c r="I27" s="113">
        <v>2214.02</v>
      </c>
      <c r="J27" s="113">
        <v>1286.04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1761.28</v>
      </c>
      <c r="D29" s="113">
        <v>1247.04</v>
      </c>
      <c r="E29" s="113">
        <v>6345.24</v>
      </c>
      <c r="F29" s="113">
        <v>1868.33</v>
      </c>
      <c r="G29" s="113">
        <v>13638.26</v>
      </c>
      <c r="H29" s="113"/>
      <c r="I29" s="113">
        <v>2214.02</v>
      </c>
      <c r="J29" s="113">
        <v>1286.04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1837.17</v>
      </c>
      <c r="D31" s="113"/>
      <c r="E31" s="113">
        <v>6364.7</v>
      </c>
      <c r="F31" s="113">
        <v>1900.7</v>
      </c>
      <c r="G31" s="113">
        <v>13856.91</v>
      </c>
      <c r="H31" s="113"/>
      <c r="I31" s="113">
        <v>2240.04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1837.17</v>
      </c>
      <c r="D33" s="113"/>
      <c r="E33" s="113">
        <v>6364.7</v>
      </c>
      <c r="F33" s="113">
        <v>1900.7</v>
      </c>
      <c r="G33" s="113">
        <v>13856.91</v>
      </c>
      <c r="H33" s="113"/>
      <c r="I33" s="113">
        <v>2240.04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1837.17</v>
      </c>
      <c r="D35" s="113"/>
      <c r="E35" s="113">
        <v>6364.7</v>
      </c>
      <c r="F35" s="113">
        <v>1900.7</v>
      </c>
      <c r="G35" s="113">
        <v>13856.91</v>
      </c>
      <c r="H35" s="113"/>
      <c r="I35" s="113">
        <v>2240.04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1915</v>
      </c>
      <c r="D37" s="113"/>
      <c r="E37" s="113">
        <v>6400.78</v>
      </c>
      <c r="F37" s="113">
        <v>1927.8</v>
      </c>
      <c r="G37" s="113">
        <v>14082.74</v>
      </c>
      <c r="H37" s="113"/>
      <c r="I37" s="113">
        <v>2247.5700000000002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1915</v>
      </c>
      <c r="D39" s="113"/>
      <c r="E39" s="113">
        <v>6400.78</v>
      </c>
      <c r="F39" s="113">
        <v>1927.8</v>
      </c>
      <c r="G39" s="113">
        <v>14082.74</v>
      </c>
      <c r="H39" s="113"/>
      <c r="I39" s="113">
        <v>2247.5700000000002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1915</v>
      </c>
      <c r="D41" s="113"/>
      <c r="E41" s="113">
        <v>6400.78</v>
      </c>
      <c r="F41" s="113">
        <v>1927.8</v>
      </c>
      <c r="G41" s="113">
        <v>14082.74</v>
      </c>
      <c r="H41" s="113"/>
      <c r="I41" s="113">
        <v>2247.5700000000002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17152.57</v>
      </c>
      <c r="I43" s="113"/>
      <c r="J43" s="113"/>
      <c r="K43" s="113">
        <v>0.5</v>
      </c>
      <c r="L43" s="113">
        <v>30329.57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17152.57</v>
      </c>
      <c r="I45" s="113"/>
      <c r="J45" s="113"/>
      <c r="K45" s="113">
        <v>1</v>
      </c>
      <c r="L45" s="113">
        <v>30329.57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17152.57</v>
      </c>
      <c r="I47" s="110"/>
      <c r="J47" s="110"/>
      <c r="K47" s="110">
        <v>0.75</v>
      </c>
      <c r="L47" s="110">
        <v>30329.57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1430.25</v>
      </c>
    </row>
    <row r="55" spans="2:5" x14ac:dyDescent="0.2">
      <c r="B55" s="100" t="s">
        <v>56</v>
      </c>
      <c r="C55" s="101">
        <v>1090.03</v>
      </c>
    </row>
    <row r="56" spans="2:5" x14ac:dyDescent="0.2">
      <c r="B56" s="100" t="s">
        <v>55</v>
      </c>
      <c r="C56" s="101">
        <v>5543.22</v>
      </c>
    </row>
    <row r="57" spans="2:5" x14ac:dyDescent="0.2">
      <c r="B57" s="100" t="s">
        <v>54</v>
      </c>
      <c r="C57" s="101">
        <v>1581.22</v>
      </c>
    </row>
    <row r="58" spans="2:5" x14ac:dyDescent="0.2">
      <c r="B58" s="100" t="s">
        <v>53</v>
      </c>
      <c r="C58" s="101">
        <v>11639.52</v>
      </c>
    </row>
    <row r="59" spans="2:5" x14ac:dyDescent="0.2">
      <c r="B59" s="100" t="s">
        <v>52</v>
      </c>
      <c r="C59" s="101">
        <v>15225.81</v>
      </c>
    </row>
    <row r="60" spans="2:5" x14ac:dyDescent="0.2">
      <c r="B60" s="100" t="s">
        <v>51</v>
      </c>
      <c r="C60" s="101">
        <v>1885.93</v>
      </c>
    </row>
    <row r="61" spans="2:5" x14ac:dyDescent="0.2">
      <c r="B61" s="98" t="s">
        <v>50</v>
      </c>
      <c r="C61" s="97">
        <v>1103.95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5014.8999999999996</v>
      </c>
      <c r="E65" s="96" t="s">
        <v>46</v>
      </c>
    </row>
    <row r="66" spans="2:9" x14ac:dyDescent="0.2">
      <c r="B66" s="93" t="s">
        <v>45</v>
      </c>
      <c r="D66" s="92">
        <v>5008.26</v>
      </c>
      <c r="E66" s="95" t="s">
        <v>10</v>
      </c>
      <c r="F66" s="90">
        <v>1.2669999999999999</v>
      </c>
    </row>
    <row r="67" spans="2:9" x14ac:dyDescent="0.2">
      <c r="B67" s="93" t="s">
        <v>44</v>
      </c>
      <c r="D67" s="92">
        <v>1430.42</v>
      </c>
      <c r="E67" s="95" t="s">
        <v>43</v>
      </c>
      <c r="F67" s="94">
        <v>106.77</v>
      </c>
    </row>
    <row r="68" spans="2:9" x14ac:dyDescent="0.2">
      <c r="B68" s="93" t="s">
        <v>42</v>
      </c>
      <c r="D68" s="92">
        <v>1442.39</v>
      </c>
      <c r="E68" s="91" t="s">
        <v>41</v>
      </c>
      <c r="F68" s="90">
        <v>1.1462000000000001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77BB7-FB4E-4099-BE4D-C12D9EEB66FA}"/>
</file>

<file path=customXml/itemProps2.xml><?xml version="1.0" encoding="utf-8"?>
<ds:datastoreItem xmlns:ds="http://schemas.openxmlformats.org/officeDocument/2006/customXml" ds:itemID="{0E5CDD27-46E6-4184-9C12-DBE9C16406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2020-08-03T12:24:33Z</cp:lastPrinted>
  <dcterms:created xsi:type="dcterms:W3CDTF">2012-05-31T12:49:12Z</dcterms:created>
  <dcterms:modified xsi:type="dcterms:W3CDTF">2020-08-03T12:27:40Z</dcterms:modified>
</cp:coreProperties>
</file>