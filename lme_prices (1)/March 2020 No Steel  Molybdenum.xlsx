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REÇO LME\plhanilhas LME mensais\Ano 2020\"/>
    </mc:Choice>
  </mc:AlternateContent>
  <bookViews>
    <workbookView xWindow="0" yWindow="0" windowWidth="20490" windowHeight="7455" tabRatio="993" activeTab="1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62913"/>
</workbook>
</file>

<file path=xl/calcChain.xml><?xml version="1.0" encoding="utf-8"?>
<calcChain xmlns="http://schemas.openxmlformats.org/spreadsheetml/2006/main">
  <c r="C19" i="13" l="1"/>
  <c r="C18" i="13"/>
  <c r="C17" i="13"/>
  <c r="J32" i="12"/>
  <c r="G32" i="12"/>
  <c r="D32" i="12"/>
  <c r="J31" i="12"/>
  <c r="G31" i="12"/>
  <c r="D31" i="12"/>
  <c r="J30" i="12"/>
  <c r="E11" i="13" s="1"/>
  <c r="G30" i="12"/>
  <c r="D11" i="13" s="1"/>
  <c r="D30" i="12"/>
  <c r="C11" i="13" s="1"/>
  <c r="I29" i="12"/>
  <c r="F29" i="12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3" i="10"/>
  <c r="Q33" i="10"/>
  <c r="P33" i="10"/>
  <c r="O33" i="10"/>
  <c r="N33" i="10"/>
  <c r="M33" i="10"/>
  <c r="L33" i="10"/>
  <c r="J33" i="10"/>
  <c r="I33" i="10"/>
  <c r="G33" i="10"/>
  <c r="F33" i="10"/>
  <c r="D33" i="10"/>
  <c r="C33" i="10"/>
  <c r="S32" i="10"/>
  <c r="Q32" i="10"/>
  <c r="P32" i="10"/>
  <c r="O32" i="10"/>
  <c r="N32" i="10"/>
  <c r="M32" i="10"/>
  <c r="L32" i="10"/>
  <c r="J32" i="10"/>
  <c r="I32" i="10"/>
  <c r="G32" i="10"/>
  <c r="F32" i="10"/>
  <c r="D32" i="10"/>
  <c r="C32" i="10"/>
  <c r="S31" i="10"/>
  <c r="Q31" i="10"/>
  <c r="P31" i="10"/>
  <c r="O31" i="10"/>
  <c r="N31" i="10"/>
  <c r="M31" i="10"/>
  <c r="L31" i="10"/>
  <c r="J31" i="10"/>
  <c r="I31" i="10"/>
  <c r="K31" i="10" s="1"/>
  <c r="G31" i="10"/>
  <c r="F31" i="10"/>
  <c r="H31" i="10" s="1"/>
  <c r="D31" i="10"/>
  <c r="C31" i="10"/>
  <c r="E31" i="10" s="1"/>
  <c r="R30" i="10"/>
  <c r="K30" i="10"/>
  <c r="H30" i="10"/>
  <c r="E30" i="10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R32" i="10" s="1"/>
  <c r="K9" i="10"/>
  <c r="K33" i="10" s="1"/>
  <c r="H9" i="10"/>
  <c r="H33" i="10" s="1"/>
  <c r="E9" i="10"/>
  <c r="E33" i="10" s="1"/>
  <c r="Y33" i="8"/>
  <c r="W33" i="8"/>
  <c r="V33" i="8"/>
  <c r="U33" i="8"/>
  <c r="T33" i="8"/>
  <c r="S33" i="8"/>
  <c r="R33" i="8"/>
  <c r="P33" i="8"/>
  <c r="O33" i="8"/>
  <c r="M33" i="8"/>
  <c r="L33" i="8"/>
  <c r="J33" i="8"/>
  <c r="I33" i="8"/>
  <c r="G33" i="8"/>
  <c r="F33" i="8"/>
  <c r="D33" i="8"/>
  <c r="C33" i="8"/>
  <c r="Y32" i="8"/>
  <c r="W32" i="8"/>
  <c r="V32" i="8"/>
  <c r="U32" i="8"/>
  <c r="T32" i="8"/>
  <c r="S32" i="8"/>
  <c r="R32" i="8"/>
  <c r="P32" i="8"/>
  <c r="O32" i="8"/>
  <c r="M32" i="8"/>
  <c r="L32" i="8"/>
  <c r="J32" i="8"/>
  <c r="I32" i="8"/>
  <c r="G32" i="8"/>
  <c r="F32" i="8"/>
  <c r="D32" i="8"/>
  <c r="C32" i="8"/>
  <c r="Y31" i="8"/>
  <c r="W31" i="8"/>
  <c r="V31" i="8"/>
  <c r="U31" i="8"/>
  <c r="T31" i="8"/>
  <c r="S31" i="8"/>
  <c r="R31" i="8"/>
  <c r="P31" i="8"/>
  <c r="Q31" i="8" s="1"/>
  <c r="O31" i="8"/>
  <c r="M31" i="8"/>
  <c r="L31" i="8"/>
  <c r="N31" i="8" s="1"/>
  <c r="J31" i="8"/>
  <c r="I31" i="8"/>
  <c r="K31" i="8" s="1"/>
  <c r="H31" i="8"/>
  <c r="G31" i="8"/>
  <c r="F31" i="8"/>
  <c r="D31" i="8"/>
  <c r="E31" i="8" s="1"/>
  <c r="C31" i="8"/>
  <c r="X30" i="8"/>
  <c r="Q30" i="8"/>
  <c r="N30" i="8"/>
  <c r="K30" i="8"/>
  <c r="H30" i="8"/>
  <c r="E30" i="8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K10" i="8"/>
  <c r="H10" i="8"/>
  <c r="E10" i="8"/>
  <c r="X9" i="8"/>
  <c r="X32" i="8" s="1"/>
  <c r="Q9" i="8"/>
  <c r="Q33" i="8" s="1"/>
  <c r="N9" i="8"/>
  <c r="N32" i="8" s="1"/>
  <c r="K9" i="8"/>
  <c r="K32" i="8" s="1"/>
  <c r="H9" i="8"/>
  <c r="H32" i="8" s="1"/>
  <c r="E9" i="8"/>
  <c r="E33" i="8" s="1"/>
  <c r="S33" i="7"/>
  <c r="Q33" i="7"/>
  <c r="P33" i="7"/>
  <c r="O33" i="7"/>
  <c r="N33" i="7"/>
  <c r="M33" i="7"/>
  <c r="L33" i="7"/>
  <c r="J33" i="7"/>
  <c r="I33" i="7"/>
  <c r="G33" i="7"/>
  <c r="F33" i="7"/>
  <c r="D33" i="7"/>
  <c r="C33" i="7"/>
  <c r="S32" i="7"/>
  <c r="Q32" i="7"/>
  <c r="P32" i="7"/>
  <c r="O32" i="7"/>
  <c r="N32" i="7"/>
  <c r="M32" i="7"/>
  <c r="L32" i="7"/>
  <c r="J32" i="7"/>
  <c r="I32" i="7"/>
  <c r="G32" i="7"/>
  <c r="F32" i="7"/>
  <c r="D32" i="7"/>
  <c r="C32" i="7"/>
  <c r="S31" i="7"/>
  <c r="Q31" i="7"/>
  <c r="P31" i="7"/>
  <c r="O31" i="7"/>
  <c r="N31" i="7"/>
  <c r="M31" i="7"/>
  <c r="L31" i="7"/>
  <c r="J31" i="7"/>
  <c r="I31" i="7"/>
  <c r="K31" i="7" s="1"/>
  <c r="G31" i="7"/>
  <c r="F31" i="7"/>
  <c r="H31" i="7" s="1"/>
  <c r="D31" i="7"/>
  <c r="C31" i="7"/>
  <c r="E31" i="7" s="1"/>
  <c r="R30" i="7"/>
  <c r="K30" i="7"/>
  <c r="H30" i="7"/>
  <c r="E30" i="7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R9" i="7"/>
  <c r="R31" i="7" s="1"/>
  <c r="K9" i="7"/>
  <c r="K33" i="7" s="1"/>
  <c r="H9" i="7"/>
  <c r="H33" i="7" s="1"/>
  <c r="E9" i="7"/>
  <c r="E32" i="7" s="1"/>
  <c r="Y33" i="6"/>
  <c r="W33" i="6"/>
  <c r="V33" i="6"/>
  <c r="U33" i="6"/>
  <c r="T33" i="6"/>
  <c r="S33" i="6"/>
  <c r="R33" i="6"/>
  <c r="P33" i="6"/>
  <c r="O33" i="6"/>
  <c r="M33" i="6"/>
  <c r="L33" i="6"/>
  <c r="J33" i="6"/>
  <c r="I33" i="6"/>
  <c r="G33" i="6"/>
  <c r="F33" i="6"/>
  <c r="D33" i="6"/>
  <c r="C33" i="6"/>
  <c r="Y32" i="6"/>
  <c r="W32" i="6"/>
  <c r="V32" i="6"/>
  <c r="U32" i="6"/>
  <c r="T32" i="6"/>
  <c r="S32" i="6"/>
  <c r="R32" i="6"/>
  <c r="P32" i="6"/>
  <c r="O32" i="6"/>
  <c r="M32" i="6"/>
  <c r="L32" i="6"/>
  <c r="J32" i="6"/>
  <c r="I32" i="6"/>
  <c r="G32" i="6"/>
  <c r="F32" i="6"/>
  <c r="D32" i="6"/>
  <c r="C32" i="6"/>
  <c r="Y31" i="6"/>
  <c r="W31" i="6"/>
  <c r="V31" i="6"/>
  <c r="U31" i="6"/>
  <c r="T31" i="6"/>
  <c r="S31" i="6"/>
  <c r="R31" i="6"/>
  <c r="Q31" i="6"/>
  <c r="P31" i="6"/>
  <c r="O31" i="6"/>
  <c r="M31" i="6"/>
  <c r="N31" i="6" s="1"/>
  <c r="L31" i="6"/>
  <c r="J31" i="6"/>
  <c r="I31" i="6"/>
  <c r="K31" i="6" s="1"/>
  <c r="G31" i="6"/>
  <c r="F31" i="6"/>
  <c r="H31" i="6" s="1"/>
  <c r="E31" i="6"/>
  <c r="D31" i="6"/>
  <c r="C31" i="6"/>
  <c r="X30" i="6"/>
  <c r="Q30" i="6"/>
  <c r="N30" i="6"/>
  <c r="K30" i="6"/>
  <c r="H30" i="6"/>
  <c r="E30" i="6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K10" i="6"/>
  <c r="H10" i="6"/>
  <c r="E10" i="6"/>
  <c r="X9" i="6"/>
  <c r="X32" i="6" s="1"/>
  <c r="Q9" i="6"/>
  <c r="Q33" i="6" s="1"/>
  <c r="N9" i="6"/>
  <c r="N32" i="6" s="1"/>
  <c r="K9" i="6"/>
  <c r="K32" i="6" s="1"/>
  <c r="H9" i="6"/>
  <c r="H32" i="6" s="1"/>
  <c r="E9" i="6"/>
  <c r="E33" i="6" s="1"/>
  <c r="Y33" i="5"/>
  <c r="W33" i="5"/>
  <c r="V33" i="5"/>
  <c r="U33" i="5"/>
  <c r="T33" i="5"/>
  <c r="S33" i="5"/>
  <c r="R33" i="5"/>
  <c r="P33" i="5"/>
  <c r="O33" i="5"/>
  <c r="M33" i="5"/>
  <c r="L33" i="5"/>
  <c r="J33" i="5"/>
  <c r="I33" i="5"/>
  <c r="G33" i="5"/>
  <c r="F33" i="5"/>
  <c r="D33" i="5"/>
  <c r="C33" i="5"/>
  <c r="Y32" i="5"/>
  <c r="W32" i="5"/>
  <c r="V32" i="5"/>
  <c r="U32" i="5"/>
  <c r="T32" i="5"/>
  <c r="S32" i="5"/>
  <c r="R32" i="5"/>
  <c r="P32" i="5"/>
  <c r="O32" i="5"/>
  <c r="M32" i="5"/>
  <c r="L32" i="5"/>
  <c r="J32" i="5"/>
  <c r="I32" i="5"/>
  <c r="G32" i="5"/>
  <c r="F32" i="5"/>
  <c r="D32" i="5"/>
  <c r="C32" i="5"/>
  <c r="Y31" i="5"/>
  <c r="W31" i="5"/>
  <c r="V31" i="5"/>
  <c r="U31" i="5"/>
  <c r="T31" i="5"/>
  <c r="S31" i="5"/>
  <c r="R31" i="5"/>
  <c r="Q31" i="5"/>
  <c r="P31" i="5"/>
  <c r="O31" i="5"/>
  <c r="M31" i="5"/>
  <c r="N31" i="5" s="1"/>
  <c r="L31" i="5"/>
  <c r="J31" i="5"/>
  <c r="I31" i="5"/>
  <c r="K31" i="5" s="1"/>
  <c r="G31" i="5"/>
  <c r="F31" i="5"/>
  <c r="H31" i="5" s="1"/>
  <c r="E31" i="5"/>
  <c r="D31" i="5"/>
  <c r="C31" i="5"/>
  <c r="X30" i="5"/>
  <c r="Q30" i="5"/>
  <c r="N30" i="5"/>
  <c r="K30" i="5"/>
  <c r="H30" i="5"/>
  <c r="E30" i="5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N10" i="5"/>
  <c r="K10" i="5"/>
  <c r="H10" i="5"/>
  <c r="E10" i="5"/>
  <c r="X9" i="5"/>
  <c r="X31" i="5" s="1"/>
  <c r="Q9" i="5"/>
  <c r="Q32" i="5" s="1"/>
  <c r="N9" i="5"/>
  <c r="N33" i="5" s="1"/>
  <c r="K9" i="5"/>
  <c r="K32" i="5" s="1"/>
  <c r="H9" i="5"/>
  <c r="H32" i="5" s="1"/>
  <c r="E9" i="5"/>
  <c r="E32" i="5" s="1"/>
  <c r="Y33" i="4"/>
  <c r="W33" i="4"/>
  <c r="V33" i="4"/>
  <c r="U33" i="4"/>
  <c r="T33" i="4"/>
  <c r="S33" i="4"/>
  <c r="R33" i="4"/>
  <c r="P33" i="4"/>
  <c r="O33" i="4"/>
  <c r="M33" i="4"/>
  <c r="L33" i="4"/>
  <c r="J33" i="4"/>
  <c r="I33" i="4"/>
  <c r="G33" i="4"/>
  <c r="F33" i="4"/>
  <c r="D33" i="4"/>
  <c r="C33" i="4"/>
  <c r="Y32" i="4"/>
  <c r="W32" i="4"/>
  <c r="V32" i="4"/>
  <c r="U32" i="4"/>
  <c r="T32" i="4"/>
  <c r="S32" i="4"/>
  <c r="R32" i="4"/>
  <c r="P32" i="4"/>
  <c r="O32" i="4"/>
  <c r="M32" i="4"/>
  <c r="L32" i="4"/>
  <c r="K32" i="4"/>
  <c r="J32" i="4"/>
  <c r="I32" i="4"/>
  <c r="G32" i="4"/>
  <c r="F32" i="4"/>
  <c r="D32" i="4"/>
  <c r="C32" i="4"/>
  <c r="Y31" i="4"/>
  <c r="W31" i="4"/>
  <c r="V31" i="4"/>
  <c r="U31" i="4"/>
  <c r="T31" i="4"/>
  <c r="S31" i="4"/>
  <c r="R31" i="4"/>
  <c r="P31" i="4"/>
  <c r="O31" i="4"/>
  <c r="Q31" i="4" s="1"/>
  <c r="N31" i="4"/>
  <c r="M31" i="4"/>
  <c r="L31" i="4"/>
  <c r="J31" i="4"/>
  <c r="K31" i="4" s="1"/>
  <c r="I31" i="4"/>
  <c r="G31" i="4"/>
  <c r="F31" i="4"/>
  <c r="H31" i="4" s="1"/>
  <c r="D31" i="4"/>
  <c r="C31" i="4"/>
  <c r="E31" i="4" s="1"/>
  <c r="X30" i="4"/>
  <c r="Q30" i="4"/>
  <c r="N30" i="4"/>
  <c r="K30" i="4"/>
  <c r="H30" i="4"/>
  <c r="E30" i="4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X33" i="4" s="1"/>
  <c r="Q10" i="4"/>
  <c r="N10" i="4"/>
  <c r="K10" i="4"/>
  <c r="H10" i="4"/>
  <c r="H33" i="4" s="1"/>
  <c r="E10" i="4"/>
  <c r="X9" i="4"/>
  <c r="X31" i="4" s="1"/>
  <c r="Q9" i="4"/>
  <c r="Q32" i="4" s="1"/>
  <c r="N9" i="4"/>
  <c r="N32" i="4" s="1"/>
  <c r="K9" i="4"/>
  <c r="K33" i="4" s="1"/>
  <c r="H9" i="4"/>
  <c r="H32" i="4" s="1"/>
  <c r="E9" i="4"/>
  <c r="E32" i="4" s="1"/>
  <c r="S33" i="3"/>
  <c r="Q33" i="3"/>
  <c r="P33" i="3"/>
  <c r="O33" i="3"/>
  <c r="N33" i="3"/>
  <c r="M33" i="3"/>
  <c r="L33" i="3"/>
  <c r="J33" i="3"/>
  <c r="I33" i="3"/>
  <c r="G33" i="3"/>
  <c r="F33" i="3"/>
  <c r="D33" i="3"/>
  <c r="C33" i="3"/>
  <c r="S32" i="3"/>
  <c r="Q32" i="3"/>
  <c r="P32" i="3"/>
  <c r="O32" i="3"/>
  <c r="N32" i="3"/>
  <c r="M32" i="3"/>
  <c r="L32" i="3"/>
  <c r="J32" i="3"/>
  <c r="I32" i="3"/>
  <c r="H32" i="3"/>
  <c r="G32" i="3"/>
  <c r="F32" i="3"/>
  <c r="D32" i="3"/>
  <c r="C32" i="3"/>
  <c r="S31" i="3"/>
  <c r="Q31" i="3"/>
  <c r="P31" i="3"/>
  <c r="O31" i="3"/>
  <c r="N31" i="3"/>
  <c r="M31" i="3"/>
  <c r="L31" i="3"/>
  <c r="J31" i="3"/>
  <c r="I31" i="3"/>
  <c r="K31" i="3" s="1"/>
  <c r="G31" i="3"/>
  <c r="F31" i="3"/>
  <c r="H31" i="3" s="1"/>
  <c r="E31" i="3"/>
  <c r="D31" i="3"/>
  <c r="C31" i="3"/>
  <c r="R30" i="3"/>
  <c r="K30" i="3"/>
  <c r="H30" i="3"/>
  <c r="E30" i="3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E10" i="3"/>
  <c r="R9" i="3"/>
  <c r="R33" i="3" s="1"/>
  <c r="K9" i="3"/>
  <c r="K32" i="3" s="1"/>
  <c r="H9" i="3"/>
  <c r="H33" i="3" s="1"/>
  <c r="E9" i="3"/>
  <c r="E33" i="3" s="1"/>
  <c r="S33" i="2"/>
  <c r="R33" i="2"/>
  <c r="Q33" i="2"/>
  <c r="P33" i="2"/>
  <c r="O33" i="2"/>
  <c r="N33" i="2"/>
  <c r="M33" i="2"/>
  <c r="L33" i="2"/>
  <c r="J33" i="2"/>
  <c r="I33" i="2"/>
  <c r="G33" i="2"/>
  <c r="F33" i="2"/>
  <c r="D33" i="2"/>
  <c r="C33" i="2"/>
  <c r="S32" i="2"/>
  <c r="Q32" i="2"/>
  <c r="P32" i="2"/>
  <c r="O32" i="2"/>
  <c r="N32" i="2"/>
  <c r="M32" i="2"/>
  <c r="L32" i="2"/>
  <c r="K32" i="2"/>
  <c r="J32" i="2"/>
  <c r="I32" i="2"/>
  <c r="G32" i="2"/>
  <c r="F32" i="2"/>
  <c r="D32" i="2"/>
  <c r="C32" i="2"/>
  <c r="S31" i="2"/>
  <c r="Q31" i="2"/>
  <c r="P31" i="2"/>
  <c r="O31" i="2"/>
  <c r="N31" i="2"/>
  <c r="M31" i="2"/>
  <c r="L31" i="2"/>
  <c r="J31" i="2"/>
  <c r="I31" i="2"/>
  <c r="K31" i="2" s="1"/>
  <c r="H31" i="2"/>
  <c r="G31" i="2"/>
  <c r="F31" i="2"/>
  <c r="D31" i="2"/>
  <c r="E31" i="2" s="1"/>
  <c r="C31" i="2"/>
  <c r="R30" i="2"/>
  <c r="K30" i="2"/>
  <c r="H30" i="2"/>
  <c r="E30" i="2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E10" i="2"/>
  <c r="R9" i="2"/>
  <c r="R32" i="2" s="1"/>
  <c r="K9" i="2"/>
  <c r="K33" i="2" s="1"/>
  <c r="H9" i="2"/>
  <c r="H33" i="2" s="1"/>
  <c r="E9" i="2"/>
  <c r="E33" i="2" s="1"/>
  <c r="Y33" i="1"/>
  <c r="W33" i="1"/>
  <c r="V33" i="1"/>
  <c r="U33" i="1"/>
  <c r="T33" i="1"/>
  <c r="S33" i="1"/>
  <c r="R33" i="1"/>
  <c r="P33" i="1"/>
  <c r="O33" i="1"/>
  <c r="M33" i="1"/>
  <c r="L33" i="1"/>
  <c r="J33" i="1"/>
  <c r="I33" i="1"/>
  <c r="G33" i="1"/>
  <c r="F33" i="1"/>
  <c r="D33" i="1"/>
  <c r="C33" i="1"/>
  <c r="Y32" i="1"/>
  <c r="W32" i="1"/>
  <c r="V32" i="1"/>
  <c r="U32" i="1"/>
  <c r="T32" i="1"/>
  <c r="S32" i="1"/>
  <c r="R32" i="1"/>
  <c r="Q32" i="1"/>
  <c r="P32" i="1"/>
  <c r="O32" i="1"/>
  <c r="M32" i="1"/>
  <c r="L32" i="1"/>
  <c r="J32" i="1"/>
  <c r="I32" i="1"/>
  <c r="G32" i="1"/>
  <c r="F32" i="1"/>
  <c r="E32" i="1"/>
  <c r="D32" i="1"/>
  <c r="C32" i="1"/>
  <c r="Y31" i="1"/>
  <c r="W31" i="1"/>
  <c r="V31" i="1"/>
  <c r="U31" i="1"/>
  <c r="T31" i="1"/>
  <c r="S31" i="1"/>
  <c r="R31" i="1"/>
  <c r="P31" i="1"/>
  <c r="Q31" i="1" s="1"/>
  <c r="O31" i="1"/>
  <c r="M31" i="1"/>
  <c r="L31" i="1"/>
  <c r="N31" i="1" s="1"/>
  <c r="J31" i="1"/>
  <c r="I31" i="1"/>
  <c r="K31" i="1" s="1"/>
  <c r="H31" i="1"/>
  <c r="G31" i="1"/>
  <c r="F31" i="1"/>
  <c r="D31" i="1"/>
  <c r="E31" i="1" s="1"/>
  <c r="C31" i="1"/>
  <c r="X30" i="1"/>
  <c r="Q30" i="1"/>
  <c r="N30" i="1"/>
  <c r="K30" i="1"/>
  <c r="H30" i="1"/>
  <c r="E30" i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N32" i="1" s="1"/>
  <c r="K10" i="1"/>
  <c r="H10" i="1"/>
  <c r="E10" i="1"/>
  <c r="X9" i="1"/>
  <c r="X32" i="1" s="1"/>
  <c r="Q9" i="1"/>
  <c r="Q33" i="1" s="1"/>
  <c r="N9" i="1"/>
  <c r="K9" i="1"/>
  <c r="K33" i="1" s="1"/>
  <c r="H9" i="1"/>
  <c r="H32" i="1" s="1"/>
  <c r="E9" i="1"/>
  <c r="E33" i="1" s="1"/>
  <c r="N32" i="5" l="1"/>
  <c r="K33" i="5"/>
  <c r="X31" i="6"/>
  <c r="E32" i="6"/>
  <c r="Q32" i="6"/>
  <c r="N33" i="6"/>
  <c r="R32" i="7"/>
  <c r="E33" i="7"/>
  <c r="X31" i="8"/>
  <c r="E32" i="8"/>
  <c r="Q32" i="8"/>
  <c r="N33" i="8"/>
  <c r="K32" i="10"/>
  <c r="R33" i="10"/>
  <c r="K32" i="1"/>
  <c r="H33" i="1"/>
  <c r="X33" i="1"/>
  <c r="H32" i="2"/>
  <c r="R31" i="3"/>
  <c r="E32" i="3"/>
  <c r="X32" i="4"/>
  <c r="E33" i="4"/>
  <c r="Q33" i="4"/>
  <c r="H33" i="5"/>
  <c r="X33" i="5"/>
  <c r="K33" i="6"/>
  <c r="K32" i="7"/>
  <c r="R33" i="7"/>
  <c r="K33" i="8"/>
  <c r="H32" i="10"/>
  <c r="X31" i="1"/>
  <c r="N33" i="1"/>
  <c r="K33" i="3"/>
  <c r="R31" i="2"/>
  <c r="E32" i="2"/>
  <c r="R32" i="3"/>
  <c r="N33" i="4"/>
  <c r="X32" i="5"/>
  <c r="E33" i="5"/>
  <c r="Q33" i="5"/>
  <c r="H33" i="6"/>
  <c r="X33" i="6"/>
  <c r="H32" i="7"/>
  <c r="H33" i="8"/>
  <c r="X33" i="8"/>
  <c r="R31" i="10"/>
  <c r="E32" i="10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<sst xmlns="http://schemas.openxmlformats.org/spreadsheetml/2006/main" count="429" uniqueCount="99">
  <si>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</si>
  <si>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</si>
  <si>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</si>
  <si>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</si>
  <si>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</si>
  <si>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</si>
  <si>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</si>
  <si>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</si>
  <si>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</si>
  <si>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</si>
  <si>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</si>
  <si>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</si>
  <si>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</si>
  <si>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</si>
  <si>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</si>
  <si>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</si>
  <si>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</si>
  <si>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</si>
  <si>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</si>
  <si>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</si>
  <si>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</si>
  <si>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</si>
  <si>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</si>
  <si>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</si>
  <si>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</si>
  <si>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</si>
  <si>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</si>
  <si>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</si>
  <si>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</si>
  <si>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</si>
  <si>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</si>
  <si>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</si>
  <si>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</si>
  <si>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</si>
  <si>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</si>
  <si>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</si>
  <si>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</si>
  <si>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</si>
  <si>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</si>
  <si>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</si>
  <si>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</si>
  <si>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</si>
  <si>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</si>
  <si>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</si>
  <si>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</si>
  <si>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</si>
  <si>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</si>
  <si>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</si>
  <si>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</si>
  <si>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</si>
  <si>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</si>
  <si>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</si>
  <si>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</si>
  <si>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</si>
  <si>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</si>
  <si>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</si>
  <si>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</si>
  <si>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</si>
  <si>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</si>
  <si>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</si>
  <si>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</si>
  <si>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</si>
  <si>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</si>
  <si>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</si>
  <si>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</si>
  <si>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</si>
  <si>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</si>
  <si>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</si>
  <si>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</si>
  <si>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</si>
  <si>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</si>
  <si>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</si>
  <si>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</si>
  <si>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</si>
  <si>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</si>
  <si>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</si>
  <si>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</si>
  <si>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</si>
  <si>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</si>
  <si>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</si>
  <si>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</si>
  <si>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</si>
  <si>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</si>
  <si>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</si>
  <si>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</si>
  <si>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</si>
  <si>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</si>
  <si>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</si>
  <si>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</si>
  <si>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</si>
  <si>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</si>
  <si>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</si>
  <si>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</si>
  <si>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</si>
  <si>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</si>
  <si>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MARCH 2020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</si>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</sst>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&quot;£&quot;#,##0.00;[Red]\-&quot;£&quot;#,##0.00"/>
    <numFmt numFmtId="165" formatCode="\$#,##0.00\ ;\(\$#,##0.00\)"/>
    <numFmt numFmtId="166" formatCode="\$#,##0.00\ "/>
    <numFmt numFmtId="167" formatCode="\$#,###.00"/>
    <numFmt numFmtId="168" formatCode="0.0000"/>
    <numFmt numFmtId="169" formatCode="#,##0.0000"/>
    <numFmt numFmtId="170" formatCode="[$$-409]#,##0.00"/>
    <numFmt numFmtId="171" formatCode="mmm/yyyy"/>
    <numFmt numFmtId="172" formatCode="&quot;$&quot;#,##0.00_);[Red]\(&quot;$&quot;#,##0.00\)"/>
    <numFmt numFmtId="173" formatCode="&quot;$&quot;#,##0.00_);\(&quot;$&quot;#,##0.00\)"/>
    <numFmt numFmtId="174" formatCode="\$#,##0.00"/>
    <numFmt numFmtId="175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5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8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8" fontId="4" fillId="0" borderId="20" xfId="0" applyNumberFormat="1" applyFont="1" applyFill="1" applyBorder="1" applyAlignment="1" applyProtection="1">
      <alignment horizontal="center"/>
    </xf>
    <xf numFmtId="168" fontId="4" fillId="0" borderId="7" xfId="0" applyNumberFormat="1" applyFont="1" applyFill="1" applyBorder="1" applyAlignment="1" applyProtection="1">
      <alignment horizontal="center"/>
    </xf>
    <xf numFmtId="170" fontId="4" fillId="0" borderId="9" xfId="0" applyNumberFormat="1" applyFont="1" applyFill="1" applyBorder="1" applyAlignment="1" applyProtection="1">
      <alignment horizontal="center"/>
    </xf>
    <xf numFmtId="170" fontId="4" fillId="0" borderId="19" xfId="0" applyNumberFormat="1" applyFont="1" applyBorder="1" applyAlignment="1" applyProtection="1">
      <alignment horizontal="center"/>
    </xf>
    <xf numFmtId="170" fontId="4" fillId="0" borderId="8" xfId="0" applyNumberFormat="1" applyFont="1" applyBorder="1" applyAlignment="1" applyProtection="1">
      <alignment horizontal="center"/>
    </xf>
    <xf numFmtId="170" fontId="4" fillId="0" borderId="6" xfId="0" applyNumberFormat="1" applyFont="1" applyBorder="1" applyAlignment="1" applyProtection="1">
      <alignment horizontal="center"/>
    </xf>
    <xf numFmtId="165" fontId="6" fillId="0" borderId="6" xfId="0" applyNumberFormat="1" applyFont="1" applyBorder="1" applyAlignment="1" applyProtection="1">
      <alignment horizontal="center"/>
    </xf>
    <xf numFmtId="168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8" fontId="4" fillId="0" borderId="18" xfId="0" applyNumberFormat="1" applyFont="1" applyFill="1" applyBorder="1" applyAlignment="1" applyProtection="1">
      <alignment horizontal="center"/>
    </xf>
    <xf numFmtId="168" fontId="4" fillId="0" borderId="2" xfId="0" applyNumberFormat="1" applyFont="1" applyFill="1" applyBorder="1" applyAlignment="1" applyProtection="1">
      <alignment horizontal="center"/>
    </xf>
    <xf numFmtId="170" fontId="4" fillId="0" borderId="11" xfId="0" applyNumberFormat="1" applyFont="1" applyFill="1" applyBorder="1" applyAlignment="1" applyProtection="1">
      <alignment horizontal="center"/>
    </xf>
    <xf numFmtId="170" fontId="4" fillId="0" borderId="12" xfId="0" applyNumberFormat="1" applyFont="1" applyBorder="1" applyAlignment="1" applyProtection="1">
      <alignment horizontal="center"/>
    </xf>
    <xf numFmtId="170" fontId="4" fillId="0" borderId="18" xfId="0" applyNumberFormat="1" applyFont="1" applyBorder="1" applyAlignment="1" applyProtection="1">
      <alignment horizontal="center"/>
    </xf>
    <xf numFmtId="170" fontId="4" fillId="0" borderId="17" xfId="0" applyNumberFormat="1" applyFont="1" applyBorder="1" applyAlignment="1" applyProtection="1">
      <alignment horizontal="center"/>
    </xf>
    <xf numFmtId="165" fontId="6" fillId="0" borderId="10" xfId="0" applyNumberFormat="1" applyFont="1" applyBorder="1" applyAlignment="1" applyProtection="1">
      <alignment horizontal="center"/>
    </xf>
    <xf numFmtId="168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8" fontId="4" fillId="0" borderId="15" xfId="0" applyNumberFormat="1" applyFont="1" applyFill="1" applyBorder="1" applyAlignment="1" applyProtection="1">
      <alignment horizontal="center"/>
    </xf>
    <xf numFmtId="168" fontId="4" fillId="0" borderId="21" xfId="0" applyNumberFormat="1" applyFont="1" applyFill="1" applyBorder="1" applyAlignment="1" applyProtection="1">
      <alignment horizontal="center"/>
    </xf>
    <xf numFmtId="170" fontId="4" fillId="0" borderId="16" xfId="0" applyNumberFormat="1" applyFont="1" applyFill="1" applyBorder="1" applyAlignment="1" applyProtection="1">
      <alignment horizontal="center"/>
    </xf>
    <xf numFmtId="170" fontId="4" fillId="0" borderId="14" xfId="0" applyNumberFormat="1" applyFont="1" applyBorder="1" applyAlignment="1" applyProtection="1">
      <alignment horizontal="center"/>
    </xf>
    <xf numFmtId="170" fontId="4" fillId="0" borderId="13" xfId="0" applyNumberFormat="1" applyFont="1" applyBorder="1" applyAlignment="1" applyProtection="1">
      <alignment horizontal="center"/>
    </xf>
    <xf numFmtId="170" fontId="4" fillId="0" borderId="4" xfId="0" applyNumberFormat="1" applyFont="1" applyBorder="1" applyAlignment="1" applyProtection="1">
      <alignment horizontal="center"/>
    </xf>
    <xf numFmtId="165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6" fontId="8" fillId="0" borderId="1" xfId="0" applyNumberFormat="1" applyFont="1" applyBorder="1" applyAlignment="1">
      <alignment horizontal="center"/>
    </xf>
    <xf numFmtId="166" fontId="8" fillId="0" borderId="0" xfId="0" applyNumberFormat="1" applyFont="1" applyBorder="1" applyAlignment="1" applyProtection="1">
      <alignment horizontal="center"/>
      <protection locked="0"/>
    </xf>
    <xf numFmtId="166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9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8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Fill="1" applyBorder="1" applyAlignment="1">
      <alignment horizontal="center"/>
    </xf>
    <xf numFmtId="168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5" fontId="4" fillId="0" borderId="6" xfId="0" applyNumberFormat="1" applyFont="1" applyBorder="1"/>
    <xf numFmtId="165" fontId="4" fillId="0" borderId="4" xfId="0" applyNumberFormat="1" applyFont="1" applyBorder="1"/>
    <xf numFmtId="165" fontId="6" fillId="0" borderId="0" xfId="0" applyNumberFormat="1" applyFont="1" applyBorder="1"/>
    <xf numFmtId="166" fontId="2" fillId="0" borderId="19" xfId="0" applyNumberFormat="1" applyFont="1" applyBorder="1" applyAlignment="1" applyProtection="1">
      <alignment horizontal="right"/>
    </xf>
    <xf numFmtId="165" fontId="1" fillId="0" borderId="24" xfId="0" applyNumberFormat="1" applyFont="1" applyBorder="1" applyAlignment="1" applyProtection="1">
      <alignment horizontal="center"/>
    </xf>
    <xf numFmtId="166" fontId="2" fillId="0" borderId="12" xfId="0" applyNumberFormat="1" applyFont="1" applyBorder="1" applyAlignment="1" applyProtection="1">
      <alignment horizontal="right"/>
    </xf>
    <xf numFmtId="165" fontId="1" fillId="0" borderId="17" xfId="0" applyNumberFormat="1" applyFont="1" applyBorder="1" applyAlignment="1" applyProtection="1">
      <alignment horizontal="center"/>
    </xf>
    <xf numFmtId="166" fontId="2" fillId="0" borderId="14" xfId="0" applyNumberFormat="1" applyFont="1" applyBorder="1" applyAlignment="1" applyProtection="1">
      <alignment horizontal="right"/>
    </xf>
    <xf numFmtId="165" fontId="1" fillId="0" borderId="21" xfId="0" applyNumberFormat="1" applyFont="1" applyBorder="1" applyAlignment="1" applyProtection="1">
      <alignment horizontal="center"/>
    </xf>
    <xf numFmtId="166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5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5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1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6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6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174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2" fontId="4" fillId="0" borderId="0" xfId="0" applyNumberFormat="1" applyFont="1" applyAlignment="1">
      <alignment horizontal="left"/>
    </xf>
    <xf numFmtId="0" fontId="11" fillId="0" borderId="0" xfId="0" applyFont="1"/>
    <xf numFmtId="168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5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6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6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174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2" fontId="2" fillId="2" borderId="0" xfId="0" applyNumberFormat="1" applyFont="1" applyFill="1" applyBorder="1" applyAlignment="1">
      <alignment horizontal="left"/>
    </xf>
    <xf numFmtId="168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5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165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zoomScale="130" zoomScaleNormal="130" workbookViewId="0">
      <pane ySplit="8" topLeftCell="A9" activePane="bottomLeft" state="frozen"/>
      <selection activeCell="C46" sqref="C46"/>
      <selection pane="bottomLeft" activeCell="R45" sqref="R45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43892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43892</v>
      </c>
      <c r="C9" s="46">
        <v>5639</v>
      </c>
      <c r="D9" s="45">
        <v>5640</v>
      </c>
      <c r="E9" s="44">
        <f t="shared" ref="E9:E30" si="0">AVERAGE(C9:D9)</f>
        <v>5639.5</v>
      </c>
      <c r="F9" s="46">
        <v>5656</v>
      </c>
      <c r="G9" s="45">
        <v>5657</v>
      </c>
      <c r="H9" s="44">
        <f t="shared" ref="H9:H30" si="1">AVERAGE(F9:G9)</f>
        <v>5656.5</v>
      </c>
      <c r="I9" s="46">
        <v>5755</v>
      </c>
      <c r="J9" s="45">
        <v>5765</v>
      </c>
      <c r="K9" s="44">
        <f t="shared" ref="K9:K30" si="2">AVERAGE(I9:J9)</f>
        <v>5760</v>
      </c>
      <c r="L9" s="46">
        <v>5810</v>
      </c>
      <c r="M9" s="45">
        <v>5820</v>
      </c>
      <c r="N9" s="44">
        <f t="shared" ref="N9:N30" si="3">AVERAGE(L9:M9)</f>
        <v>5815</v>
      </c>
      <c r="O9" s="46">
        <v>5860</v>
      </c>
      <c r="P9" s="45">
        <v>5870</v>
      </c>
      <c r="Q9" s="44">
        <f t="shared" ref="Q9:Q30" si="4">AVERAGE(O9:P9)</f>
        <v>5865</v>
      </c>
      <c r="R9" s="52">
        <v>5640</v>
      </c>
      <c r="S9" s="51">
        <v>1.2753000000000001</v>
      </c>
      <c r="T9" s="53">
        <v>1.1113</v>
      </c>
      <c r="U9" s="50">
        <v>107.8</v>
      </c>
      <c r="V9" s="43">
        <v>4422.49</v>
      </c>
      <c r="W9" s="43">
        <v>4426.45</v>
      </c>
      <c r="X9" s="49">
        <f t="shared" ref="X9:X30" si="5">R9/T9</f>
        <v>5075.1372266714661</v>
      </c>
      <c r="Y9" s="48">
        <v>1.278</v>
      </c>
    </row>
    <row r="10" spans="1:25" x14ac:dyDescent="0.2">
      <c r="B10" s="47">
        <v>43893</v>
      </c>
      <c r="C10" s="46">
        <v>5667</v>
      </c>
      <c r="D10" s="45">
        <v>5668</v>
      </c>
      <c r="E10" s="44">
        <f t="shared" si="0"/>
        <v>5667.5</v>
      </c>
      <c r="F10" s="46">
        <v>5688</v>
      </c>
      <c r="G10" s="45">
        <v>5689</v>
      </c>
      <c r="H10" s="44">
        <f t="shared" si="1"/>
        <v>5688.5</v>
      </c>
      <c r="I10" s="46">
        <v>5790</v>
      </c>
      <c r="J10" s="45">
        <v>5800</v>
      </c>
      <c r="K10" s="44">
        <f t="shared" si="2"/>
        <v>5795</v>
      </c>
      <c r="L10" s="46">
        <v>5845</v>
      </c>
      <c r="M10" s="45">
        <v>5855</v>
      </c>
      <c r="N10" s="44">
        <f t="shared" si="3"/>
        <v>5850</v>
      </c>
      <c r="O10" s="46">
        <v>5895</v>
      </c>
      <c r="P10" s="45">
        <v>5905</v>
      </c>
      <c r="Q10" s="44">
        <f t="shared" si="4"/>
        <v>5900</v>
      </c>
      <c r="R10" s="52">
        <v>5668</v>
      </c>
      <c r="S10" s="51">
        <v>1.2778</v>
      </c>
      <c r="T10" s="51">
        <v>1.1117999999999999</v>
      </c>
      <c r="U10" s="50">
        <v>107.73</v>
      </c>
      <c r="V10" s="43">
        <v>4435.75</v>
      </c>
      <c r="W10" s="43">
        <v>4443.49</v>
      </c>
      <c r="X10" s="49">
        <f t="shared" si="5"/>
        <v>5098.0392156862754</v>
      </c>
      <c r="Y10" s="48">
        <v>1.2803</v>
      </c>
    </row>
    <row r="11" spans="1:25" x14ac:dyDescent="0.2">
      <c r="B11" s="47">
        <v>43894</v>
      </c>
      <c r="C11" s="46">
        <v>5694</v>
      </c>
      <c r="D11" s="45">
        <v>5694.5</v>
      </c>
      <c r="E11" s="44">
        <f t="shared" si="0"/>
        <v>5694.25</v>
      </c>
      <c r="F11" s="46">
        <v>5716</v>
      </c>
      <c r="G11" s="45">
        <v>5718</v>
      </c>
      <c r="H11" s="44">
        <f t="shared" si="1"/>
        <v>5717</v>
      </c>
      <c r="I11" s="46">
        <v>5815</v>
      </c>
      <c r="J11" s="45">
        <v>5825</v>
      </c>
      <c r="K11" s="44">
        <f t="shared" si="2"/>
        <v>5820</v>
      </c>
      <c r="L11" s="46">
        <v>5870</v>
      </c>
      <c r="M11" s="45">
        <v>5880</v>
      </c>
      <c r="N11" s="44">
        <f t="shared" si="3"/>
        <v>5875</v>
      </c>
      <c r="O11" s="46">
        <v>5925</v>
      </c>
      <c r="P11" s="45">
        <v>5935</v>
      </c>
      <c r="Q11" s="44">
        <f t="shared" si="4"/>
        <v>5930</v>
      </c>
      <c r="R11" s="52">
        <v>5694.5</v>
      </c>
      <c r="S11" s="51">
        <v>1.28</v>
      </c>
      <c r="T11" s="51">
        <v>1.1113</v>
      </c>
      <c r="U11" s="50">
        <v>107.55</v>
      </c>
      <c r="V11" s="43">
        <v>4448.83</v>
      </c>
      <c r="W11" s="43">
        <v>4460.22</v>
      </c>
      <c r="X11" s="49">
        <f t="shared" si="5"/>
        <v>5124.1788895887703</v>
      </c>
      <c r="Y11" s="48">
        <v>1.282</v>
      </c>
    </row>
    <row r="12" spans="1:25" x14ac:dyDescent="0.2">
      <c r="B12" s="47">
        <v>43895</v>
      </c>
      <c r="C12" s="46">
        <v>5667</v>
      </c>
      <c r="D12" s="45">
        <v>5667.5</v>
      </c>
      <c r="E12" s="44">
        <f t="shared" si="0"/>
        <v>5667.25</v>
      </c>
      <c r="F12" s="46">
        <v>5687</v>
      </c>
      <c r="G12" s="45">
        <v>5688</v>
      </c>
      <c r="H12" s="44">
        <f t="shared" si="1"/>
        <v>5687.5</v>
      </c>
      <c r="I12" s="46">
        <v>5785</v>
      </c>
      <c r="J12" s="45">
        <v>5795</v>
      </c>
      <c r="K12" s="44">
        <f t="shared" si="2"/>
        <v>5790</v>
      </c>
      <c r="L12" s="46">
        <v>5835</v>
      </c>
      <c r="M12" s="45">
        <v>5845</v>
      </c>
      <c r="N12" s="44">
        <f t="shared" si="3"/>
        <v>5840</v>
      </c>
      <c r="O12" s="46">
        <v>5890</v>
      </c>
      <c r="P12" s="45">
        <v>5900</v>
      </c>
      <c r="Q12" s="44">
        <f t="shared" si="4"/>
        <v>5895</v>
      </c>
      <c r="R12" s="52">
        <v>5667.5</v>
      </c>
      <c r="S12" s="51">
        <v>1.2914000000000001</v>
      </c>
      <c r="T12" s="51">
        <v>1.1189</v>
      </c>
      <c r="U12" s="50">
        <v>106.92</v>
      </c>
      <c r="V12" s="43">
        <v>4388.6499999999996</v>
      </c>
      <c r="W12" s="43">
        <v>4398.3900000000003</v>
      </c>
      <c r="X12" s="49">
        <f t="shared" si="5"/>
        <v>5065.2426490302978</v>
      </c>
      <c r="Y12" s="48">
        <v>1.2931999999999999</v>
      </c>
    </row>
    <row r="13" spans="1:25" x14ac:dyDescent="0.2">
      <c r="B13" s="47">
        <v>43896</v>
      </c>
      <c r="C13" s="46">
        <v>5623</v>
      </c>
      <c r="D13" s="45">
        <v>5624</v>
      </c>
      <c r="E13" s="44">
        <f t="shared" si="0"/>
        <v>5623.5</v>
      </c>
      <c r="F13" s="46">
        <v>5638</v>
      </c>
      <c r="G13" s="45">
        <v>5640</v>
      </c>
      <c r="H13" s="44">
        <f t="shared" si="1"/>
        <v>5639</v>
      </c>
      <c r="I13" s="46">
        <v>5735</v>
      </c>
      <c r="J13" s="45">
        <v>5745</v>
      </c>
      <c r="K13" s="44">
        <f t="shared" si="2"/>
        <v>5740</v>
      </c>
      <c r="L13" s="46">
        <v>5785</v>
      </c>
      <c r="M13" s="45">
        <v>5795</v>
      </c>
      <c r="N13" s="44">
        <f t="shared" si="3"/>
        <v>5790</v>
      </c>
      <c r="O13" s="46">
        <v>5840</v>
      </c>
      <c r="P13" s="45">
        <v>5850</v>
      </c>
      <c r="Q13" s="44">
        <f t="shared" si="4"/>
        <v>5845</v>
      </c>
      <c r="R13" s="52">
        <v>5624</v>
      </c>
      <c r="S13" s="51">
        <v>1.2994000000000001</v>
      </c>
      <c r="T13" s="51">
        <v>1.1315999999999999</v>
      </c>
      <c r="U13" s="50">
        <v>105.19</v>
      </c>
      <c r="V13" s="43">
        <v>4328.1499999999996</v>
      </c>
      <c r="W13" s="43">
        <v>4335.13</v>
      </c>
      <c r="X13" s="49">
        <f t="shared" si="5"/>
        <v>4969.9540473665611</v>
      </c>
      <c r="Y13" s="48">
        <v>1.3009999999999999</v>
      </c>
    </row>
    <row r="14" spans="1:25" x14ac:dyDescent="0.2">
      <c r="B14" s="47">
        <v>43899</v>
      </c>
      <c r="C14" s="46">
        <v>5482</v>
      </c>
      <c r="D14" s="45">
        <v>5483</v>
      </c>
      <c r="E14" s="44">
        <f t="shared" si="0"/>
        <v>5482.5</v>
      </c>
      <c r="F14" s="46">
        <v>5492</v>
      </c>
      <c r="G14" s="45">
        <v>5495</v>
      </c>
      <c r="H14" s="44">
        <f t="shared" si="1"/>
        <v>5493.5</v>
      </c>
      <c r="I14" s="46">
        <v>5590</v>
      </c>
      <c r="J14" s="45">
        <v>5600</v>
      </c>
      <c r="K14" s="44">
        <f t="shared" si="2"/>
        <v>5595</v>
      </c>
      <c r="L14" s="46">
        <v>5640</v>
      </c>
      <c r="M14" s="45">
        <v>5650</v>
      </c>
      <c r="N14" s="44">
        <f t="shared" si="3"/>
        <v>5645</v>
      </c>
      <c r="O14" s="46">
        <v>5690</v>
      </c>
      <c r="P14" s="45">
        <v>5700</v>
      </c>
      <c r="Q14" s="44">
        <f t="shared" si="4"/>
        <v>5695</v>
      </c>
      <c r="R14" s="52">
        <v>5483</v>
      </c>
      <c r="S14" s="51">
        <v>1.3102</v>
      </c>
      <c r="T14" s="51">
        <v>1.1435</v>
      </c>
      <c r="U14" s="50">
        <v>102.3</v>
      </c>
      <c r="V14" s="43">
        <v>4184.8599999999997</v>
      </c>
      <c r="W14" s="43">
        <v>4194.0200000000004</v>
      </c>
      <c r="X14" s="49">
        <f t="shared" si="5"/>
        <v>4794.9278530826414</v>
      </c>
      <c r="Y14" s="48">
        <v>1.3102</v>
      </c>
    </row>
    <row r="15" spans="1:25" x14ac:dyDescent="0.2">
      <c r="B15" s="47">
        <v>43900</v>
      </c>
      <c r="C15" s="46">
        <v>5597</v>
      </c>
      <c r="D15" s="45">
        <v>5598</v>
      </c>
      <c r="E15" s="44">
        <f t="shared" si="0"/>
        <v>5597.5</v>
      </c>
      <c r="F15" s="46">
        <v>5607.5</v>
      </c>
      <c r="G15" s="45">
        <v>5608.5</v>
      </c>
      <c r="H15" s="44">
        <f t="shared" si="1"/>
        <v>5608</v>
      </c>
      <c r="I15" s="46">
        <v>5710</v>
      </c>
      <c r="J15" s="45">
        <v>5720</v>
      </c>
      <c r="K15" s="44">
        <f t="shared" si="2"/>
        <v>5715</v>
      </c>
      <c r="L15" s="46">
        <v>5760</v>
      </c>
      <c r="M15" s="45">
        <v>5770</v>
      </c>
      <c r="N15" s="44">
        <f t="shared" si="3"/>
        <v>5765</v>
      </c>
      <c r="O15" s="46">
        <v>5810</v>
      </c>
      <c r="P15" s="45">
        <v>5820</v>
      </c>
      <c r="Q15" s="44">
        <f t="shared" si="4"/>
        <v>5815</v>
      </c>
      <c r="R15" s="52">
        <v>5598</v>
      </c>
      <c r="S15" s="51">
        <v>1.3024</v>
      </c>
      <c r="T15" s="51">
        <v>1.1379999999999999</v>
      </c>
      <c r="U15" s="50">
        <v>104.24</v>
      </c>
      <c r="V15" s="43">
        <v>4298.22</v>
      </c>
      <c r="W15" s="43">
        <v>4306.28</v>
      </c>
      <c r="X15" s="49">
        <f t="shared" si="5"/>
        <v>4919.1564147627423</v>
      </c>
      <c r="Y15" s="48">
        <v>1.3024</v>
      </c>
    </row>
    <row r="16" spans="1:25" x14ac:dyDescent="0.2">
      <c r="B16" s="47">
        <v>43901</v>
      </c>
      <c r="C16" s="46">
        <v>5551</v>
      </c>
      <c r="D16" s="45">
        <v>5552</v>
      </c>
      <c r="E16" s="44">
        <f t="shared" si="0"/>
        <v>5551.5</v>
      </c>
      <c r="F16" s="46">
        <v>5560</v>
      </c>
      <c r="G16" s="45">
        <v>5562</v>
      </c>
      <c r="H16" s="44">
        <f t="shared" si="1"/>
        <v>5561</v>
      </c>
      <c r="I16" s="46">
        <v>5660</v>
      </c>
      <c r="J16" s="45">
        <v>5670</v>
      </c>
      <c r="K16" s="44">
        <f t="shared" si="2"/>
        <v>5665</v>
      </c>
      <c r="L16" s="46">
        <v>5710</v>
      </c>
      <c r="M16" s="45">
        <v>5720</v>
      </c>
      <c r="N16" s="44">
        <f t="shared" si="3"/>
        <v>5715</v>
      </c>
      <c r="O16" s="46">
        <v>5760</v>
      </c>
      <c r="P16" s="45">
        <v>5770</v>
      </c>
      <c r="Q16" s="44">
        <f t="shared" si="4"/>
        <v>5765</v>
      </c>
      <c r="R16" s="52">
        <v>5552</v>
      </c>
      <c r="S16" s="51">
        <v>1.2941</v>
      </c>
      <c r="T16" s="51">
        <v>1.1339999999999999</v>
      </c>
      <c r="U16" s="50">
        <v>104.45</v>
      </c>
      <c r="V16" s="43">
        <v>4290.24</v>
      </c>
      <c r="W16" s="43">
        <v>4293.99</v>
      </c>
      <c r="X16" s="49">
        <f t="shared" si="5"/>
        <v>4895.9435626102295</v>
      </c>
      <c r="Y16" s="48">
        <v>1.2952999999999999</v>
      </c>
    </row>
    <row r="17" spans="2:25" x14ac:dyDescent="0.2">
      <c r="B17" s="47">
        <v>43902</v>
      </c>
      <c r="C17" s="46">
        <v>5386</v>
      </c>
      <c r="D17" s="45">
        <v>5386.5</v>
      </c>
      <c r="E17" s="44">
        <f t="shared" si="0"/>
        <v>5386.25</v>
      </c>
      <c r="F17" s="46">
        <v>5395</v>
      </c>
      <c r="G17" s="45">
        <v>5400</v>
      </c>
      <c r="H17" s="44">
        <f t="shared" si="1"/>
        <v>5397.5</v>
      </c>
      <c r="I17" s="46">
        <v>5495</v>
      </c>
      <c r="J17" s="45">
        <v>5505</v>
      </c>
      <c r="K17" s="44">
        <f t="shared" si="2"/>
        <v>5500</v>
      </c>
      <c r="L17" s="46">
        <v>5545</v>
      </c>
      <c r="M17" s="45">
        <v>5555</v>
      </c>
      <c r="N17" s="44">
        <f t="shared" si="3"/>
        <v>5550</v>
      </c>
      <c r="O17" s="46">
        <v>5600</v>
      </c>
      <c r="P17" s="45">
        <v>5610</v>
      </c>
      <c r="Q17" s="44">
        <f t="shared" si="4"/>
        <v>5605</v>
      </c>
      <c r="R17" s="52">
        <v>5386.5</v>
      </c>
      <c r="S17" s="51">
        <v>1.2662</v>
      </c>
      <c r="T17" s="51">
        <v>1.1214999999999999</v>
      </c>
      <c r="U17" s="50">
        <v>104.13</v>
      </c>
      <c r="V17" s="43">
        <v>4254.07</v>
      </c>
      <c r="W17" s="43">
        <v>4264.7299999999996</v>
      </c>
      <c r="X17" s="49">
        <f t="shared" si="5"/>
        <v>4802.942487739635</v>
      </c>
      <c r="Y17" s="48">
        <v>1.2662</v>
      </c>
    </row>
    <row r="18" spans="2:25" x14ac:dyDescent="0.2">
      <c r="B18" s="47">
        <v>43903</v>
      </c>
      <c r="C18" s="46">
        <v>5530</v>
      </c>
      <c r="D18" s="45">
        <v>5530.5</v>
      </c>
      <c r="E18" s="44">
        <f t="shared" si="0"/>
        <v>5530.25</v>
      </c>
      <c r="F18" s="46">
        <v>5546</v>
      </c>
      <c r="G18" s="45">
        <v>5548</v>
      </c>
      <c r="H18" s="44">
        <f t="shared" si="1"/>
        <v>5547</v>
      </c>
      <c r="I18" s="46">
        <v>5650</v>
      </c>
      <c r="J18" s="45">
        <v>5660</v>
      </c>
      <c r="K18" s="44">
        <f t="shared" si="2"/>
        <v>5655</v>
      </c>
      <c r="L18" s="46">
        <v>5700</v>
      </c>
      <c r="M18" s="45">
        <v>5710</v>
      </c>
      <c r="N18" s="44">
        <f t="shared" si="3"/>
        <v>5705</v>
      </c>
      <c r="O18" s="46">
        <v>5755</v>
      </c>
      <c r="P18" s="45">
        <v>5765</v>
      </c>
      <c r="Q18" s="44">
        <f t="shared" si="4"/>
        <v>5760</v>
      </c>
      <c r="R18" s="52">
        <v>5530.5</v>
      </c>
      <c r="S18" s="51">
        <v>1.2468999999999999</v>
      </c>
      <c r="T18" s="51">
        <v>1.111</v>
      </c>
      <c r="U18" s="50">
        <v>107.31</v>
      </c>
      <c r="V18" s="43">
        <v>4435.3999999999996</v>
      </c>
      <c r="W18" s="43">
        <v>4441.95</v>
      </c>
      <c r="X18" s="49">
        <f t="shared" si="5"/>
        <v>4977.9477947794776</v>
      </c>
      <c r="Y18" s="48">
        <v>1.2490000000000001</v>
      </c>
    </row>
    <row r="19" spans="2:25" x14ac:dyDescent="0.2">
      <c r="B19" s="47">
        <v>43906</v>
      </c>
      <c r="C19" s="46">
        <v>5210</v>
      </c>
      <c r="D19" s="45">
        <v>5211</v>
      </c>
      <c r="E19" s="44">
        <f t="shared" si="0"/>
        <v>5210.5</v>
      </c>
      <c r="F19" s="46">
        <v>5220</v>
      </c>
      <c r="G19" s="45">
        <v>5221</v>
      </c>
      <c r="H19" s="44">
        <f t="shared" si="1"/>
        <v>5220.5</v>
      </c>
      <c r="I19" s="46">
        <v>5310</v>
      </c>
      <c r="J19" s="45">
        <v>5320</v>
      </c>
      <c r="K19" s="44">
        <f t="shared" si="2"/>
        <v>5315</v>
      </c>
      <c r="L19" s="46">
        <v>5365</v>
      </c>
      <c r="M19" s="45">
        <v>5375</v>
      </c>
      <c r="N19" s="44">
        <f t="shared" si="3"/>
        <v>5370</v>
      </c>
      <c r="O19" s="46">
        <v>5415</v>
      </c>
      <c r="P19" s="45">
        <v>5425</v>
      </c>
      <c r="Q19" s="44">
        <f t="shared" si="4"/>
        <v>5420</v>
      </c>
      <c r="R19" s="52">
        <v>5211</v>
      </c>
      <c r="S19" s="51">
        <v>1.2274</v>
      </c>
      <c r="T19" s="51">
        <v>1.1166</v>
      </c>
      <c r="U19" s="50">
        <v>105.29</v>
      </c>
      <c r="V19" s="43">
        <v>4245.5600000000004</v>
      </c>
      <c r="W19" s="43">
        <v>4245.41</v>
      </c>
      <c r="X19" s="49">
        <f t="shared" si="5"/>
        <v>4666.8457818377219</v>
      </c>
      <c r="Y19" s="48">
        <v>1.2298</v>
      </c>
    </row>
    <row r="20" spans="2:25" x14ac:dyDescent="0.2">
      <c r="B20" s="47">
        <v>43907</v>
      </c>
      <c r="C20" s="46">
        <v>5203</v>
      </c>
      <c r="D20" s="45">
        <v>5205</v>
      </c>
      <c r="E20" s="44">
        <f t="shared" si="0"/>
        <v>5204</v>
      </c>
      <c r="F20" s="46">
        <v>5216</v>
      </c>
      <c r="G20" s="45">
        <v>5218</v>
      </c>
      <c r="H20" s="44">
        <f t="shared" si="1"/>
        <v>5217</v>
      </c>
      <c r="I20" s="46">
        <v>5310</v>
      </c>
      <c r="J20" s="45">
        <v>5320</v>
      </c>
      <c r="K20" s="44">
        <f t="shared" si="2"/>
        <v>5315</v>
      </c>
      <c r="L20" s="46">
        <v>5365</v>
      </c>
      <c r="M20" s="45">
        <v>5375</v>
      </c>
      <c r="N20" s="44">
        <f t="shared" si="3"/>
        <v>5370</v>
      </c>
      <c r="O20" s="46">
        <v>5415</v>
      </c>
      <c r="P20" s="45">
        <v>5425</v>
      </c>
      <c r="Q20" s="44">
        <f t="shared" si="4"/>
        <v>5420</v>
      </c>
      <c r="R20" s="52">
        <v>5205</v>
      </c>
      <c r="S20" s="51">
        <v>1.2092000000000001</v>
      </c>
      <c r="T20" s="51">
        <v>1.0989</v>
      </c>
      <c r="U20" s="50">
        <v>107.06</v>
      </c>
      <c r="V20" s="43">
        <v>4304.5</v>
      </c>
      <c r="W20" s="43">
        <v>4302.8</v>
      </c>
      <c r="X20" s="49">
        <f t="shared" si="5"/>
        <v>4736.5547365547363</v>
      </c>
      <c r="Y20" s="48">
        <v>1.2126999999999999</v>
      </c>
    </row>
    <row r="21" spans="2:25" x14ac:dyDescent="0.2">
      <c r="B21" s="47">
        <v>43908</v>
      </c>
      <c r="C21" s="46">
        <v>4859.5</v>
      </c>
      <c r="D21" s="45">
        <v>4860.5</v>
      </c>
      <c r="E21" s="44">
        <f t="shared" si="0"/>
        <v>4860</v>
      </c>
      <c r="F21" s="46">
        <v>4880</v>
      </c>
      <c r="G21" s="45">
        <v>4881</v>
      </c>
      <c r="H21" s="44">
        <f t="shared" si="1"/>
        <v>4880.5</v>
      </c>
      <c r="I21" s="46">
        <v>4990</v>
      </c>
      <c r="J21" s="45">
        <v>5000</v>
      </c>
      <c r="K21" s="44">
        <f t="shared" si="2"/>
        <v>4995</v>
      </c>
      <c r="L21" s="46">
        <v>5045</v>
      </c>
      <c r="M21" s="45">
        <v>5055</v>
      </c>
      <c r="N21" s="44">
        <f t="shared" si="3"/>
        <v>5050</v>
      </c>
      <c r="O21" s="46">
        <v>5100</v>
      </c>
      <c r="P21" s="45">
        <v>5110</v>
      </c>
      <c r="Q21" s="44">
        <f t="shared" si="4"/>
        <v>5105</v>
      </c>
      <c r="R21" s="52">
        <v>4860.5</v>
      </c>
      <c r="S21" s="51">
        <v>1.1843999999999999</v>
      </c>
      <c r="T21" s="51">
        <v>1.0931</v>
      </c>
      <c r="U21" s="50">
        <v>107.64</v>
      </c>
      <c r="V21" s="43">
        <v>4103.7700000000004</v>
      </c>
      <c r="W21" s="43">
        <v>4114.13</v>
      </c>
      <c r="X21" s="49">
        <f t="shared" si="5"/>
        <v>4446.5282224865068</v>
      </c>
      <c r="Y21" s="48">
        <v>1.1863999999999999</v>
      </c>
    </row>
    <row r="22" spans="2:25" x14ac:dyDescent="0.2">
      <c r="B22" s="47">
        <v>43909</v>
      </c>
      <c r="C22" s="46">
        <v>4684</v>
      </c>
      <c r="D22" s="45">
        <v>4685</v>
      </c>
      <c r="E22" s="44">
        <f t="shared" si="0"/>
        <v>4684.5</v>
      </c>
      <c r="F22" s="46">
        <v>4688</v>
      </c>
      <c r="G22" s="45">
        <v>4690</v>
      </c>
      <c r="H22" s="44">
        <f t="shared" si="1"/>
        <v>4689</v>
      </c>
      <c r="I22" s="46">
        <v>4805</v>
      </c>
      <c r="J22" s="45">
        <v>4815</v>
      </c>
      <c r="K22" s="44">
        <f t="shared" si="2"/>
        <v>4810</v>
      </c>
      <c r="L22" s="46">
        <v>4870</v>
      </c>
      <c r="M22" s="45">
        <v>4880</v>
      </c>
      <c r="N22" s="44">
        <f t="shared" si="3"/>
        <v>4875</v>
      </c>
      <c r="O22" s="46">
        <v>4935</v>
      </c>
      <c r="P22" s="45">
        <v>4945</v>
      </c>
      <c r="Q22" s="44">
        <f t="shared" si="4"/>
        <v>4940</v>
      </c>
      <c r="R22" s="52">
        <v>4685</v>
      </c>
      <c r="S22" s="51">
        <v>1.1625000000000001</v>
      </c>
      <c r="T22" s="51">
        <v>1.0799000000000001</v>
      </c>
      <c r="U22" s="50">
        <v>109.79</v>
      </c>
      <c r="V22" s="43">
        <v>4030.11</v>
      </c>
      <c r="W22" s="43">
        <v>4034.41</v>
      </c>
      <c r="X22" s="49">
        <f t="shared" si="5"/>
        <v>4338.3646633947583</v>
      </c>
      <c r="Y22" s="48">
        <v>1.1625000000000001</v>
      </c>
    </row>
    <row r="23" spans="2:25" x14ac:dyDescent="0.2">
      <c r="B23" s="47">
        <v>43910</v>
      </c>
      <c r="C23" s="46">
        <v>4854</v>
      </c>
      <c r="D23" s="45">
        <v>4855</v>
      </c>
      <c r="E23" s="44">
        <f t="shared" si="0"/>
        <v>4854.5</v>
      </c>
      <c r="F23" s="46">
        <v>4866</v>
      </c>
      <c r="G23" s="45">
        <v>4868</v>
      </c>
      <c r="H23" s="44">
        <f t="shared" si="1"/>
        <v>4867</v>
      </c>
      <c r="I23" s="46">
        <v>4980</v>
      </c>
      <c r="J23" s="45">
        <v>4990</v>
      </c>
      <c r="K23" s="44">
        <f t="shared" si="2"/>
        <v>4985</v>
      </c>
      <c r="L23" s="46">
        <v>5045</v>
      </c>
      <c r="M23" s="45">
        <v>5055</v>
      </c>
      <c r="N23" s="44">
        <f t="shared" si="3"/>
        <v>5050</v>
      </c>
      <c r="O23" s="46">
        <v>5110</v>
      </c>
      <c r="P23" s="45">
        <v>5120</v>
      </c>
      <c r="Q23" s="44">
        <f t="shared" si="4"/>
        <v>5115</v>
      </c>
      <c r="R23" s="52">
        <v>4855</v>
      </c>
      <c r="S23" s="51">
        <v>1.1779999999999999</v>
      </c>
      <c r="T23" s="51">
        <v>1.0709</v>
      </c>
      <c r="U23" s="50">
        <v>110.37</v>
      </c>
      <c r="V23" s="43">
        <v>4121.3900000000003</v>
      </c>
      <c r="W23" s="43">
        <v>4124.03</v>
      </c>
      <c r="X23" s="49">
        <f t="shared" si="5"/>
        <v>4533.5698944812775</v>
      </c>
      <c r="Y23" s="48">
        <v>1.1803999999999999</v>
      </c>
    </row>
    <row r="24" spans="2:25" x14ac:dyDescent="0.2">
      <c r="B24" s="47">
        <v>43913</v>
      </c>
      <c r="C24" s="46">
        <v>4617.5</v>
      </c>
      <c r="D24" s="45">
        <v>4617.5</v>
      </c>
      <c r="E24" s="44">
        <f t="shared" si="0"/>
        <v>4617.5</v>
      </c>
      <c r="F24" s="46">
        <v>4626.5</v>
      </c>
      <c r="G24" s="45">
        <v>4626.5</v>
      </c>
      <c r="H24" s="44">
        <f t="shared" si="1"/>
        <v>4626.5</v>
      </c>
      <c r="I24" s="46">
        <v>4739.5</v>
      </c>
      <c r="J24" s="45">
        <v>4739.5</v>
      </c>
      <c r="K24" s="44">
        <f t="shared" si="2"/>
        <v>4739.5</v>
      </c>
      <c r="L24" s="46">
        <v>4804.5</v>
      </c>
      <c r="M24" s="45">
        <v>4804.5</v>
      </c>
      <c r="N24" s="44">
        <f t="shared" si="3"/>
        <v>4804.5</v>
      </c>
      <c r="O24" s="46">
        <v>4869.5</v>
      </c>
      <c r="P24" s="45">
        <v>4869.5</v>
      </c>
      <c r="Q24" s="44">
        <f t="shared" si="4"/>
        <v>4869.5</v>
      </c>
      <c r="R24" s="52">
        <v>4617.5</v>
      </c>
      <c r="S24" s="51">
        <v>1.1633</v>
      </c>
      <c r="T24" s="51">
        <v>1.0780000000000001</v>
      </c>
      <c r="U24" s="50">
        <v>110.23</v>
      </c>
      <c r="V24" s="43">
        <v>3969.31</v>
      </c>
      <c r="W24" s="43">
        <v>3970.56</v>
      </c>
      <c r="X24" s="49">
        <f t="shared" si="5"/>
        <v>4283.3951762523193</v>
      </c>
      <c r="Y24" s="48">
        <v>1.1652</v>
      </c>
    </row>
    <row r="25" spans="2:25" x14ac:dyDescent="0.2">
      <c r="B25" s="47">
        <v>43914</v>
      </c>
      <c r="C25" s="46">
        <v>4789.5</v>
      </c>
      <c r="D25" s="45">
        <v>4789.5</v>
      </c>
      <c r="E25" s="44">
        <f t="shared" si="0"/>
        <v>4789.5</v>
      </c>
      <c r="F25" s="46">
        <v>4797.5</v>
      </c>
      <c r="G25" s="45">
        <v>4797.5</v>
      </c>
      <c r="H25" s="44">
        <f t="shared" si="1"/>
        <v>4797.5</v>
      </c>
      <c r="I25" s="46">
        <v>4912.5</v>
      </c>
      <c r="J25" s="45">
        <v>4912.5</v>
      </c>
      <c r="K25" s="44">
        <f t="shared" si="2"/>
        <v>4912.5</v>
      </c>
      <c r="L25" s="46">
        <v>4977.5</v>
      </c>
      <c r="M25" s="45">
        <v>4977.5</v>
      </c>
      <c r="N25" s="44">
        <f t="shared" si="3"/>
        <v>4977.5</v>
      </c>
      <c r="O25" s="46">
        <v>5042.5</v>
      </c>
      <c r="P25" s="45">
        <v>5042.5</v>
      </c>
      <c r="Q25" s="44">
        <f t="shared" si="4"/>
        <v>5042.5</v>
      </c>
      <c r="R25" s="52">
        <v>4789.5</v>
      </c>
      <c r="S25" s="51">
        <v>1.1753</v>
      </c>
      <c r="T25" s="51">
        <v>1.0822000000000001</v>
      </c>
      <c r="U25" s="50">
        <v>110.82</v>
      </c>
      <c r="V25" s="43">
        <v>4075.13</v>
      </c>
      <c r="W25" s="43">
        <v>4074.31</v>
      </c>
      <c r="X25" s="49">
        <f t="shared" si="5"/>
        <v>4425.7068933653663</v>
      </c>
      <c r="Y25" s="48">
        <v>1.1775</v>
      </c>
    </row>
    <row r="26" spans="2:25" x14ac:dyDescent="0.2">
      <c r="B26" s="47">
        <v>43915</v>
      </c>
      <c r="C26" s="46">
        <v>4754</v>
      </c>
      <c r="D26" s="45">
        <v>4754</v>
      </c>
      <c r="E26" s="44">
        <f t="shared" si="0"/>
        <v>4754</v>
      </c>
      <c r="F26" s="46">
        <v>4766.5</v>
      </c>
      <c r="G26" s="45">
        <v>4766.5</v>
      </c>
      <c r="H26" s="44">
        <f t="shared" si="1"/>
        <v>4766.5</v>
      </c>
      <c r="I26" s="46">
        <v>4876.5</v>
      </c>
      <c r="J26" s="45">
        <v>4876.5</v>
      </c>
      <c r="K26" s="44">
        <f t="shared" si="2"/>
        <v>4876.5</v>
      </c>
      <c r="L26" s="46">
        <v>4941.5</v>
      </c>
      <c r="M26" s="45">
        <v>4941.5</v>
      </c>
      <c r="N26" s="44">
        <f t="shared" si="3"/>
        <v>4941.5</v>
      </c>
      <c r="O26" s="46">
        <v>5006.5</v>
      </c>
      <c r="P26" s="45">
        <v>5006.5</v>
      </c>
      <c r="Q26" s="44">
        <f t="shared" si="4"/>
        <v>5006.5</v>
      </c>
      <c r="R26" s="52">
        <v>4754</v>
      </c>
      <c r="S26" s="51">
        <v>1.1838</v>
      </c>
      <c r="T26" s="51">
        <v>1.0820000000000001</v>
      </c>
      <c r="U26" s="50">
        <v>111.35</v>
      </c>
      <c r="V26" s="43">
        <v>4015.88</v>
      </c>
      <c r="W26" s="43">
        <v>4019.65</v>
      </c>
      <c r="X26" s="49">
        <f t="shared" si="5"/>
        <v>4393.7153419593342</v>
      </c>
      <c r="Y26" s="48">
        <v>1.1858</v>
      </c>
    </row>
    <row r="27" spans="2:25" x14ac:dyDescent="0.2">
      <c r="B27" s="47">
        <v>43916</v>
      </c>
      <c r="C27" s="46">
        <v>4775.5</v>
      </c>
      <c r="D27" s="45">
        <v>4775.5</v>
      </c>
      <c r="E27" s="44">
        <f t="shared" si="0"/>
        <v>4775.5</v>
      </c>
      <c r="F27" s="46">
        <v>4789.5</v>
      </c>
      <c r="G27" s="45">
        <v>4789.5</v>
      </c>
      <c r="H27" s="44">
        <f t="shared" si="1"/>
        <v>4789.5</v>
      </c>
      <c r="I27" s="46">
        <v>4893</v>
      </c>
      <c r="J27" s="45">
        <v>4893</v>
      </c>
      <c r="K27" s="44">
        <f t="shared" si="2"/>
        <v>4893</v>
      </c>
      <c r="L27" s="46">
        <v>4958</v>
      </c>
      <c r="M27" s="45">
        <v>4958</v>
      </c>
      <c r="N27" s="44">
        <f t="shared" si="3"/>
        <v>4958</v>
      </c>
      <c r="O27" s="46">
        <v>5023</v>
      </c>
      <c r="P27" s="45">
        <v>5023</v>
      </c>
      <c r="Q27" s="44">
        <f t="shared" si="4"/>
        <v>5023</v>
      </c>
      <c r="R27" s="52">
        <v>4775.5</v>
      </c>
      <c r="S27" s="51">
        <v>1.1988000000000001</v>
      </c>
      <c r="T27" s="51">
        <v>1.0972</v>
      </c>
      <c r="U27" s="50">
        <v>109.67</v>
      </c>
      <c r="V27" s="43">
        <v>3983.57</v>
      </c>
      <c r="W27" s="43">
        <v>3988.92</v>
      </c>
      <c r="X27" s="49">
        <f t="shared" si="5"/>
        <v>4352.442581115567</v>
      </c>
      <c r="Y27" s="48">
        <v>1.2007000000000001</v>
      </c>
    </row>
    <row r="28" spans="2:25" x14ac:dyDescent="0.2">
      <c r="B28" s="47">
        <v>43917</v>
      </c>
      <c r="C28" s="46">
        <v>4774</v>
      </c>
      <c r="D28" s="45">
        <v>4774</v>
      </c>
      <c r="E28" s="44">
        <f t="shared" si="0"/>
        <v>4774</v>
      </c>
      <c r="F28" s="46">
        <v>4785.5</v>
      </c>
      <c r="G28" s="45">
        <v>4785.5</v>
      </c>
      <c r="H28" s="44">
        <f t="shared" si="1"/>
        <v>4785.5</v>
      </c>
      <c r="I28" s="46">
        <v>4888.5</v>
      </c>
      <c r="J28" s="45">
        <v>4888.5</v>
      </c>
      <c r="K28" s="44">
        <f t="shared" si="2"/>
        <v>4888.5</v>
      </c>
      <c r="L28" s="46">
        <v>4953.5</v>
      </c>
      <c r="M28" s="45">
        <v>4953.5</v>
      </c>
      <c r="N28" s="44">
        <f t="shared" si="3"/>
        <v>4953.5</v>
      </c>
      <c r="O28" s="46">
        <v>5021.5</v>
      </c>
      <c r="P28" s="45">
        <v>5021.5</v>
      </c>
      <c r="Q28" s="44">
        <f t="shared" si="4"/>
        <v>5021.5</v>
      </c>
      <c r="R28" s="52">
        <v>4774</v>
      </c>
      <c r="S28" s="51">
        <v>1.2251000000000001</v>
      </c>
      <c r="T28" s="51">
        <v>1.0986</v>
      </c>
      <c r="U28" s="50">
        <v>108.79</v>
      </c>
      <c r="V28" s="43">
        <v>3896.82</v>
      </c>
      <c r="W28" s="43">
        <v>3900.16</v>
      </c>
      <c r="X28" s="49">
        <f t="shared" si="5"/>
        <v>4345.5306754050607</v>
      </c>
      <c r="Y28" s="48">
        <v>1.2270000000000001</v>
      </c>
    </row>
    <row r="29" spans="2:25" x14ac:dyDescent="0.2">
      <c r="B29" s="47">
        <v>43920</v>
      </c>
      <c r="C29" s="46">
        <v>4763</v>
      </c>
      <c r="D29" s="45">
        <v>4763</v>
      </c>
      <c r="E29" s="44">
        <f t="shared" si="0"/>
        <v>4763</v>
      </c>
      <c r="F29" s="46">
        <v>4773</v>
      </c>
      <c r="G29" s="45">
        <v>4773</v>
      </c>
      <c r="H29" s="44">
        <f t="shared" si="1"/>
        <v>4773</v>
      </c>
      <c r="I29" s="46">
        <v>4873</v>
      </c>
      <c r="J29" s="45">
        <v>4873</v>
      </c>
      <c r="K29" s="44">
        <f t="shared" si="2"/>
        <v>4873</v>
      </c>
      <c r="L29" s="46">
        <v>4939</v>
      </c>
      <c r="M29" s="45">
        <v>4939</v>
      </c>
      <c r="N29" s="44">
        <f t="shared" si="3"/>
        <v>4939</v>
      </c>
      <c r="O29" s="46">
        <v>5008</v>
      </c>
      <c r="P29" s="45">
        <v>5008</v>
      </c>
      <c r="Q29" s="44">
        <f t="shared" si="4"/>
        <v>5008</v>
      </c>
      <c r="R29" s="52">
        <v>4763</v>
      </c>
      <c r="S29" s="51">
        <v>1.2427999999999999</v>
      </c>
      <c r="T29" s="51">
        <v>1.1061000000000001</v>
      </c>
      <c r="U29" s="50">
        <v>107.99</v>
      </c>
      <c r="V29" s="43">
        <v>3832.48</v>
      </c>
      <c r="W29" s="43">
        <v>3834.35</v>
      </c>
      <c r="X29" s="49">
        <f t="shared" si="5"/>
        <v>4306.1206039236959</v>
      </c>
      <c r="Y29" s="48">
        <v>1.2447999999999999</v>
      </c>
    </row>
    <row r="30" spans="2:25" x14ac:dyDescent="0.2">
      <c r="B30" s="47">
        <v>43921</v>
      </c>
      <c r="C30" s="46">
        <v>4797</v>
      </c>
      <c r="D30" s="45">
        <v>4797</v>
      </c>
      <c r="E30" s="44">
        <f t="shared" si="0"/>
        <v>4797</v>
      </c>
      <c r="F30" s="46">
        <v>4811.5</v>
      </c>
      <c r="G30" s="45">
        <v>4811.5</v>
      </c>
      <c r="H30" s="44">
        <f t="shared" si="1"/>
        <v>4811.5</v>
      </c>
      <c r="I30" s="46">
        <v>4911</v>
      </c>
      <c r="J30" s="45">
        <v>4911</v>
      </c>
      <c r="K30" s="44">
        <f t="shared" si="2"/>
        <v>4911</v>
      </c>
      <c r="L30" s="46">
        <v>4977</v>
      </c>
      <c r="M30" s="45">
        <v>4977</v>
      </c>
      <c r="N30" s="44">
        <f t="shared" si="3"/>
        <v>4977</v>
      </c>
      <c r="O30" s="46">
        <v>5046</v>
      </c>
      <c r="P30" s="45">
        <v>5046</v>
      </c>
      <c r="Q30" s="44">
        <f t="shared" si="4"/>
        <v>5046</v>
      </c>
      <c r="R30" s="52">
        <v>4797</v>
      </c>
      <c r="S30" s="51">
        <v>1.2351000000000001</v>
      </c>
      <c r="T30" s="51">
        <v>1.0952999999999999</v>
      </c>
      <c r="U30" s="50">
        <v>108.57</v>
      </c>
      <c r="V30" s="43">
        <v>3883.9</v>
      </c>
      <c r="W30" s="43">
        <v>3889.34</v>
      </c>
      <c r="X30" s="49">
        <f t="shared" si="5"/>
        <v>4379.6220213640099</v>
      </c>
      <c r="Y30" s="48">
        <v>1.2371000000000001</v>
      </c>
    </row>
    <row r="31" spans="2:25" s="10" customFormat="1" x14ac:dyDescent="0.2">
      <c r="B31" s="42" t="s">
        <v>11</v>
      </c>
      <c r="C31" s="41">
        <f>ROUND(AVERAGE(C9:C30),2)</f>
        <v>5178.05</v>
      </c>
      <c r="D31" s="40">
        <f>ROUND(AVERAGE(D9:D30),2)</f>
        <v>5178.68</v>
      </c>
      <c r="E31" s="39">
        <f>ROUND(AVERAGE(C31:D31),2)</f>
        <v>5178.37</v>
      </c>
      <c r="F31" s="41">
        <f>ROUND(AVERAGE(F9:F30),2)</f>
        <v>5191.16</v>
      </c>
      <c r="G31" s="40">
        <f>ROUND(AVERAGE(G9:G30),2)</f>
        <v>5192.43</v>
      </c>
      <c r="H31" s="39">
        <f>ROUND(AVERAGE(F31:G31),2)</f>
        <v>5191.8</v>
      </c>
      <c r="I31" s="41">
        <f>ROUND(AVERAGE(I9:I30),2)</f>
        <v>5294.27</v>
      </c>
      <c r="J31" s="40">
        <f>ROUND(AVERAGE(J9:J30),2)</f>
        <v>5301.09</v>
      </c>
      <c r="K31" s="39">
        <f>ROUND(AVERAGE(I31:J31),2)</f>
        <v>5297.68</v>
      </c>
      <c r="L31" s="41">
        <f>ROUND(AVERAGE(L9:L30),2)</f>
        <v>5351.86</v>
      </c>
      <c r="M31" s="40">
        <f>ROUND(AVERAGE(M9:M30),2)</f>
        <v>5358.68</v>
      </c>
      <c r="N31" s="39">
        <f>ROUND(AVERAGE(L31:M31),2)</f>
        <v>5355.27</v>
      </c>
      <c r="O31" s="41">
        <f>ROUND(AVERAGE(O9:O30),2)</f>
        <v>5409.86</v>
      </c>
      <c r="P31" s="40">
        <f>ROUND(AVERAGE(P9:P30),2)</f>
        <v>5416.68</v>
      </c>
      <c r="Q31" s="39">
        <f>ROUND(AVERAGE(O31:P31),2)</f>
        <v>5413.27</v>
      </c>
      <c r="R31" s="38">
        <f>ROUND(AVERAGE(R9:R30),2)</f>
        <v>5178.68</v>
      </c>
      <c r="S31" s="37">
        <f>ROUND(AVERAGE(S9:S30),4)</f>
        <v>1.2377</v>
      </c>
      <c r="T31" s="36">
        <f>ROUND(AVERAGE(T9:T30),4)</f>
        <v>1.1060000000000001</v>
      </c>
      <c r="U31" s="175">
        <f>ROUND(AVERAGE(U9:U30),2)</f>
        <v>107.51</v>
      </c>
      <c r="V31" s="35">
        <f>AVERAGE(V9:V30)</f>
        <v>4179.5036363636373</v>
      </c>
      <c r="W31" s="35">
        <f>AVERAGE(W9:W30)</f>
        <v>4184.6690909090903</v>
      </c>
      <c r="X31" s="35">
        <f>AVERAGE(X9:X30)</f>
        <v>4678.7212151572021</v>
      </c>
      <c r="Y31" s="34">
        <f>AVERAGE(Y9:Y30)</f>
        <v>1.2394318181818182</v>
      </c>
    </row>
    <row r="32" spans="2:25" s="5" customFormat="1" x14ac:dyDescent="0.2">
      <c r="B32" s="33" t="s">
        <v>12</v>
      </c>
      <c r="C32" s="32">
        <f t="shared" ref="C32:Y32" si="6">MAX(C9:C30)</f>
        <v>5694</v>
      </c>
      <c r="D32" s="31">
        <f t="shared" si="6"/>
        <v>5694.5</v>
      </c>
      <c r="E32" s="30">
        <f t="shared" si="6"/>
        <v>5694.25</v>
      </c>
      <c r="F32" s="32">
        <f t="shared" si="6"/>
        <v>5716</v>
      </c>
      <c r="G32" s="31">
        <f t="shared" si="6"/>
        <v>5718</v>
      </c>
      <c r="H32" s="30">
        <f t="shared" si="6"/>
        <v>5717</v>
      </c>
      <c r="I32" s="32">
        <f t="shared" si="6"/>
        <v>5815</v>
      </c>
      <c r="J32" s="31">
        <f t="shared" si="6"/>
        <v>5825</v>
      </c>
      <c r="K32" s="30">
        <f t="shared" si="6"/>
        <v>5820</v>
      </c>
      <c r="L32" s="32">
        <f t="shared" si="6"/>
        <v>5870</v>
      </c>
      <c r="M32" s="31">
        <f t="shared" si="6"/>
        <v>5880</v>
      </c>
      <c r="N32" s="30">
        <f t="shared" si="6"/>
        <v>5875</v>
      </c>
      <c r="O32" s="32">
        <f t="shared" si="6"/>
        <v>5925</v>
      </c>
      <c r="P32" s="31">
        <f t="shared" si="6"/>
        <v>5935</v>
      </c>
      <c r="Q32" s="30">
        <f t="shared" si="6"/>
        <v>5930</v>
      </c>
      <c r="R32" s="29">
        <f t="shared" si="6"/>
        <v>5694.5</v>
      </c>
      <c r="S32" s="28">
        <f t="shared" si="6"/>
        <v>1.3102</v>
      </c>
      <c r="T32" s="27">
        <f t="shared" si="6"/>
        <v>1.1435</v>
      </c>
      <c r="U32" s="26">
        <f t="shared" si="6"/>
        <v>111.35</v>
      </c>
      <c r="V32" s="25">
        <f t="shared" si="6"/>
        <v>4448.83</v>
      </c>
      <c r="W32" s="25">
        <f t="shared" si="6"/>
        <v>4460.22</v>
      </c>
      <c r="X32" s="25">
        <f t="shared" si="6"/>
        <v>5124.1788895887703</v>
      </c>
      <c r="Y32" s="24">
        <f t="shared" si="6"/>
        <v>1.3102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4617.5</v>
      </c>
      <c r="D33" s="21">
        <f t="shared" si="7"/>
        <v>4617.5</v>
      </c>
      <c r="E33" s="20">
        <f t="shared" si="7"/>
        <v>4617.5</v>
      </c>
      <c r="F33" s="22">
        <f t="shared" si="7"/>
        <v>4626.5</v>
      </c>
      <c r="G33" s="21">
        <f t="shared" si="7"/>
        <v>4626.5</v>
      </c>
      <c r="H33" s="20">
        <f t="shared" si="7"/>
        <v>4626.5</v>
      </c>
      <c r="I33" s="22">
        <f t="shared" si="7"/>
        <v>4739.5</v>
      </c>
      <c r="J33" s="21">
        <f t="shared" si="7"/>
        <v>4739.5</v>
      </c>
      <c r="K33" s="20">
        <f t="shared" si="7"/>
        <v>4739.5</v>
      </c>
      <c r="L33" s="22">
        <f t="shared" si="7"/>
        <v>4804.5</v>
      </c>
      <c r="M33" s="21">
        <f t="shared" si="7"/>
        <v>4804.5</v>
      </c>
      <c r="N33" s="20">
        <f t="shared" si="7"/>
        <v>4804.5</v>
      </c>
      <c r="O33" s="22">
        <f t="shared" si="7"/>
        <v>4869.5</v>
      </c>
      <c r="P33" s="21">
        <f t="shared" si="7"/>
        <v>4869.5</v>
      </c>
      <c r="Q33" s="20">
        <f t="shared" si="7"/>
        <v>4869.5</v>
      </c>
      <c r="R33" s="19">
        <f t="shared" si="7"/>
        <v>4617.5</v>
      </c>
      <c r="S33" s="18">
        <f t="shared" si="7"/>
        <v>1.1625000000000001</v>
      </c>
      <c r="T33" s="17">
        <f t="shared" si="7"/>
        <v>1.0709</v>
      </c>
      <c r="U33" s="16">
        <f t="shared" si="7"/>
        <v>102.3</v>
      </c>
      <c r="V33" s="15">
        <f t="shared" si="7"/>
        <v>3832.48</v>
      </c>
      <c r="W33" s="15">
        <f t="shared" si="7"/>
        <v>3834.35</v>
      </c>
      <c r="X33" s="15">
        <f t="shared" si="7"/>
        <v>4283.3951762523193</v>
      </c>
      <c r="Y33" s="14">
        <f t="shared" si="7"/>
        <v>1.1625000000000001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6"/>
  <sheetViews>
    <sheetView tabSelected="1"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43892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43892</v>
      </c>
      <c r="C9" s="46">
        <v>1350</v>
      </c>
      <c r="D9" s="45">
        <v>1360</v>
      </c>
      <c r="E9" s="44">
        <f t="shared" ref="E9:E30" si="0">AVERAGE(C9:D9)</f>
        <v>1355</v>
      </c>
      <c r="F9" s="46">
        <v>1380</v>
      </c>
      <c r="G9" s="45">
        <v>1390</v>
      </c>
      <c r="H9" s="44">
        <f t="shared" ref="H9:H30" si="1">AVERAGE(F9:G9)</f>
        <v>1385</v>
      </c>
      <c r="I9" s="46">
        <v>1390</v>
      </c>
      <c r="J9" s="45">
        <v>1400</v>
      </c>
      <c r="K9" s="44">
        <f t="shared" ref="K9:K30" si="2">AVERAGE(I9:J9)</f>
        <v>1395</v>
      </c>
      <c r="L9" s="52">
        <v>1360</v>
      </c>
      <c r="M9" s="51">
        <v>1.2753000000000001</v>
      </c>
      <c r="N9" s="53">
        <v>1.1113</v>
      </c>
      <c r="O9" s="50">
        <v>107.8</v>
      </c>
      <c r="P9" s="43">
        <v>1066.42</v>
      </c>
      <c r="Q9" s="43">
        <v>1087.6400000000001</v>
      </c>
      <c r="R9" s="49">
        <f t="shared" ref="R9:R30" si="3">L9/N9</f>
        <v>1223.7919553675877</v>
      </c>
      <c r="S9" s="48">
        <v>1.278</v>
      </c>
    </row>
    <row r="10" spans="1:19" x14ac:dyDescent="0.2">
      <c r="B10" s="47">
        <v>43893</v>
      </c>
      <c r="C10" s="46">
        <v>1370</v>
      </c>
      <c r="D10" s="45">
        <v>1380</v>
      </c>
      <c r="E10" s="44">
        <f t="shared" si="0"/>
        <v>1375</v>
      </c>
      <c r="F10" s="46">
        <v>1400</v>
      </c>
      <c r="G10" s="45">
        <v>1410</v>
      </c>
      <c r="H10" s="44">
        <f t="shared" si="1"/>
        <v>1405</v>
      </c>
      <c r="I10" s="46">
        <v>1410</v>
      </c>
      <c r="J10" s="45">
        <v>1420</v>
      </c>
      <c r="K10" s="44">
        <f t="shared" si="2"/>
        <v>1415</v>
      </c>
      <c r="L10" s="52">
        <v>1380</v>
      </c>
      <c r="M10" s="51">
        <v>1.2778</v>
      </c>
      <c r="N10" s="51">
        <v>1.1117999999999999</v>
      </c>
      <c r="O10" s="50">
        <v>107.73</v>
      </c>
      <c r="P10" s="43">
        <v>1079.98</v>
      </c>
      <c r="Q10" s="43">
        <v>1101.3</v>
      </c>
      <c r="R10" s="49">
        <f t="shared" si="3"/>
        <v>1241.2304371289802</v>
      </c>
      <c r="S10" s="48">
        <v>1.2803</v>
      </c>
    </row>
    <row r="11" spans="1:19" x14ac:dyDescent="0.2">
      <c r="B11" s="47">
        <v>43894</v>
      </c>
      <c r="C11" s="46">
        <v>1385</v>
      </c>
      <c r="D11" s="45">
        <v>1395</v>
      </c>
      <c r="E11" s="44">
        <f t="shared" si="0"/>
        <v>1390</v>
      </c>
      <c r="F11" s="46">
        <v>1418</v>
      </c>
      <c r="G11" s="45">
        <v>1420</v>
      </c>
      <c r="H11" s="44">
        <f t="shared" si="1"/>
        <v>1419</v>
      </c>
      <c r="I11" s="46">
        <v>1425</v>
      </c>
      <c r="J11" s="45">
        <v>1435</v>
      </c>
      <c r="K11" s="44">
        <f t="shared" si="2"/>
        <v>1430</v>
      </c>
      <c r="L11" s="52">
        <v>1395</v>
      </c>
      <c r="M11" s="51">
        <v>1.28</v>
      </c>
      <c r="N11" s="51">
        <v>1.1113</v>
      </c>
      <c r="O11" s="50">
        <v>107.55</v>
      </c>
      <c r="P11" s="43">
        <v>1089.8399999999999</v>
      </c>
      <c r="Q11" s="43">
        <v>1107.6400000000001</v>
      </c>
      <c r="R11" s="49">
        <f t="shared" si="3"/>
        <v>1255.2866012777829</v>
      </c>
      <c r="S11" s="48">
        <v>1.282</v>
      </c>
    </row>
    <row r="12" spans="1:19" x14ac:dyDescent="0.2">
      <c r="B12" s="47">
        <v>43895</v>
      </c>
      <c r="C12" s="46">
        <v>1380</v>
      </c>
      <c r="D12" s="45">
        <v>1390</v>
      </c>
      <c r="E12" s="44">
        <f t="shared" si="0"/>
        <v>1385</v>
      </c>
      <c r="F12" s="46">
        <v>1410</v>
      </c>
      <c r="G12" s="45">
        <v>1420</v>
      </c>
      <c r="H12" s="44">
        <f t="shared" si="1"/>
        <v>1415</v>
      </c>
      <c r="I12" s="46">
        <v>1420</v>
      </c>
      <c r="J12" s="45">
        <v>1430</v>
      </c>
      <c r="K12" s="44">
        <f t="shared" si="2"/>
        <v>1425</v>
      </c>
      <c r="L12" s="52">
        <v>1390</v>
      </c>
      <c r="M12" s="51">
        <v>1.2914000000000001</v>
      </c>
      <c r="N12" s="51">
        <v>1.1189</v>
      </c>
      <c r="O12" s="50">
        <v>106.92</v>
      </c>
      <c r="P12" s="43">
        <v>1076.3499999999999</v>
      </c>
      <c r="Q12" s="43">
        <v>1098.05</v>
      </c>
      <c r="R12" s="49">
        <f t="shared" si="3"/>
        <v>1242.2915363303243</v>
      </c>
      <c r="S12" s="48">
        <v>1.2931999999999999</v>
      </c>
    </row>
    <row r="13" spans="1:19" x14ac:dyDescent="0.2">
      <c r="B13" s="47">
        <v>43896</v>
      </c>
      <c r="C13" s="46">
        <v>1365</v>
      </c>
      <c r="D13" s="45">
        <v>1375</v>
      </c>
      <c r="E13" s="44">
        <f t="shared" si="0"/>
        <v>1370</v>
      </c>
      <c r="F13" s="46">
        <v>1410</v>
      </c>
      <c r="G13" s="45">
        <v>1420</v>
      </c>
      <c r="H13" s="44">
        <f t="shared" si="1"/>
        <v>1415</v>
      </c>
      <c r="I13" s="46">
        <v>1420</v>
      </c>
      <c r="J13" s="45">
        <v>1430</v>
      </c>
      <c r="K13" s="44">
        <f t="shared" si="2"/>
        <v>1425</v>
      </c>
      <c r="L13" s="52">
        <v>1375</v>
      </c>
      <c r="M13" s="51">
        <v>1.2994000000000001</v>
      </c>
      <c r="N13" s="51">
        <v>1.1315999999999999</v>
      </c>
      <c r="O13" s="50">
        <v>105.19</v>
      </c>
      <c r="P13" s="43">
        <v>1058.18</v>
      </c>
      <c r="Q13" s="43">
        <v>1091.47</v>
      </c>
      <c r="R13" s="49">
        <f t="shared" si="3"/>
        <v>1215.0936726758573</v>
      </c>
      <c r="S13" s="48">
        <v>1.3009999999999999</v>
      </c>
    </row>
    <row r="14" spans="1:19" x14ac:dyDescent="0.2">
      <c r="B14" s="47">
        <v>43899</v>
      </c>
      <c r="C14" s="46">
        <v>1370</v>
      </c>
      <c r="D14" s="45">
        <v>1380</v>
      </c>
      <c r="E14" s="44">
        <f t="shared" si="0"/>
        <v>1375</v>
      </c>
      <c r="F14" s="46">
        <v>1410</v>
      </c>
      <c r="G14" s="45">
        <v>1420</v>
      </c>
      <c r="H14" s="44">
        <f t="shared" si="1"/>
        <v>1415</v>
      </c>
      <c r="I14" s="46">
        <v>1415</v>
      </c>
      <c r="J14" s="45">
        <v>1425</v>
      </c>
      <c r="K14" s="44">
        <f t="shared" si="2"/>
        <v>1420</v>
      </c>
      <c r="L14" s="52">
        <v>1380</v>
      </c>
      <c r="M14" s="51">
        <v>1.3102</v>
      </c>
      <c r="N14" s="51">
        <v>1.1435</v>
      </c>
      <c r="O14" s="50">
        <v>102.3</v>
      </c>
      <c r="P14" s="43">
        <v>1053.27</v>
      </c>
      <c r="Q14" s="43">
        <v>1083.8</v>
      </c>
      <c r="R14" s="49">
        <f t="shared" si="3"/>
        <v>1206.8211630957587</v>
      </c>
      <c r="S14" s="48">
        <v>1.3102</v>
      </c>
    </row>
    <row r="15" spans="1:19" x14ac:dyDescent="0.2">
      <c r="B15" s="47">
        <v>43900</v>
      </c>
      <c r="C15" s="46">
        <v>1365</v>
      </c>
      <c r="D15" s="45">
        <v>1375</v>
      </c>
      <c r="E15" s="44">
        <f t="shared" si="0"/>
        <v>1370</v>
      </c>
      <c r="F15" s="46">
        <v>1410</v>
      </c>
      <c r="G15" s="45">
        <v>1420</v>
      </c>
      <c r="H15" s="44">
        <f t="shared" si="1"/>
        <v>1415</v>
      </c>
      <c r="I15" s="46">
        <v>1415</v>
      </c>
      <c r="J15" s="45">
        <v>1425</v>
      </c>
      <c r="K15" s="44">
        <f t="shared" si="2"/>
        <v>1420</v>
      </c>
      <c r="L15" s="52">
        <v>1375</v>
      </c>
      <c r="M15" s="51">
        <v>1.3024</v>
      </c>
      <c r="N15" s="51">
        <v>1.1379999999999999</v>
      </c>
      <c r="O15" s="50">
        <v>104.24</v>
      </c>
      <c r="P15" s="43">
        <v>1055.74</v>
      </c>
      <c r="Q15" s="43">
        <v>1090.29</v>
      </c>
      <c r="R15" s="49">
        <f t="shared" si="3"/>
        <v>1208.2601054481547</v>
      </c>
      <c r="S15" s="48">
        <v>1.3024</v>
      </c>
    </row>
    <row r="16" spans="1:19" x14ac:dyDescent="0.2">
      <c r="B16" s="47">
        <v>43901</v>
      </c>
      <c r="C16" s="46">
        <v>1345</v>
      </c>
      <c r="D16" s="45">
        <v>1355</v>
      </c>
      <c r="E16" s="44">
        <f t="shared" si="0"/>
        <v>1350</v>
      </c>
      <c r="F16" s="46">
        <v>1390</v>
      </c>
      <c r="G16" s="45">
        <v>1400</v>
      </c>
      <c r="H16" s="44">
        <f t="shared" si="1"/>
        <v>1395</v>
      </c>
      <c r="I16" s="46">
        <v>1395</v>
      </c>
      <c r="J16" s="45">
        <v>1405</v>
      </c>
      <c r="K16" s="44">
        <f t="shared" si="2"/>
        <v>1400</v>
      </c>
      <c r="L16" s="52">
        <v>1355</v>
      </c>
      <c r="M16" s="51">
        <v>1.2941</v>
      </c>
      <c r="N16" s="51">
        <v>1.1339999999999999</v>
      </c>
      <c r="O16" s="50">
        <v>104.45</v>
      </c>
      <c r="P16" s="43">
        <v>1047.06</v>
      </c>
      <c r="Q16" s="43">
        <v>1080.83</v>
      </c>
      <c r="R16" s="49">
        <f t="shared" si="3"/>
        <v>1194.8853615520284</v>
      </c>
      <c r="S16" s="48">
        <v>1.2952999999999999</v>
      </c>
    </row>
    <row r="17" spans="2:19" x14ac:dyDescent="0.2">
      <c r="B17" s="47">
        <v>43902</v>
      </c>
      <c r="C17" s="46">
        <v>1345</v>
      </c>
      <c r="D17" s="45">
        <v>1355</v>
      </c>
      <c r="E17" s="44">
        <f t="shared" si="0"/>
        <v>1350</v>
      </c>
      <c r="F17" s="46">
        <v>1390</v>
      </c>
      <c r="G17" s="45">
        <v>1400</v>
      </c>
      <c r="H17" s="44">
        <f t="shared" si="1"/>
        <v>1395</v>
      </c>
      <c r="I17" s="46">
        <v>1395</v>
      </c>
      <c r="J17" s="45">
        <v>1405</v>
      </c>
      <c r="K17" s="44">
        <f t="shared" si="2"/>
        <v>1400</v>
      </c>
      <c r="L17" s="52">
        <v>1355</v>
      </c>
      <c r="M17" s="51">
        <v>1.2662</v>
      </c>
      <c r="N17" s="51">
        <v>1.1214999999999999</v>
      </c>
      <c r="O17" s="50">
        <v>104.13</v>
      </c>
      <c r="P17" s="43">
        <v>1070.1300000000001</v>
      </c>
      <c r="Q17" s="43">
        <v>1105.67</v>
      </c>
      <c r="R17" s="49">
        <f t="shared" si="3"/>
        <v>1208.2032991529202</v>
      </c>
      <c r="S17" s="48">
        <v>1.2662</v>
      </c>
    </row>
    <row r="18" spans="2:19" x14ac:dyDescent="0.2">
      <c r="B18" s="47">
        <v>43903</v>
      </c>
      <c r="C18" s="46">
        <v>1340</v>
      </c>
      <c r="D18" s="45">
        <v>1350</v>
      </c>
      <c r="E18" s="44">
        <f t="shared" si="0"/>
        <v>1345</v>
      </c>
      <c r="F18" s="46">
        <v>1395</v>
      </c>
      <c r="G18" s="45">
        <v>1405</v>
      </c>
      <c r="H18" s="44">
        <f t="shared" si="1"/>
        <v>1400</v>
      </c>
      <c r="I18" s="46">
        <v>1400</v>
      </c>
      <c r="J18" s="45">
        <v>1410</v>
      </c>
      <c r="K18" s="44">
        <f t="shared" si="2"/>
        <v>1405</v>
      </c>
      <c r="L18" s="52">
        <v>1350</v>
      </c>
      <c r="M18" s="51">
        <v>1.2468999999999999</v>
      </c>
      <c r="N18" s="51">
        <v>1.111</v>
      </c>
      <c r="O18" s="50">
        <v>107.31</v>
      </c>
      <c r="P18" s="43">
        <v>1082.69</v>
      </c>
      <c r="Q18" s="43">
        <v>1124.9000000000001</v>
      </c>
      <c r="R18" s="49">
        <f t="shared" si="3"/>
        <v>1215.121512151215</v>
      </c>
      <c r="S18" s="48">
        <v>1.2490000000000001</v>
      </c>
    </row>
    <row r="19" spans="2:19" x14ac:dyDescent="0.2">
      <c r="B19" s="47">
        <v>43906</v>
      </c>
      <c r="C19" s="46">
        <v>1345</v>
      </c>
      <c r="D19" s="45">
        <v>1355</v>
      </c>
      <c r="E19" s="44">
        <f t="shared" si="0"/>
        <v>1350</v>
      </c>
      <c r="F19" s="46">
        <v>1390</v>
      </c>
      <c r="G19" s="45">
        <v>1400</v>
      </c>
      <c r="H19" s="44">
        <f t="shared" si="1"/>
        <v>1395</v>
      </c>
      <c r="I19" s="46">
        <v>1395</v>
      </c>
      <c r="J19" s="45">
        <v>1405</v>
      </c>
      <c r="K19" s="44">
        <f t="shared" si="2"/>
        <v>1400</v>
      </c>
      <c r="L19" s="52">
        <v>1355</v>
      </c>
      <c r="M19" s="51">
        <v>1.2274</v>
      </c>
      <c r="N19" s="51">
        <v>1.1166</v>
      </c>
      <c r="O19" s="50">
        <v>105.29</v>
      </c>
      <c r="P19" s="43">
        <v>1103.96</v>
      </c>
      <c r="Q19" s="43">
        <v>1138.4000000000001</v>
      </c>
      <c r="R19" s="49">
        <f t="shared" si="3"/>
        <v>1213.5052838975462</v>
      </c>
      <c r="S19" s="48">
        <v>1.2298</v>
      </c>
    </row>
    <row r="20" spans="2:19" x14ac:dyDescent="0.2">
      <c r="B20" s="47">
        <v>43907</v>
      </c>
      <c r="C20" s="46">
        <v>1295</v>
      </c>
      <c r="D20" s="45">
        <v>1305</v>
      </c>
      <c r="E20" s="44">
        <f t="shared" si="0"/>
        <v>1300</v>
      </c>
      <c r="F20" s="46">
        <v>1340</v>
      </c>
      <c r="G20" s="45">
        <v>1350</v>
      </c>
      <c r="H20" s="44">
        <f t="shared" si="1"/>
        <v>1345</v>
      </c>
      <c r="I20" s="46">
        <v>1345</v>
      </c>
      <c r="J20" s="45">
        <v>1355</v>
      </c>
      <c r="K20" s="44">
        <f t="shared" si="2"/>
        <v>1350</v>
      </c>
      <c r="L20" s="52">
        <v>1305</v>
      </c>
      <c r="M20" s="51">
        <v>1.2092000000000001</v>
      </c>
      <c r="N20" s="51">
        <v>1.0989</v>
      </c>
      <c r="O20" s="50">
        <v>107.06</v>
      </c>
      <c r="P20" s="43">
        <v>1079.23</v>
      </c>
      <c r="Q20" s="43">
        <v>1113.22</v>
      </c>
      <c r="R20" s="49">
        <f t="shared" si="3"/>
        <v>1187.5511875511875</v>
      </c>
      <c r="S20" s="48">
        <v>1.2126999999999999</v>
      </c>
    </row>
    <row r="21" spans="2:19" x14ac:dyDescent="0.2">
      <c r="B21" s="47">
        <v>43908</v>
      </c>
      <c r="C21" s="46">
        <v>1200</v>
      </c>
      <c r="D21" s="45">
        <v>1210</v>
      </c>
      <c r="E21" s="44">
        <f t="shared" si="0"/>
        <v>1205</v>
      </c>
      <c r="F21" s="46">
        <v>1249</v>
      </c>
      <c r="G21" s="45">
        <v>1251</v>
      </c>
      <c r="H21" s="44">
        <f t="shared" si="1"/>
        <v>1250</v>
      </c>
      <c r="I21" s="46">
        <v>1250</v>
      </c>
      <c r="J21" s="45">
        <v>1260</v>
      </c>
      <c r="K21" s="44">
        <f t="shared" si="2"/>
        <v>1255</v>
      </c>
      <c r="L21" s="52">
        <v>1210</v>
      </c>
      <c r="M21" s="51">
        <v>1.1843999999999999</v>
      </c>
      <c r="N21" s="51">
        <v>1.0931</v>
      </c>
      <c r="O21" s="50">
        <v>107.64</v>
      </c>
      <c r="P21" s="43">
        <v>1021.61</v>
      </c>
      <c r="Q21" s="43">
        <v>1054.45</v>
      </c>
      <c r="R21" s="49">
        <f t="shared" si="3"/>
        <v>1106.9435550269875</v>
      </c>
      <c r="S21" s="48">
        <v>1.1863999999999999</v>
      </c>
    </row>
    <row r="22" spans="2:19" x14ac:dyDescent="0.2">
      <c r="B22" s="47">
        <v>43909</v>
      </c>
      <c r="C22" s="46">
        <v>1165</v>
      </c>
      <c r="D22" s="45">
        <v>1175</v>
      </c>
      <c r="E22" s="44">
        <f t="shared" si="0"/>
        <v>1170</v>
      </c>
      <c r="F22" s="46">
        <v>1210</v>
      </c>
      <c r="G22" s="45">
        <v>1220</v>
      </c>
      <c r="H22" s="44">
        <f t="shared" si="1"/>
        <v>1215</v>
      </c>
      <c r="I22" s="46">
        <v>1215</v>
      </c>
      <c r="J22" s="45">
        <v>1225</v>
      </c>
      <c r="K22" s="44">
        <f t="shared" si="2"/>
        <v>1220</v>
      </c>
      <c r="L22" s="52">
        <v>1175</v>
      </c>
      <c r="M22" s="51">
        <v>1.1625000000000001</v>
      </c>
      <c r="N22" s="51">
        <v>1.0799000000000001</v>
      </c>
      <c r="O22" s="50">
        <v>109.79</v>
      </c>
      <c r="P22" s="43">
        <v>1010.75</v>
      </c>
      <c r="Q22" s="43">
        <v>1049.46</v>
      </c>
      <c r="R22" s="49">
        <f t="shared" si="3"/>
        <v>1088.0637096027408</v>
      </c>
      <c r="S22" s="48">
        <v>1.1625000000000001</v>
      </c>
    </row>
    <row r="23" spans="2:19" x14ac:dyDescent="0.2">
      <c r="B23" s="47">
        <v>43910</v>
      </c>
      <c r="C23" s="46">
        <v>1160</v>
      </c>
      <c r="D23" s="45">
        <v>1170</v>
      </c>
      <c r="E23" s="44">
        <f t="shared" si="0"/>
        <v>1165</v>
      </c>
      <c r="F23" s="46">
        <v>1200</v>
      </c>
      <c r="G23" s="45">
        <v>1210</v>
      </c>
      <c r="H23" s="44">
        <f t="shared" si="1"/>
        <v>1205</v>
      </c>
      <c r="I23" s="46">
        <v>1205</v>
      </c>
      <c r="J23" s="45">
        <v>1215</v>
      </c>
      <c r="K23" s="44">
        <f t="shared" si="2"/>
        <v>1210</v>
      </c>
      <c r="L23" s="52">
        <v>1170</v>
      </c>
      <c r="M23" s="51">
        <v>1.1779999999999999</v>
      </c>
      <c r="N23" s="51">
        <v>1.0709</v>
      </c>
      <c r="O23" s="50">
        <v>110.37</v>
      </c>
      <c r="P23" s="43">
        <v>993.21</v>
      </c>
      <c r="Q23" s="43">
        <v>1025.08</v>
      </c>
      <c r="R23" s="49">
        <f t="shared" si="3"/>
        <v>1092.5389858997105</v>
      </c>
      <c r="S23" s="48">
        <v>1.1803999999999999</v>
      </c>
    </row>
    <row r="24" spans="2:19" x14ac:dyDescent="0.2">
      <c r="B24" s="47">
        <v>43913</v>
      </c>
      <c r="C24" s="46">
        <v>1162</v>
      </c>
      <c r="D24" s="45">
        <v>1162</v>
      </c>
      <c r="E24" s="44">
        <f t="shared" si="0"/>
        <v>1162</v>
      </c>
      <c r="F24" s="46">
        <v>1180</v>
      </c>
      <c r="G24" s="45">
        <v>1180</v>
      </c>
      <c r="H24" s="44">
        <f t="shared" si="1"/>
        <v>1180</v>
      </c>
      <c r="I24" s="46">
        <v>1184</v>
      </c>
      <c r="J24" s="45">
        <v>1184</v>
      </c>
      <c r="K24" s="44">
        <f t="shared" si="2"/>
        <v>1184</v>
      </c>
      <c r="L24" s="52">
        <v>1162</v>
      </c>
      <c r="M24" s="51">
        <v>1.1633</v>
      </c>
      <c r="N24" s="51">
        <v>1.0780000000000001</v>
      </c>
      <c r="O24" s="50">
        <v>110.23</v>
      </c>
      <c r="P24" s="43">
        <v>998.88</v>
      </c>
      <c r="Q24" s="43">
        <v>1012.7</v>
      </c>
      <c r="R24" s="49">
        <f t="shared" si="3"/>
        <v>1077.922077922078</v>
      </c>
      <c r="S24" s="48">
        <v>1.1652</v>
      </c>
    </row>
    <row r="25" spans="2:19" x14ac:dyDescent="0.2">
      <c r="B25" s="47">
        <v>43914</v>
      </c>
      <c r="C25" s="46">
        <v>1147</v>
      </c>
      <c r="D25" s="45">
        <v>1147</v>
      </c>
      <c r="E25" s="44">
        <f t="shared" si="0"/>
        <v>1147</v>
      </c>
      <c r="F25" s="46">
        <v>1190</v>
      </c>
      <c r="G25" s="45">
        <v>1190</v>
      </c>
      <c r="H25" s="44">
        <f t="shared" si="1"/>
        <v>1190</v>
      </c>
      <c r="I25" s="46">
        <v>1194</v>
      </c>
      <c r="J25" s="45">
        <v>1194</v>
      </c>
      <c r="K25" s="44">
        <f t="shared" si="2"/>
        <v>1194</v>
      </c>
      <c r="L25" s="52">
        <v>1147</v>
      </c>
      <c r="M25" s="51">
        <v>1.1753</v>
      </c>
      <c r="N25" s="51">
        <v>1.0822000000000001</v>
      </c>
      <c r="O25" s="50">
        <v>110.82</v>
      </c>
      <c r="P25" s="43">
        <v>975.92</v>
      </c>
      <c r="Q25" s="43">
        <v>1010.62</v>
      </c>
      <c r="R25" s="49">
        <f t="shared" si="3"/>
        <v>1059.8780262428386</v>
      </c>
      <c r="S25" s="48">
        <v>1.1775</v>
      </c>
    </row>
    <row r="26" spans="2:19" x14ac:dyDescent="0.2">
      <c r="B26" s="47">
        <v>43915</v>
      </c>
      <c r="C26" s="46">
        <v>1157.5</v>
      </c>
      <c r="D26" s="45">
        <v>1157.5</v>
      </c>
      <c r="E26" s="44">
        <f t="shared" si="0"/>
        <v>1157.5</v>
      </c>
      <c r="F26" s="46">
        <v>1200</v>
      </c>
      <c r="G26" s="45">
        <v>1200</v>
      </c>
      <c r="H26" s="44">
        <f t="shared" si="1"/>
        <v>1200</v>
      </c>
      <c r="I26" s="46">
        <v>1204</v>
      </c>
      <c r="J26" s="45">
        <v>1204</v>
      </c>
      <c r="K26" s="44">
        <f t="shared" si="2"/>
        <v>1204</v>
      </c>
      <c r="L26" s="52">
        <v>1157.5</v>
      </c>
      <c r="M26" s="51">
        <v>1.1838</v>
      </c>
      <c r="N26" s="51">
        <v>1.0820000000000001</v>
      </c>
      <c r="O26" s="50">
        <v>111.35</v>
      </c>
      <c r="P26" s="43">
        <v>977.78</v>
      </c>
      <c r="Q26" s="43">
        <v>1011.98</v>
      </c>
      <c r="R26" s="49">
        <f t="shared" si="3"/>
        <v>1069.7781885397412</v>
      </c>
      <c r="S26" s="48">
        <v>1.1858</v>
      </c>
    </row>
    <row r="27" spans="2:19" x14ac:dyDescent="0.2">
      <c r="B27" s="47">
        <v>43916</v>
      </c>
      <c r="C27" s="46">
        <v>1158</v>
      </c>
      <c r="D27" s="45">
        <v>1158</v>
      </c>
      <c r="E27" s="44">
        <f t="shared" si="0"/>
        <v>1158</v>
      </c>
      <c r="F27" s="46">
        <v>1200</v>
      </c>
      <c r="G27" s="45">
        <v>1200</v>
      </c>
      <c r="H27" s="44">
        <f t="shared" si="1"/>
        <v>1200</v>
      </c>
      <c r="I27" s="46">
        <v>1204</v>
      </c>
      <c r="J27" s="45">
        <v>1204</v>
      </c>
      <c r="K27" s="44">
        <f t="shared" si="2"/>
        <v>1204</v>
      </c>
      <c r="L27" s="52">
        <v>1158</v>
      </c>
      <c r="M27" s="51">
        <v>1.1988000000000001</v>
      </c>
      <c r="N27" s="51">
        <v>1.0972</v>
      </c>
      <c r="O27" s="50">
        <v>109.67</v>
      </c>
      <c r="P27" s="43">
        <v>965.97</v>
      </c>
      <c r="Q27" s="43">
        <v>999.42</v>
      </c>
      <c r="R27" s="49">
        <f t="shared" si="3"/>
        <v>1055.4137805322639</v>
      </c>
      <c r="S27" s="48">
        <v>1.2007000000000001</v>
      </c>
    </row>
    <row r="28" spans="2:19" x14ac:dyDescent="0.2">
      <c r="B28" s="47">
        <v>43917</v>
      </c>
      <c r="C28" s="46">
        <v>1159.5</v>
      </c>
      <c r="D28" s="45">
        <v>1159.5</v>
      </c>
      <c r="E28" s="44">
        <f t="shared" si="0"/>
        <v>1159.5</v>
      </c>
      <c r="F28" s="46">
        <v>1200</v>
      </c>
      <c r="G28" s="45">
        <v>1200</v>
      </c>
      <c r="H28" s="44">
        <f t="shared" si="1"/>
        <v>1200</v>
      </c>
      <c r="I28" s="46">
        <v>1204</v>
      </c>
      <c r="J28" s="45">
        <v>1204</v>
      </c>
      <c r="K28" s="44">
        <f t="shared" si="2"/>
        <v>1204</v>
      </c>
      <c r="L28" s="52">
        <v>1159.5</v>
      </c>
      <c r="M28" s="51">
        <v>1.2251000000000001</v>
      </c>
      <c r="N28" s="51">
        <v>1.0986</v>
      </c>
      <c r="O28" s="50">
        <v>108.79</v>
      </c>
      <c r="P28" s="43">
        <v>946.45</v>
      </c>
      <c r="Q28" s="43">
        <v>978</v>
      </c>
      <c r="R28" s="49">
        <f t="shared" si="3"/>
        <v>1055.4341889677771</v>
      </c>
      <c r="S28" s="48">
        <v>1.2270000000000001</v>
      </c>
    </row>
    <row r="29" spans="2:19" x14ac:dyDescent="0.2">
      <c r="B29" s="47">
        <v>43920</v>
      </c>
      <c r="C29" s="46">
        <v>1160</v>
      </c>
      <c r="D29" s="45">
        <v>1160</v>
      </c>
      <c r="E29" s="44">
        <f t="shared" si="0"/>
        <v>1160</v>
      </c>
      <c r="F29" s="46">
        <v>1200</v>
      </c>
      <c r="G29" s="45">
        <v>1200</v>
      </c>
      <c r="H29" s="44">
        <f t="shared" si="1"/>
        <v>1200</v>
      </c>
      <c r="I29" s="46">
        <v>1203.5</v>
      </c>
      <c r="J29" s="45">
        <v>1203.5</v>
      </c>
      <c r="K29" s="44">
        <f t="shared" si="2"/>
        <v>1203.5</v>
      </c>
      <c r="L29" s="52">
        <v>1160</v>
      </c>
      <c r="M29" s="51">
        <v>1.2427999999999999</v>
      </c>
      <c r="N29" s="51">
        <v>1.1061000000000001</v>
      </c>
      <c r="O29" s="50">
        <v>107.99</v>
      </c>
      <c r="P29" s="43">
        <v>933.38</v>
      </c>
      <c r="Q29" s="43">
        <v>964.01</v>
      </c>
      <c r="R29" s="49">
        <f t="shared" si="3"/>
        <v>1048.7297712684206</v>
      </c>
      <c r="S29" s="48">
        <v>1.2447999999999999</v>
      </c>
    </row>
    <row r="30" spans="2:19" x14ac:dyDescent="0.2">
      <c r="B30" s="47">
        <v>43921</v>
      </c>
      <c r="C30" s="46">
        <v>1160</v>
      </c>
      <c r="D30" s="45">
        <v>1160</v>
      </c>
      <c r="E30" s="44">
        <f t="shared" si="0"/>
        <v>1160</v>
      </c>
      <c r="F30" s="46">
        <v>1200</v>
      </c>
      <c r="G30" s="45">
        <v>1200</v>
      </c>
      <c r="H30" s="44">
        <f t="shared" si="1"/>
        <v>1200</v>
      </c>
      <c r="I30" s="46">
        <v>1203.5</v>
      </c>
      <c r="J30" s="45">
        <v>1203.5</v>
      </c>
      <c r="K30" s="44">
        <f t="shared" si="2"/>
        <v>1203.5</v>
      </c>
      <c r="L30" s="52">
        <v>1160</v>
      </c>
      <c r="M30" s="51">
        <v>1.2351000000000001</v>
      </c>
      <c r="N30" s="51">
        <v>1.0952999999999999</v>
      </c>
      <c r="O30" s="50">
        <v>108.57</v>
      </c>
      <c r="P30" s="43">
        <v>939.2</v>
      </c>
      <c r="Q30" s="43">
        <v>970.01</v>
      </c>
      <c r="R30" s="49">
        <f t="shared" si="3"/>
        <v>1059.070574271889</v>
      </c>
      <c r="S30" s="48">
        <v>1.2371000000000001</v>
      </c>
    </row>
    <row r="31" spans="2:19" s="10" customFormat="1" x14ac:dyDescent="0.2">
      <c r="B31" s="42" t="s">
        <v>11</v>
      </c>
      <c r="C31" s="41">
        <f>ROUND(AVERAGE(C9:C30),2)</f>
        <v>1267.45</v>
      </c>
      <c r="D31" s="40">
        <f>ROUND(AVERAGE(D9:D30),2)</f>
        <v>1274.27</v>
      </c>
      <c r="E31" s="39">
        <f>ROUND(AVERAGE(C31:D31),2)</f>
        <v>1270.8599999999999</v>
      </c>
      <c r="F31" s="41">
        <f>ROUND(AVERAGE(F9:F30),2)</f>
        <v>1307.82</v>
      </c>
      <c r="G31" s="40">
        <f>ROUND(AVERAGE(G9:G30),2)</f>
        <v>1313.91</v>
      </c>
      <c r="H31" s="39">
        <f>ROUND(AVERAGE(F31:G31),2)</f>
        <v>1310.87</v>
      </c>
      <c r="I31" s="41">
        <f>ROUND(AVERAGE(I9:I30),2)</f>
        <v>1313.27</v>
      </c>
      <c r="J31" s="40">
        <f>ROUND(AVERAGE(J9:J30),2)</f>
        <v>1320.09</v>
      </c>
      <c r="K31" s="39">
        <f>ROUND(AVERAGE(I31:J31),2)</f>
        <v>1316.68</v>
      </c>
      <c r="L31" s="38">
        <f>ROUND(AVERAGE(L9:L30),2)</f>
        <v>1274.27</v>
      </c>
      <c r="M31" s="37">
        <f>ROUND(AVERAGE(M9:M30),4)</f>
        <v>1.2377</v>
      </c>
      <c r="N31" s="36">
        <f>ROUND(AVERAGE(N9:N30),4)</f>
        <v>1.1060000000000001</v>
      </c>
      <c r="O31" s="175">
        <f>ROUND(AVERAGE(O9:O30),2)</f>
        <v>107.51</v>
      </c>
      <c r="P31" s="35">
        <f>AVERAGE(P9:P30)</f>
        <v>1028.4545454545457</v>
      </c>
      <c r="Q31" s="35">
        <f>AVERAGE(Q9:Q30)</f>
        <v>1059.0427272727268</v>
      </c>
      <c r="R31" s="35">
        <f>AVERAGE(R9:R30)</f>
        <v>1151.1734079047178</v>
      </c>
      <c r="S31" s="34">
        <f>AVERAGE(S9:S30)</f>
        <v>1.2394318181818182</v>
      </c>
    </row>
    <row r="32" spans="2:19" s="5" customFormat="1" x14ac:dyDescent="0.2">
      <c r="B32" s="33" t="s">
        <v>12</v>
      </c>
      <c r="C32" s="32">
        <f t="shared" ref="C32:S32" si="4">MAX(C9:C30)</f>
        <v>1385</v>
      </c>
      <c r="D32" s="31">
        <f t="shared" si="4"/>
        <v>1395</v>
      </c>
      <c r="E32" s="30">
        <f t="shared" si="4"/>
        <v>1390</v>
      </c>
      <c r="F32" s="32">
        <f t="shared" si="4"/>
        <v>1418</v>
      </c>
      <c r="G32" s="31">
        <f t="shared" si="4"/>
        <v>1420</v>
      </c>
      <c r="H32" s="30">
        <f t="shared" si="4"/>
        <v>1419</v>
      </c>
      <c r="I32" s="32">
        <f t="shared" si="4"/>
        <v>1425</v>
      </c>
      <c r="J32" s="31">
        <f t="shared" si="4"/>
        <v>1435</v>
      </c>
      <c r="K32" s="30">
        <f t="shared" si="4"/>
        <v>1430</v>
      </c>
      <c r="L32" s="29">
        <f t="shared" si="4"/>
        <v>1395</v>
      </c>
      <c r="M32" s="28">
        <f t="shared" si="4"/>
        <v>1.3102</v>
      </c>
      <c r="N32" s="27">
        <f t="shared" si="4"/>
        <v>1.1435</v>
      </c>
      <c r="O32" s="26">
        <f t="shared" si="4"/>
        <v>111.35</v>
      </c>
      <c r="P32" s="25">
        <f t="shared" si="4"/>
        <v>1103.96</v>
      </c>
      <c r="Q32" s="25">
        <f t="shared" si="4"/>
        <v>1138.4000000000001</v>
      </c>
      <c r="R32" s="25">
        <f t="shared" si="4"/>
        <v>1255.2866012777829</v>
      </c>
      <c r="S32" s="24">
        <f t="shared" si="4"/>
        <v>1.3102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1147</v>
      </c>
      <c r="D33" s="21">
        <f t="shared" si="5"/>
        <v>1147</v>
      </c>
      <c r="E33" s="20">
        <f t="shared" si="5"/>
        <v>1147</v>
      </c>
      <c r="F33" s="22">
        <f t="shared" si="5"/>
        <v>1180</v>
      </c>
      <c r="G33" s="21">
        <f t="shared" si="5"/>
        <v>1180</v>
      </c>
      <c r="H33" s="20">
        <f t="shared" si="5"/>
        <v>1180</v>
      </c>
      <c r="I33" s="22">
        <f t="shared" si="5"/>
        <v>1184</v>
      </c>
      <c r="J33" s="21">
        <f t="shared" si="5"/>
        <v>1184</v>
      </c>
      <c r="K33" s="20">
        <f t="shared" si="5"/>
        <v>1184</v>
      </c>
      <c r="L33" s="19">
        <f t="shared" si="5"/>
        <v>1147</v>
      </c>
      <c r="M33" s="18">
        <f t="shared" si="5"/>
        <v>1.1625000000000001</v>
      </c>
      <c r="N33" s="17">
        <f t="shared" si="5"/>
        <v>1.0709</v>
      </c>
      <c r="O33" s="16">
        <f t="shared" si="5"/>
        <v>102.3</v>
      </c>
      <c r="P33" s="15">
        <f t="shared" si="5"/>
        <v>933.38</v>
      </c>
      <c r="Q33" s="15">
        <f t="shared" si="5"/>
        <v>964.01</v>
      </c>
      <c r="R33" s="15">
        <f t="shared" si="5"/>
        <v>1048.7297712684206</v>
      </c>
      <c r="S33" s="14">
        <f t="shared" si="5"/>
        <v>1.1625000000000001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43892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43892</v>
      </c>
      <c r="C9" s="46">
        <v>1225</v>
      </c>
      <c r="D9" s="45">
        <v>1235</v>
      </c>
      <c r="E9" s="44">
        <f t="shared" ref="E9:E30" si="0">AVERAGE(C9:D9)</f>
        <v>1230</v>
      </c>
      <c r="F9" s="46">
        <v>1240</v>
      </c>
      <c r="G9" s="45">
        <v>1250</v>
      </c>
      <c r="H9" s="44">
        <f t="shared" ref="H9:H30" si="1">AVERAGE(F9:G9)</f>
        <v>1245</v>
      </c>
      <c r="I9" s="46">
        <v>1250</v>
      </c>
      <c r="J9" s="45">
        <v>1260</v>
      </c>
      <c r="K9" s="44">
        <f t="shared" ref="K9:K30" si="2">AVERAGE(I9:J9)</f>
        <v>1255</v>
      </c>
      <c r="L9" s="52">
        <v>1235</v>
      </c>
      <c r="M9" s="51">
        <v>1.2753000000000001</v>
      </c>
      <c r="N9" s="53">
        <v>1.1113</v>
      </c>
      <c r="O9" s="50">
        <v>107.8</v>
      </c>
      <c r="P9" s="43">
        <v>968.4</v>
      </c>
      <c r="Q9" s="43">
        <v>978.09</v>
      </c>
      <c r="R9" s="49">
        <f t="shared" ref="R9:R30" si="3">L9/N9</f>
        <v>1111.3110771168901</v>
      </c>
      <c r="S9" s="48">
        <v>1.278</v>
      </c>
    </row>
    <row r="10" spans="1:19" x14ac:dyDescent="0.2">
      <c r="B10" s="47">
        <v>43893</v>
      </c>
      <c r="C10" s="46">
        <v>1240</v>
      </c>
      <c r="D10" s="45">
        <v>1250</v>
      </c>
      <c r="E10" s="44">
        <f t="shared" si="0"/>
        <v>1245</v>
      </c>
      <c r="F10" s="46">
        <v>1255</v>
      </c>
      <c r="G10" s="45">
        <v>1265</v>
      </c>
      <c r="H10" s="44">
        <f t="shared" si="1"/>
        <v>1260</v>
      </c>
      <c r="I10" s="46">
        <v>1265</v>
      </c>
      <c r="J10" s="45">
        <v>1275</v>
      </c>
      <c r="K10" s="44">
        <f t="shared" si="2"/>
        <v>1270</v>
      </c>
      <c r="L10" s="52">
        <v>1250</v>
      </c>
      <c r="M10" s="51">
        <v>1.2778</v>
      </c>
      <c r="N10" s="51">
        <v>1.1117999999999999</v>
      </c>
      <c r="O10" s="50">
        <v>107.73</v>
      </c>
      <c r="P10" s="43">
        <v>978.24</v>
      </c>
      <c r="Q10" s="43">
        <v>988.05</v>
      </c>
      <c r="R10" s="49">
        <f t="shared" si="3"/>
        <v>1124.3029321820472</v>
      </c>
      <c r="S10" s="48">
        <v>1.2803</v>
      </c>
    </row>
    <row r="11" spans="1:19" x14ac:dyDescent="0.2">
      <c r="B11" s="47">
        <v>43894</v>
      </c>
      <c r="C11" s="46">
        <v>1240</v>
      </c>
      <c r="D11" s="45">
        <v>1250</v>
      </c>
      <c r="E11" s="44">
        <f t="shared" si="0"/>
        <v>1245</v>
      </c>
      <c r="F11" s="46">
        <v>1255</v>
      </c>
      <c r="G11" s="45">
        <v>1265</v>
      </c>
      <c r="H11" s="44">
        <f t="shared" si="1"/>
        <v>1260</v>
      </c>
      <c r="I11" s="46">
        <v>1265</v>
      </c>
      <c r="J11" s="45">
        <v>1275</v>
      </c>
      <c r="K11" s="44">
        <f t="shared" si="2"/>
        <v>1270</v>
      </c>
      <c r="L11" s="52">
        <v>1250</v>
      </c>
      <c r="M11" s="51">
        <v>1.28</v>
      </c>
      <c r="N11" s="51">
        <v>1.1113</v>
      </c>
      <c r="O11" s="50">
        <v>107.55</v>
      </c>
      <c r="P11" s="43">
        <v>976.56</v>
      </c>
      <c r="Q11" s="43">
        <v>986.74</v>
      </c>
      <c r="R11" s="49">
        <f t="shared" si="3"/>
        <v>1124.8087825069738</v>
      </c>
      <c r="S11" s="48">
        <v>1.282</v>
      </c>
    </row>
    <row r="12" spans="1:19" x14ac:dyDescent="0.2">
      <c r="B12" s="47">
        <v>43895</v>
      </c>
      <c r="C12" s="46">
        <v>1240</v>
      </c>
      <c r="D12" s="45">
        <v>1250</v>
      </c>
      <c r="E12" s="44">
        <f t="shared" si="0"/>
        <v>1245</v>
      </c>
      <c r="F12" s="46">
        <v>1250</v>
      </c>
      <c r="G12" s="45">
        <v>1260</v>
      </c>
      <c r="H12" s="44">
        <f t="shared" si="1"/>
        <v>1255</v>
      </c>
      <c r="I12" s="46">
        <v>1260</v>
      </c>
      <c r="J12" s="45">
        <v>1270</v>
      </c>
      <c r="K12" s="44">
        <f t="shared" si="2"/>
        <v>1265</v>
      </c>
      <c r="L12" s="52">
        <v>1250</v>
      </c>
      <c r="M12" s="51">
        <v>1.2914000000000001</v>
      </c>
      <c r="N12" s="51">
        <v>1.1189</v>
      </c>
      <c r="O12" s="50">
        <v>106.92</v>
      </c>
      <c r="P12" s="43">
        <v>967.94</v>
      </c>
      <c r="Q12" s="43">
        <v>974.33</v>
      </c>
      <c r="R12" s="49">
        <f t="shared" si="3"/>
        <v>1117.1686477790688</v>
      </c>
      <c r="S12" s="48">
        <v>1.2931999999999999</v>
      </c>
    </row>
    <row r="13" spans="1:19" x14ac:dyDescent="0.2">
      <c r="B13" s="47">
        <v>43896</v>
      </c>
      <c r="C13" s="46">
        <v>1235</v>
      </c>
      <c r="D13" s="45">
        <v>1245</v>
      </c>
      <c r="E13" s="44">
        <f t="shared" si="0"/>
        <v>1240</v>
      </c>
      <c r="F13" s="46">
        <v>1250</v>
      </c>
      <c r="G13" s="45">
        <v>1260</v>
      </c>
      <c r="H13" s="44">
        <f t="shared" si="1"/>
        <v>1255</v>
      </c>
      <c r="I13" s="46">
        <v>1260</v>
      </c>
      <c r="J13" s="45">
        <v>1270</v>
      </c>
      <c r="K13" s="44">
        <f t="shared" si="2"/>
        <v>1265</v>
      </c>
      <c r="L13" s="52">
        <v>1245</v>
      </c>
      <c r="M13" s="51">
        <v>1.2994000000000001</v>
      </c>
      <c r="N13" s="51">
        <v>1.1315999999999999</v>
      </c>
      <c r="O13" s="50">
        <v>105.19</v>
      </c>
      <c r="P13" s="43">
        <v>958.13</v>
      </c>
      <c r="Q13" s="43">
        <v>968.49</v>
      </c>
      <c r="R13" s="49">
        <f t="shared" si="3"/>
        <v>1100.2120890774127</v>
      </c>
      <c r="S13" s="48">
        <v>1.3009999999999999</v>
      </c>
    </row>
    <row r="14" spans="1:19" x14ac:dyDescent="0.2">
      <c r="B14" s="47">
        <v>43899</v>
      </c>
      <c r="C14" s="46">
        <v>1230</v>
      </c>
      <c r="D14" s="45">
        <v>1240</v>
      </c>
      <c r="E14" s="44">
        <f t="shared" si="0"/>
        <v>1235</v>
      </c>
      <c r="F14" s="46">
        <v>1245</v>
      </c>
      <c r="G14" s="45">
        <v>1255</v>
      </c>
      <c r="H14" s="44">
        <f t="shared" si="1"/>
        <v>1250</v>
      </c>
      <c r="I14" s="46">
        <v>1255</v>
      </c>
      <c r="J14" s="45">
        <v>1265</v>
      </c>
      <c r="K14" s="44">
        <f t="shared" si="2"/>
        <v>1260</v>
      </c>
      <c r="L14" s="52">
        <v>1240</v>
      </c>
      <c r="M14" s="51">
        <v>1.3102</v>
      </c>
      <c r="N14" s="51">
        <v>1.1435</v>
      </c>
      <c r="O14" s="50">
        <v>102.3</v>
      </c>
      <c r="P14" s="43">
        <v>946.42</v>
      </c>
      <c r="Q14" s="43">
        <v>957.87</v>
      </c>
      <c r="R14" s="49">
        <f t="shared" si="3"/>
        <v>1084.390030607783</v>
      </c>
      <c r="S14" s="48">
        <v>1.3102</v>
      </c>
    </row>
    <row r="15" spans="1:19" x14ac:dyDescent="0.2">
      <c r="B15" s="47">
        <v>43900</v>
      </c>
      <c r="C15" s="46">
        <v>1230</v>
      </c>
      <c r="D15" s="45">
        <v>1235</v>
      </c>
      <c r="E15" s="44">
        <f t="shared" si="0"/>
        <v>1232.5</v>
      </c>
      <c r="F15" s="46">
        <v>1245</v>
      </c>
      <c r="G15" s="45">
        <v>1245.5</v>
      </c>
      <c r="H15" s="44">
        <f t="shared" si="1"/>
        <v>1245.25</v>
      </c>
      <c r="I15" s="46">
        <v>1250</v>
      </c>
      <c r="J15" s="45">
        <v>1260</v>
      </c>
      <c r="K15" s="44">
        <f t="shared" si="2"/>
        <v>1255</v>
      </c>
      <c r="L15" s="52">
        <v>1235</v>
      </c>
      <c r="M15" s="51">
        <v>1.3024</v>
      </c>
      <c r="N15" s="51">
        <v>1.1379999999999999</v>
      </c>
      <c r="O15" s="50">
        <v>104.24</v>
      </c>
      <c r="P15" s="43">
        <v>948.25</v>
      </c>
      <c r="Q15" s="43">
        <v>956.31</v>
      </c>
      <c r="R15" s="49">
        <f t="shared" si="3"/>
        <v>1085.2372583479789</v>
      </c>
      <c r="S15" s="48">
        <v>1.3024</v>
      </c>
    </row>
    <row r="16" spans="1:19" x14ac:dyDescent="0.2">
      <c r="B16" s="47">
        <v>43901</v>
      </c>
      <c r="C16" s="46">
        <v>1230</v>
      </c>
      <c r="D16" s="45">
        <v>1240</v>
      </c>
      <c r="E16" s="44">
        <f t="shared" si="0"/>
        <v>1235</v>
      </c>
      <c r="F16" s="46">
        <v>1245</v>
      </c>
      <c r="G16" s="45">
        <v>1255</v>
      </c>
      <c r="H16" s="44">
        <f t="shared" si="1"/>
        <v>1250</v>
      </c>
      <c r="I16" s="46">
        <v>1255</v>
      </c>
      <c r="J16" s="45">
        <v>1265</v>
      </c>
      <c r="K16" s="44">
        <f t="shared" si="2"/>
        <v>1260</v>
      </c>
      <c r="L16" s="52">
        <v>1240</v>
      </c>
      <c r="M16" s="51">
        <v>1.2941</v>
      </c>
      <c r="N16" s="51">
        <v>1.1339999999999999</v>
      </c>
      <c r="O16" s="50">
        <v>104.45</v>
      </c>
      <c r="P16" s="43">
        <v>958.19</v>
      </c>
      <c r="Q16" s="43">
        <v>968.89</v>
      </c>
      <c r="R16" s="49">
        <f t="shared" si="3"/>
        <v>1093.4744268077602</v>
      </c>
      <c r="S16" s="48">
        <v>1.2952999999999999</v>
      </c>
    </row>
    <row r="17" spans="2:19" x14ac:dyDescent="0.2">
      <c r="B17" s="47">
        <v>43902</v>
      </c>
      <c r="C17" s="46">
        <v>1225</v>
      </c>
      <c r="D17" s="45">
        <v>1235</v>
      </c>
      <c r="E17" s="44">
        <f t="shared" si="0"/>
        <v>1230</v>
      </c>
      <c r="F17" s="46">
        <v>1240</v>
      </c>
      <c r="G17" s="45">
        <v>1250</v>
      </c>
      <c r="H17" s="44">
        <f t="shared" si="1"/>
        <v>1245</v>
      </c>
      <c r="I17" s="46">
        <v>1250</v>
      </c>
      <c r="J17" s="45">
        <v>1260</v>
      </c>
      <c r="K17" s="44">
        <f t="shared" si="2"/>
        <v>1255</v>
      </c>
      <c r="L17" s="52">
        <v>1235</v>
      </c>
      <c r="M17" s="51">
        <v>1.2662</v>
      </c>
      <c r="N17" s="51">
        <v>1.1214999999999999</v>
      </c>
      <c r="O17" s="50">
        <v>104.13</v>
      </c>
      <c r="P17" s="43">
        <v>975.36</v>
      </c>
      <c r="Q17" s="43">
        <v>987.21</v>
      </c>
      <c r="R17" s="49">
        <f t="shared" si="3"/>
        <v>1101.2037449843961</v>
      </c>
      <c r="S17" s="48">
        <v>1.2662</v>
      </c>
    </row>
    <row r="18" spans="2:19" x14ac:dyDescent="0.2">
      <c r="B18" s="47">
        <v>43903</v>
      </c>
      <c r="C18" s="46">
        <v>1215</v>
      </c>
      <c r="D18" s="45">
        <v>1225</v>
      </c>
      <c r="E18" s="44">
        <f t="shared" si="0"/>
        <v>1220</v>
      </c>
      <c r="F18" s="46">
        <v>1230</v>
      </c>
      <c r="G18" s="45">
        <v>1240</v>
      </c>
      <c r="H18" s="44">
        <f t="shared" si="1"/>
        <v>1235</v>
      </c>
      <c r="I18" s="46">
        <v>1240</v>
      </c>
      <c r="J18" s="45">
        <v>1250</v>
      </c>
      <c r="K18" s="44">
        <f t="shared" si="2"/>
        <v>1245</v>
      </c>
      <c r="L18" s="52">
        <v>1225</v>
      </c>
      <c r="M18" s="51">
        <v>1.2468999999999999</v>
      </c>
      <c r="N18" s="51">
        <v>1.111</v>
      </c>
      <c r="O18" s="50">
        <v>107.31</v>
      </c>
      <c r="P18" s="43">
        <v>982.44</v>
      </c>
      <c r="Q18" s="43">
        <v>992.79</v>
      </c>
      <c r="R18" s="49">
        <f t="shared" si="3"/>
        <v>1102.6102610261025</v>
      </c>
      <c r="S18" s="48">
        <v>1.2490000000000001</v>
      </c>
    </row>
    <row r="19" spans="2:19" x14ac:dyDescent="0.2">
      <c r="B19" s="47">
        <v>43906</v>
      </c>
      <c r="C19" s="46">
        <v>1205</v>
      </c>
      <c r="D19" s="45">
        <v>1215</v>
      </c>
      <c r="E19" s="44">
        <f t="shared" si="0"/>
        <v>1210</v>
      </c>
      <c r="F19" s="46">
        <v>1225</v>
      </c>
      <c r="G19" s="45">
        <v>1235</v>
      </c>
      <c r="H19" s="44">
        <f t="shared" si="1"/>
        <v>1230</v>
      </c>
      <c r="I19" s="46">
        <v>1235</v>
      </c>
      <c r="J19" s="45">
        <v>1245</v>
      </c>
      <c r="K19" s="44">
        <f t="shared" si="2"/>
        <v>1240</v>
      </c>
      <c r="L19" s="52">
        <v>1215</v>
      </c>
      <c r="M19" s="51">
        <v>1.2274</v>
      </c>
      <c r="N19" s="51">
        <v>1.1166</v>
      </c>
      <c r="O19" s="50">
        <v>105.29</v>
      </c>
      <c r="P19" s="43">
        <v>989.9</v>
      </c>
      <c r="Q19" s="43">
        <v>1004.23</v>
      </c>
      <c r="R19" s="49">
        <f t="shared" si="3"/>
        <v>1088.1246641590542</v>
      </c>
      <c r="S19" s="48">
        <v>1.2298</v>
      </c>
    </row>
    <row r="20" spans="2:19" x14ac:dyDescent="0.2">
      <c r="B20" s="47">
        <v>43907</v>
      </c>
      <c r="C20" s="46">
        <v>1090</v>
      </c>
      <c r="D20" s="45">
        <v>1100</v>
      </c>
      <c r="E20" s="44">
        <f t="shared" si="0"/>
        <v>1095</v>
      </c>
      <c r="F20" s="46">
        <v>1115</v>
      </c>
      <c r="G20" s="45">
        <v>1125</v>
      </c>
      <c r="H20" s="44">
        <f t="shared" si="1"/>
        <v>1120</v>
      </c>
      <c r="I20" s="46">
        <v>1125</v>
      </c>
      <c r="J20" s="45">
        <v>1135</v>
      </c>
      <c r="K20" s="44">
        <f t="shared" si="2"/>
        <v>1130</v>
      </c>
      <c r="L20" s="52">
        <v>1100</v>
      </c>
      <c r="M20" s="51">
        <v>1.2092000000000001</v>
      </c>
      <c r="N20" s="51">
        <v>1.0989</v>
      </c>
      <c r="O20" s="50">
        <v>107.06</v>
      </c>
      <c r="P20" s="43">
        <v>909.69</v>
      </c>
      <c r="Q20" s="43">
        <v>927.68</v>
      </c>
      <c r="R20" s="49">
        <f t="shared" si="3"/>
        <v>1001.001001001001</v>
      </c>
      <c r="S20" s="48">
        <v>1.2126999999999999</v>
      </c>
    </row>
    <row r="21" spans="2:19" x14ac:dyDescent="0.2">
      <c r="B21" s="47">
        <v>43908</v>
      </c>
      <c r="C21" s="46">
        <v>1105</v>
      </c>
      <c r="D21" s="45">
        <v>1115</v>
      </c>
      <c r="E21" s="44">
        <f t="shared" si="0"/>
        <v>1110</v>
      </c>
      <c r="F21" s="46">
        <v>1129</v>
      </c>
      <c r="G21" s="45">
        <v>1131</v>
      </c>
      <c r="H21" s="44">
        <f t="shared" si="1"/>
        <v>1130</v>
      </c>
      <c r="I21" s="46">
        <v>1135</v>
      </c>
      <c r="J21" s="45">
        <v>1145</v>
      </c>
      <c r="K21" s="44">
        <f t="shared" si="2"/>
        <v>1140</v>
      </c>
      <c r="L21" s="52">
        <v>1115</v>
      </c>
      <c r="M21" s="51">
        <v>1.1843999999999999</v>
      </c>
      <c r="N21" s="51">
        <v>1.0931</v>
      </c>
      <c r="O21" s="50">
        <v>107.64</v>
      </c>
      <c r="P21" s="43">
        <v>941.4</v>
      </c>
      <c r="Q21" s="43">
        <v>953.3</v>
      </c>
      <c r="R21" s="49">
        <f t="shared" si="3"/>
        <v>1020.0347635166042</v>
      </c>
      <c r="S21" s="48">
        <v>1.1863999999999999</v>
      </c>
    </row>
    <row r="22" spans="2:19" x14ac:dyDescent="0.2">
      <c r="B22" s="47">
        <v>43909</v>
      </c>
      <c r="C22" s="46">
        <v>1100</v>
      </c>
      <c r="D22" s="45">
        <v>1110</v>
      </c>
      <c r="E22" s="44">
        <f t="shared" si="0"/>
        <v>1105</v>
      </c>
      <c r="F22" s="46">
        <v>1120</v>
      </c>
      <c r="G22" s="45">
        <v>1130</v>
      </c>
      <c r="H22" s="44">
        <f t="shared" si="1"/>
        <v>1125</v>
      </c>
      <c r="I22" s="46">
        <v>1130</v>
      </c>
      <c r="J22" s="45">
        <v>1140</v>
      </c>
      <c r="K22" s="44">
        <f t="shared" si="2"/>
        <v>1135</v>
      </c>
      <c r="L22" s="52">
        <v>1110</v>
      </c>
      <c r="M22" s="51">
        <v>1.1625000000000001</v>
      </c>
      <c r="N22" s="51">
        <v>1.0799000000000001</v>
      </c>
      <c r="O22" s="50">
        <v>109.79</v>
      </c>
      <c r="P22" s="43">
        <v>954.84</v>
      </c>
      <c r="Q22" s="43">
        <v>972.04</v>
      </c>
      <c r="R22" s="49">
        <f t="shared" si="3"/>
        <v>1027.8729511991851</v>
      </c>
      <c r="S22" s="48">
        <v>1.1625000000000001</v>
      </c>
    </row>
    <row r="23" spans="2:19" x14ac:dyDescent="0.2">
      <c r="B23" s="47">
        <v>43910</v>
      </c>
      <c r="C23" s="46">
        <v>1075</v>
      </c>
      <c r="D23" s="45">
        <v>1085</v>
      </c>
      <c r="E23" s="44">
        <f t="shared" si="0"/>
        <v>1080</v>
      </c>
      <c r="F23" s="46">
        <v>1092</v>
      </c>
      <c r="G23" s="45">
        <v>1100</v>
      </c>
      <c r="H23" s="44">
        <f t="shared" si="1"/>
        <v>1096</v>
      </c>
      <c r="I23" s="46">
        <v>1100</v>
      </c>
      <c r="J23" s="45">
        <v>1110</v>
      </c>
      <c r="K23" s="44">
        <f t="shared" si="2"/>
        <v>1105</v>
      </c>
      <c r="L23" s="52">
        <v>1085</v>
      </c>
      <c r="M23" s="51">
        <v>1.1779999999999999</v>
      </c>
      <c r="N23" s="51">
        <v>1.0709</v>
      </c>
      <c r="O23" s="50">
        <v>110.37</v>
      </c>
      <c r="P23" s="43">
        <v>921.05</v>
      </c>
      <c r="Q23" s="43">
        <v>931.89</v>
      </c>
      <c r="R23" s="49">
        <f t="shared" si="3"/>
        <v>1013.1664954710991</v>
      </c>
      <c r="S23" s="48">
        <v>1.1803999999999999</v>
      </c>
    </row>
    <row r="24" spans="2:19" x14ac:dyDescent="0.2">
      <c r="B24" s="47">
        <v>43913</v>
      </c>
      <c r="C24" s="46">
        <v>1087.5</v>
      </c>
      <c r="D24" s="45">
        <v>1087.5</v>
      </c>
      <c r="E24" s="44">
        <f t="shared" si="0"/>
        <v>1087.5</v>
      </c>
      <c r="F24" s="46">
        <v>1105</v>
      </c>
      <c r="G24" s="45">
        <v>1105</v>
      </c>
      <c r="H24" s="44">
        <f t="shared" si="1"/>
        <v>1105</v>
      </c>
      <c r="I24" s="46">
        <v>1115.5</v>
      </c>
      <c r="J24" s="45">
        <v>1115.5</v>
      </c>
      <c r="K24" s="44">
        <f t="shared" si="2"/>
        <v>1115.5</v>
      </c>
      <c r="L24" s="52">
        <v>1087.5</v>
      </c>
      <c r="M24" s="51">
        <v>1.1633</v>
      </c>
      <c r="N24" s="51">
        <v>1.0780000000000001</v>
      </c>
      <c r="O24" s="50">
        <v>110.23</v>
      </c>
      <c r="P24" s="43">
        <v>934.84</v>
      </c>
      <c r="Q24" s="43">
        <v>948.34</v>
      </c>
      <c r="R24" s="49">
        <f t="shared" si="3"/>
        <v>1008.812615955473</v>
      </c>
      <c r="S24" s="48">
        <v>1.1652</v>
      </c>
    </row>
    <row r="25" spans="2:19" x14ac:dyDescent="0.2">
      <c r="B25" s="47">
        <v>43914</v>
      </c>
      <c r="C25" s="46">
        <v>1073</v>
      </c>
      <c r="D25" s="45">
        <v>1073</v>
      </c>
      <c r="E25" s="44">
        <f t="shared" si="0"/>
        <v>1073</v>
      </c>
      <c r="F25" s="46">
        <v>1090</v>
      </c>
      <c r="G25" s="45">
        <v>1090</v>
      </c>
      <c r="H25" s="44">
        <f t="shared" si="1"/>
        <v>1090</v>
      </c>
      <c r="I25" s="46">
        <v>1100.5</v>
      </c>
      <c r="J25" s="45">
        <v>1100.5</v>
      </c>
      <c r="K25" s="44">
        <f t="shared" si="2"/>
        <v>1100.5</v>
      </c>
      <c r="L25" s="52">
        <v>1073</v>
      </c>
      <c r="M25" s="51">
        <v>1.1753</v>
      </c>
      <c r="N25" s="51">
        <v>1.0822000000000001</v>
      </c>
      <c r="O25" s="50">
        <v>110.82</v>
      </c>
      <c r="P25" s="43">
        <v>912.96</v>
      </c>
      <c r="Q25" s="43">
        <v>925.69</v>
      </c>
      <c r="R25" s="49">
        <f t="shared" si="3"/>
        <v>991.49879874330065</v>
      </c>
      <c r="S25" s="48">
        <v>1.1775</v>
      </c>
    </row>
    <row r="26" spans="2:19" x14ac:dyDescent="0.2">
      <c r="B26" s="47">
        <v>43915</v>
      </c>
      <c r="C26" s="46">
        <v>1110</v>
      </c>
      <c r="D26" s="45">
        <v>1110</v>
      </c>
      <c r="E26" s="44">
        <f t="shared" si="0"/>
        <v>1110</v>
      </c>
      <c r="F26" s="46">
        <v>1125</v>
      </c>
      <c r="G26" s="45">
        <v>1125</v>
      </c>
      <c r="H26" s="44">
        <f t="shared" si="1"/>
        <v>1125</v>
      </c>
      <c r="I26" s="46">
        <v>1135.5</v>
      </c>
      <c r="J26" s="45">
        <v>1135.5</v>
      </c>
      <c r="K26" s="44">
        <f t="shared" si="2"/>
        <v>1135.5</v>
      </c>
      <c r="L26" s="52">
        <v>1110</v>
      </c>
      <c r="M26" s="51">
        <v>1.1838</v>
      </c>
      <c r="N26" s="51">
        <v>1.0820000000000001</v>
      </c>
      <c r="O26" s="50">
        <v>111.35</v>
      </c>
      <c r="P26" s="43">
        <v>937.66</v>
      </c>
      <c r="Q26" s="43">
        <v>948.73</v>
      </c>
      <c r="R26" s="49">
        <f t="shared" si="3"/>
        <v>1025.8780036968576</v>
      </c>
      <c r="S26" s="48">
        <v>1.1858</v>
      </c>
    </row>
    <row r="27" spans="2:19" x14ac:dyDescent="0.2">
      <c r="B27" s="47">
        <v>43916</v>
      </c>
      <c r="C27" s="46">
        <v>1104.5</v>
      </c>
      <c r="D27" s="45">
        <v>1104.5</v>
      </c>
      <c r="E27" s="44">
        <f t="shared" si="0"/>
        <v>1104.5</v>
      </c>
      <c r="F27" s="46">
        <v>1125</v>
      </c>
      <c r="G27" s="45">
        <v>1125</v>
      </c>
      <c r="H27" s="44">
        <f t="shared" si="1"/>
        <v>1125</v>
      </c>
      <c r="I27" s="46">
        <v>1135.5</v>
      </c>
      <c r="J27" s="45">
        <v>1135.5</v>
      </c>
      <c r="K27" s="44">
        <f t="shared" si="2"/>
        <v>1135.5</v>
      </c>
      <c r="L27" s="52">
        <v>1104.5</v>
      </c>
      <c r="M27" s="51">
        <v>1.1988000000000001</v>
      </c>
      <c r="N27" s="51">
        <v>1.0972</v>
      </c>
      <c r="O27" s="50">
        <v>109.67</v>
      </c>
      <c r="P27" s="43">
        <v>921.34</v>
      </c>
      <c r="Q27" s="43">
        <v>936.95</v>
      </c>
      <c r="R27" s="49">
        <f t="shared" si="3"/>
        <v>1006.6532993073278</v>
      </c>
      <c r="S27" s="48">
        <v>1.2007000000000001</v>
      </c>
    </row>
    <row r="28" spans="2:19" x14ac:dyDescent="0.2">
      <c r="B28" s="47">
        <v>43917</v>
      </c>
      <c r="C28" s="46">
        <v>1105</v>
      </c>
      <c r="D28" s="45">
        <v>1105</v>
      </c>
      <c r="E28" s="44">
        <f t="shared" si="0"/>
        <v>1105</v>
      </c>
      <c r="F28" s="46">
        <v>1125</v>
      </c>
      <c r="G28" s="45">
        <v>1125</v>
      </c>
      <c r="H28" s="44">
        <f t="shared" si="1"/>
        <v>1125</v>
      </c>
      <c r="I28" s="46">
        <v>1135.5</v>
      </c>
      <c r="J28" s="45">
        <v>1135.5</v>
      </c>
      <c r="K28" s="44">
        <f t="shared" si="2"/>
        <v>1135.5</v>
      </c>
      <c r="L28" s="52">
        <v>1105</v>
      </c>
      <c r="M28" s="51">
        <v>1.2251000000000001</v>
      </c>
      <c r="N28" s="51">
        <v>1.0986</v>
      </c>
      <c r="O28" s="50">
        <v>108.79</v>
      </c>
      <c r="P28" s="43">
        <v>901.97</v>
      </c>
      <c r="Q28" s="43">
        <v>916.87</v>
      </c>
      <c r="R28" s="49">
        <f t="shared" si="3"/>
        <v>1005.8255962133625</v>
      </c>
      <c r="S28" s="48">
        <v>1.2270000000000001</v>
      </c>
    </row>
    <row r="29" spans="2:19" x14ac:dyDescent="0.2">
      <c r="B29" s="47">
        <v>43920</v>
      </c>
      <c r="C29" s="46">
        <v>1102</v>
      </c>
      <c r="D29" s="45">
        <v>1102</v>
      </c>
      <c r="E29" s="44">
        <f t="shared" si="0"/>
        <v>1102</v>
      </c>
      <c r="F29" s="46">
        <v>1125</v>
      </c>
      <c r="G29" s="45">
        <v>1125</v>
      </c>
      <c r="H29" s="44">
        <f t="shared" si="1"/>
        <v>1125</v>
      </c>
      <c r="I29" s="46">
        <v>1144.5</v>
      </c>
      <c r="J29" s="45">
        <v>1144.5</v>
      </c>
      <c r="K29" s="44">
        <f t="shared" si="2"/>
        <v>1144.5</v>
      </c>
      <c r="L29" s="52">
        <v>1102</v>
      </c>
      <c r="M29" s="51">
        <v>1.2427999999999999</v>
      </c>
      <c r="N29" s="51">
        <v>1.1061000000000001</v>
      </c>
      <c r="O29" s="50">
        <v>107.99</v>
      </c>
      <c r="P29" s="43">
        <v>886.71</v>
      </c>
      <c r="Q29" s="43">
        <v>903.76</v>
      </c>
      <c r="R29" s="49">
        <f t="shared" si="3"/>
        <v>996.29328270499946</v>
      </c>
      <c r="S29" s="48">
        <v>1.2447999999999999</v>
      </c>
    </row>
    <row r="30" spans="2:19" x14ac:dyDescent="0.2">
      <c r="B30" s="47">
        <v>43921</v>
      </c>
      <c r="C30" s="46">
        <v>1090</v>
      </c>
      <c r="D30" s="45">
        <v>1090</v>
      </c>
      <c r="E30" s="44">
        <f t="shared" si="0"/>
        <v>1090</v>
      </c>
      <c r="F30" s="46">
        <v>1110</v>
      </c>
      <c r="G30" s="45">
        <v>1110</v>
      </c>
      <c r="H30" s="44">
        <f t="shared" si="1"/>
        <v>1110</v>
      </c>
      <c r="I30" s="46">
        <v>1129.5</v>
      </c>
      <c r="J30" s="45">
        <v>1129.5</v>
      </c>
      <c r="K30" s="44">
        <f t="shared" si="2"/>
        <v>1129.5</v>
      </c>
      <c r="L30" s="52">
        <v>1090</v>
      </c>
      <c r="M30" s="51">
        <v>1.2351000000000001</v>
      </c>
      <c r="N30" s="51">
        <v>1.0952999999999999</v>
      </c>
      <c r="O30" s="50">
        <v>108.57</v>
      </c>
      <c r="P30" s="43">
        <v>882.52</v>
      </c>
      <c r="Q30" s="43">
        <v>897.26</v>
      </c>
      <c r="R30" s="49">
        <f t="shared" si="3"/>
        <v>995.16114306582676</v>
      </c>
      <c r="S30" s="48">
        <v>1.2371000000000001</v>
      </c>
    </row>
    <row r="31" spans="2:19" s="10" customFormat="1" x14ac:dyDescent="0.2">
      <c r="B31" s="42" t="s">
        <v>11</v>
      </c>
      <c r="C31" s="41">
        <f>ROUND(AVERAGE(C9:C30),2)</f>
        <v>1161.68</v>
      </c>
      <c r="D31" s="40">
        <f>ROUND(AVERAGE(D9:D30),2)</f>
        <v>1168.27</v>
      </c>
      <c r="E31" s="39">
        <f>ROUND(AVERAGE(C31:D31),2)</f>
        <v>1164.98</v>
      </c>
      <c r="F31" s="41">
        <f>ROUND(AVERAGE(F9:F30),2)</f>
        <v>1179.1400000000001</v>
      </c>
      <c r="G31" s="40">
        <f>ROUND(AVERAGE(G9:G30),2)</f>
        <v>1185.07</v>
      </c>
      <c r="H31" s="39">
        <f>ROUND(AVERAGE(F31:G31),2)</f>
        <v>1182.1099999999999</v>
      </c>
      <c r="I31" s="41">
        <f>ROUND(AVERAGE(I9:I30),2)</f>
        <v>1189.6099999999999</v>
      </c>
      <c r="J31" s="40">
        <f>ROUND(AVERAGE(J9:J30),2)</f>
        <v>1196.43</v>
      </c>
      <c r="K31" s="39">
        <f>ROUND(AVERAGE(I31:J31),2)</f>
        <v>1193.02</v>
      </c>
      <c r="L31" s="38">
        <f>ROUND(AVERAGE(L9:L30),2)</f>
        <v>1168.27</v>
      </c>
      <c r="M31" s="37">
        <f>ROUND(AVERAGE(M9:M30),4)</f>
        <v>1.2377</v>
      </c>
      <c r="N31" s="36">
        <f>ROUND(AVERAGE(N9:N30),4)</f>
        <v>1.1060000000000001</v>
      </c>
      <c r="O31" s="175">
        <f>ROUND(AVERAGE(O9:O30),2)</f>
        <v>107.51</v>
      </c>
      <c r="P31" s="35">
        <f>AVERAGE(P9:P30)</f>
        <v>943.40045454545464</v>
      </c>
      <c r="Q31" s="35">
        <f>AVERAGE(Q9:Q30)</f>
        <v>955.70499999999981</v>
      </c>
      <c r="R31" s="35">
        <f>AVERAGE(R9:R30)</f>
        <v>1055.6837211577499</v>
      </c>
      <c r="S31" s="34">
        <f>AVERAGE(S9:S30)</f>
        <v>1.2394318181818182</v>
      </c>
    </row>
    <row r="32" spans="2:19" s="5" customFormat="1" x14ac:dyDescent="0.2">
      <c r="B32" s="33" t="s">
        <v>12</v>
      </c>
      <c r="C32" s="32">
        <f t="shared" ref="C32:S32" si="4">MAX(C9:C30)</f>
        <v>1240</v>
      </c>
      <c r="D32" s="31">
        <f t="shared" si="4"/>
        <v>1250</v>
      </c>
      <c r="E32" s="30">
        <f t="shared" si="4"/>
        <v>1245</v>
      </c>
      <c r="F32" s="32">
        <f t="shared" si="4"/>
        <v>1255</v>
      </c>
      <c r="G32" s="31">
        <f t="shared" si="4"/>
        <v>1265</v>
      </c>
      <c r="H32" s="30">
        <f t="shared" si="4"/>
        <v>1260</v>
      </c>
      <c r="I32" s="32">
        <f t="shared" si="4"/>
        <v>1265</v>
      </c>
      <c r="J32" s="31">
        <f t="shared" si="4"/>
        <v>1275</v>
      </c>
      <c r="K32" s="30">
        <f t="shared" si="4"/>
        <v>1270</v>
      </c>
      <c r="L32" s="29">
        <f t="shared" si="4"/>
        <v>1250</v>
      </c>
      <c r="M32" s="28">
        <f t="shared" si="4"/>
        <v>1.3102</v>
      </c>
      <c r="N32" s="27">
        <f t="shared" si="4"/>
        <v>1.1435</v>
      </c>
      <c r="O32" s="26">
        <f t="shared" si="4"/>
        <v>111.35</v>
      </c>
      <c r="P32" s="25">
        <f t="shared" si="4"/>
        <v>989.9</v>
      </c>
      <c r="Q32" s="25">
        <f t="shared" si="4"/>
        <v>1004.23</v>
      </c>
      <c r="R32" s="25">
        <f t="shared" si="4"/>
        <v>1124.8087825069738</v>
      </c>
      <c r="S32" s="24">
        <f t="shared" si="4"/>
        <v>1.3102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1073</v>
      </c>
      <c r="D33" s="21">
        <f t="shared" si="5"/>
        <v>1073</v>
      </c>
      <c r="E33" s="20">
        <f t="shared" si="5"/>
        <v>1073</v>
      </c>
      <c r="F33" s="22">
        <f t="shared" si="5"/>
        <v>1090</v>
      </c>
      <c r="G33" s="21">
        <f t="shared" si="5"/>
        <v>1090</v>
      </c>
      <c r="H33" s="20">
        <f t="shared" si="5"/>
        <v>1090</v>
      </c>
      <c r="I33" s="22">
        <f t="shared" si="5"/>
        <v>1100</v>
      </c>
      <c r="J33" s="21">
        <f t="shared" si="5"/>
        <v>1100.5</v>
      </c>
      <c r="K33" s="20">
        <f t="shared" si="5"/>
        <v>1100.5</v>
      </c>
      <c r="L33" s="19">
        <f t="shared" si="5"/>
        <v>1073</v>
      </c>
      <c r="M33" s="18">
        <f t="shared" si="5"/>
        <v>1.1625000000000001</v>
      </c>
      <c r="N33" s="17">
        <f t="shared" si="5"/>
        <v>1.0709</v>
      </c>
      <c r="O33" s="16">
        <f t="shared" si="5"/>
        <v>102.3</v>
      </c>
      <c r="P33" s="15">
        <f t="shared" si="5"/>
        <v>882.52</v>
      </c>
      <c r="Q33" s="15">
        <f t="shared" si="5"/>
        <v>897.26</v>
      </c>
      <c r="R33" s="15">
        <f t="shared" si="5"/>
        <v>991.49879874330065</v>
      </c>
      <c r="S33" s="14">
        <f t="shared" si="5"/>
        <v>1.1625000000000001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43892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43892</v>
      </c>
      <c r="C9" s="46">
        <v>1684</v>
      </c>
      <c r="D9" s="45">
        <v>1684.5</v>
      </c>
      <c r="E9" s="44">
        <f t="shared" ref="E9:E30" si="0">AVERAGE(C9:D9)</f>
        <v>1684.25</v>
      </c>
      <c r="F9" s="46">
        <v>1699</v>
      </c>
      <c r="G9" s="45">
        <v>1700</v>
      </c>
      <c r="H9" s="44">
        <f t="shared" ref="H9:H30" si="1">AVERAGE(F9:G9)</f>
        <v>1699.5</v>
      </c>
      <c r="I9" s="46">
        <v>1825</v>
      </c>
      <c r="J9" s="45">
        <v>1830</v>
      </c>
      <c r="K9" s="44">
        <f t="shared" ref="K9:K30" si="2">AVERAGE(I9:J9)</f>
        <v>1827.5</v>
      </c>
      <c r="L9" s="46">
        <v>1910</v>
      </c>
      <c r="M9" s="45">
        <v>1915</v>
      </c>
      <c r="N9" s="44">
        <f t="shared" ref="N9:N30" si="3">AVERAGE(L9:M9)</f>
        <v>1912.5</v>
      </c>
      <c r="O9" s="46">
        <v>1995</v>
      </c>
      <c r="P9" s="45">
        <v>2000</v>
      </c>
      <c r="Q9" s="44">
        <f t="shared" ref="Q9:Q30" si="4">AVERAGE(O9:P9)</f>
        <v>1997.5</v>
      </c>
      <c r="R9" s="52">
        <v>1684.5</v>
      </c>
      <c r="S9" s="51">
        <v>1.2753000000000001</v>
      </c>
      <c r="T9" s="53">
        <v>1.1113</v>
      </c>
      <c r="U9" s="50">
        <v>107.8</v>
      </c>
      <c r="V9" s="43">
        <v>1320.87</v>
      </c>
      <c r="W9" s="43">
        <v>1330.2</v>
      </c>
      <c r="X9" s="49">
        <f t="shared" ref="X9:X30" si="5">R9/T9</f>
        <v>1515.792315306398</v>
      </c>
      <c r="Y9" s="48">
        <v>1.278</v>
      </c>
    </row>
    <row r="10" spans="1:25" x14ac:dyDescent="0.2">
      <c r="B10" s="47">
        <v>43893</v>
      </c>
      <c r="C10" s="46">
        <v>1705.5</v>
      </c>
      <c r="D10" s="45">
        <v>1706</v>
      </c>
      <c r="E10" s="44">
        <f t="shared" si="0"/>
        <v>1705.75</v>
      </c>
      <c r="F10" s="46">
        <v>1720</v>
      </c>
      <c r="G10" s="45">
        <v>1722</v>
      </c>
      <c r="H10" s="44">
        <f t="shared" si="1"/>
        <v>1721</v>
      </c>
      <c r="I10" s="46">
        <v>1843</v>
      </c>
      <c r="J10" s="45">
        <v>1848</v>
      </c>
      <c r="K10" s="44">
        <f t="shared" si="2"/>
        <v>1845.5</v>
      </c>
      <c r="L10" s="46">
        <v>1925</v>
      </c>
      <c r="M10" s="45">
        <v>1930</v>
      </c>
      <c r="N10" s="44">
        <f t="shared" si="3"/>
        <v>1927.5</v>
      </c>
      <c r="O10" s="46">
        <v>2010</v>
      </c>
      <c r="P10" s="45">
        <v>2015</v>
      </c>
      <c r="Q10" s="44">
        <f t="shared" si="4"/>
        <v>2012.5</v>
      </c>
      <c r="R10" s="52">
        <v>1706</v>
      </c>
      <c r="S10" s="51">
        <v>1.2778</v>
      </c>
      <c r="T10" s="51">
        <v>1.1117999999999999</v>
      </c>
      <c r="U10" s="50">
        <v>107.73</v>
      </c>
      <c r="V10" s="43">
        <v>1335.11</v>
      </c>
      <c r="W10" s="43">
        <v>1345</v>
      </c>
      <c r="X10" s="49">
        <f t="shared" si="5"/>
        <v>1534.4486418420581</v>
      </c>
      <c r="Y10" s="48">
        <v>1.2803</v>
      </c>
    </row>
    <row r="11" spans="1:25" x14ac:dyDescent="0.2">
      <c r="B11" s="47">
        <v>43894</v>
      </c>
      <c r="C11" s="46">
        <v>1722.5</v>
      </c>
      <c r="D11" s="45">
        <v>1723.5</v>
      </c>
      <c r="E11" s="44">
        <f t="shared" si="0"/>
        <v>1723</v>
      </c>
      <c r="F11" s="46">
        <v>1731</v>
      </c>
      <c r="G11" s="45">
        <v>1732</v>
      </c>
      <c r="H11" s="44">
        <f t="shared" si="1"/>
        <v>1731.5</v>
      </c>
      <c r="I11" s="46">
        <v>1848</v>
      </c>
      <c r="J11" s="45">
        <v>1853</v>
      </c>
      <c r="K11" s="44">
        <f t="shared" si="2"/>
        <v>1850.5</v>
      </c>
      <c r="L11" s="46">
        <v>1930</v>
      </c>
      <c r="M11" s="45">
        <v>1935</v>
      </c>
      <c r="N11" s="44">
        <f t="shared" si="3"/>
        <v>1932.5</v>
      </c>
      <c r="O11" s="46">
        <v>2013</v>
      </c>
      <c r="P11" s="45">
        <v>2018</v>
      </c>
      <c r="Q11" s="44">
        <f t="shared" si="4"/>
        <v>2015.5</v>
      </c>
      <c r="R11" s="52">
        <v>1723.5</v>
      </c>
      <c r="S11" s="51">
        <v>1.28</v>
      </c>
      <c r="T11" s="51">
        <v>1.1113</v>
      </c>
      <c r="U11" s="50">
        <v>107.55</v>
      </c>
      <c r="V11" s="43">
        <v>1346.48</v>
      </c>
      <c r="W11" s="43">
        <v>1351.01</v>
      </c>
      <c r="X11" s="49">
        <f t="shared" si="5"/>
        <v>1550.8863493206156</v>
      </c>
      <c r="Y11" s="48">
        <v>1.282</v>
      </c>
    </row>
    <row r="12" spans="1:25" x14ac:dyDescent="0.2">
      <c r="B12" s="47">
        <v>43895</v>
      </c>
      <c r="C12" s="46">
        <v>1714</v>
      </c>
      <c r="D12" s="45">
        <v>1715</v>
      </c>
      <c r="E12" s="44">
        <f t="shared" si="0"/>
        <v>1714.5</v>
      </c>
      <c r="F12" s="46">
        <v>1725</v>
      </c>
      <c r="G12" s="45">
        <v>1726</v>
      </c>
      <c r="H12" s="44">
        <f t="shared" si="1"/>
        <v>1725.5</v>
      </c>
      <c r="I12" s="46">
        <v>1843</v>
      </c>
      <c r="J12" s="45">
        <v>1848</v>
      </c>
      <c r="K12" s="44">
        <f t="shared" si="2"/>
        <v>1845.5</v>
      </c>
      <c r="L12" s="46">
        <v>1922</v>
      </c>
      <c r="M12" s="45">
        <v>1927</v>
      </c>
      <c r="N12" s="44">
        <f t="shared" si="3"/>
        <v>1924.5</v>
      </c>
      <c r="O12" s="46">
        <v>2003</v>
      </c>
      <c r="P12" s="45">
        <v>2008</v>
      </c>
      <c r="Q12" s="44">
        <f t="shared" si="4"/>
        <v>2005.5</v>
      </c>
      <c r="R12" s="52">
        <v>1715</v>
      </c>
      <c r="S12" s="51">
        <v>1.2914000000000001</v>
      </c>
      <c r="T12" s="51">
        <v>1.1189</v>
      </c>
      <c r="U12" s="50">
        <v>106.92</v>
      </c>
      <c r="V12" s="43">
        <v>1328.02</v>
      </c>
      <c r="W12" s="43">
        <v>1334.67</v>
      </c>
      <c r="X12" s="49">
        <f t="shared" si="5"/>
        <v>1532.7553847528823</v>
      </c>
      <c r="Y12" s="48">
        <v>1.2931999999999999</v>
      </c>
    </row>
    <row r="13" spans="1:25" x14ac:dyDescent="0.2">
      <c r="B13" s="47">
        <v>43896</v>
      </c>
      <c r="C13" s="46">
        <v>1686.5</v>
      </c>
      <c r="D13" s="45">
        <v>1687</v>
      </c>
      <c r="E13" s="44">
        <f t="shared" si="0"/>
        <v>1686.75</v>
      </c>
      <c r="F13" s="46">
        <v>1708</v>
      </c>
      <c r="G13" s="45">
        <v>1709</v>
      </c>
      <c r="H13" s="44">
        <f t="shared" si="1"/>
        <v>1708.5</v>
      </c>
      <c r="I13" s="46">
        <v>1825</v>
      </c>
      <c r="J13" s="45">
        <v>1830</v>
      </c>
      <c r="K13" s="44">
        <f t="shared" si="2"/>
        <v>1827.5</v>
      </c>
      <c r="L13" s="46">
        <v>1905</v>
      </c>
      <c r="M13" s="45">
        <v>1910</v>
      </c>
      <c r="N13" s="44">
        <f t="shared" si="3"/>
        <v>1907.5</v>
      </c>
      <c r="O13" s="46">
        <v>1987</v>
      </c>
      <c r="P13" s="45">
        <v>1992</v>
      </c>
      <c r="Q13" s="44">
        <f t="shared" si="4"/>
        <v>1989.5</v>
      </c>
      <c r="R13" s="52">
        <v>1687</v>
      </c>
      <c r="S13" s="51">
        <v>1.2994000000000001</v>
      </c>
      <c r="T13" s="51">
        <v>1.1315999999999999</v>
      </c>
      <c r="U13" s="50">
        <v>105.19</v>
      </c>
      <c r="V13" s="43">
        <v>1298.29</v>
      </c>
      <c r="W13" s="43">
        <v>1313.6</v>
      </c>
      <c r="X13" s="49">
        <f t="shared" si="5"/>
        <v>1490.8094733121245</v>
      </c>
      <c r="Y13" s="48">
        <v>1.3009999999999999</v>
      </c>
    </row>
    <row r="14" spans="1:25" x14ac:dyDescent="0.2">
      <c r="B14" s="47">
        <v>43899</v>
      </c>
      <c r="C14" s="46">
        <v>1643</v>
      </c>
      <c r="D14" s="45">
        <v>1643.5</v>
      </c>
      <c r="E14" s="44">
        <f t="shared" si="0"/>
        <v>1643.25</v>
      </c>
      <c r="F14" s="46">
        <v>1665.5</v>
      </c>
      <c r="G14" s="45">
        <v>1666.5</v>
      </c>
      <c r="H14" s="44">
        <f t="shared" si="1"/>
        <v>1666</v>
      </c>
      <c r="I14" s="46">
        <v>1783</v>
      </c>
      <c r="J14" s="45">
        <v>1788</v>
      </c>
      <c r="K14" s="44">
        <f t="shared" si="2"/>
        <v>1785.5</v>
      </c>
      <c r="L14" s="46">
        <v>1862</v>
      </c>
      <c r="M14" s="45">
        <v>1867</v>
      </c>
      <c r="N14" s="44">
        <f t="shared" si="3"/>
        <v>1864.5</v>
      </c>
      <c r="O14" s="46">
        <v>1943</v>
      </c>
      <c r="P14" s="45">
        <v>1948</v>
      </c>
      <c r="Q14" s="44">
        <f t="shared" si="4"/>
        <v>1945.5</v>
      </c>
      <c r="R14" s="52">
        <v>1643.5</v>
      </c>
      <c r="S14" s="51">
        <v>1.3102</v>
      </c>
      <c r="T14" s="51">
        <v>1.1435</v>
      </c>
      <c r="U14" s="50">
        <v>102.3</v>
      </c>
      <c r="V14" s="43">
        <v>1254.3900000000001</v>
      </c>
      <c r="W14" s="43">
        <v>1271.94</v>
      </c>
      <c r="X14" s="49">
        <f t="shared" si="5"/>
        <v>1437.2540445999125</v>
      </c>
      <c r="Y14" s="48">
        <v>1.3102</v>
      </c>
    </row>
    <row r="15" spans="1:25" x14ac:dyDescent="0.2">
      <c r="B15" s="47">
        <v>43900</v>
      </c>
      <c r="C15" s="46">
        <v>1688.5</v>
      </c>
      <c r="D15" s="45">
        <v>1689</v>
      </c>
      <c r="E15" s="44">
        <f t="shared" si="0"/>
        <v>1688.75</v>
      </c>
      <c r="F15" s="46">
        <v>1708</v>
      </c>
      <c r="G15" s="45">
        <v>1708.5</v>
      </c>
      <c r="H15" s="44">
        <f t="shared" si="1"/>
        <v>1708.25</v>
      </c>
      <c r="I15" s="46">
        <v>1820</v>
      </c>
      <c r="J15" s="45">
        <v>1825</v>
      </c>
      <c r="K15" s="44">
        <f t="shared" si="2"/>
        <v>1822.5</v>
      </c>
      <c r="L15" s="46">
        <v>1898</v>
      </c>
      <c r="M15" s="45">
        <v>1903</v>
      </c>
      <c r="N15" s="44">
        <f t="shared" si="3"/>
        <v>1900.5</v>
      </c>
      <c r="O15" s="46">
        <v>1982</v>
      </c>
      <c r="P15" s="45">
        <v>1987</v>
      </c>
      <c r="Q15" s="44">
        <f t="shared" si="4"/>
        <v>1984.5</v>
      </c>
      <c r="R15" s="52">
        <v>1689</v>
      </c>
      <c r="S15" s="51">
        <v>1.3024</v>
      </c>
      <c r="T15" s="51">
        <v>1.1379999999999999</v>
      </c>
      <c r="U15" s="50">
        <v>104.24</v>
      </c>
      <c r="V15" s="43">
        <v>1296.8399999999999</v>
      </c>
      <c r="W15" s="43">
        <v>1311.81</v>
      </c>
      <c r="X15" s="49">
        <f t="shared" si="5"/>
        <v>1484.1827768014061</v>
      </c>
      <c r="Y15" s="48">
        <v>1.3024</v>
      </c>
    </row>
    <row r="16" spans="1:25" x14ac:dyDescent="0.2">
      <c r="B16" s="47">
        <v>43901</v>
      </c>
      <c r="C16" s="46">
        <v>1670</v>
      </c>
      <c r="D16" s="45">
        <v>1670.5</v>
      </c>
      <c r="E16" s="44">
        <f t="shared" si="0"/>
        <v>1670.25</v>
      </c>
      <c r="F16" s="46">
        <v>1686</v>
      </c>
      <c r="G16" s="45">
        <v>1687</v>
      </c>
      <c r="H16" s="44">
        <f t="shared" si="1"/>
        <v>1686.5</v>
      </c>
      <c r="I16" s="46">
        <v>1788</v>
      </c>
      <c r="J16" s="45">
        <v>1793</v>
      </c>
      <c r="K16" s="44">
        <f t="shared" si="2"/>
        <v>1790.5</v>
      </c>
      <c r="L16" s="46">
        <v>1863</v>
      </c>
      <c r="M16" s="45">
        <v>1868</v>
      </c>
      <c r="N16" s="44">
        <f t="shared" si="3"/>
        <v>1865.5</v>
      </c>
      <c r="O16" s="46">
        <v>1948</v>
      </c>
      <c r="P16" s="45">
        <v>1953</v>
      </c>
      <c r="Q16" s="44">
        <f t="shared" si="4"/>
        <v>1950.5</v>
      </c>
      <c r="R16" s="52">
        <v>1670.5</v>
      </c>
      <c r="S16" s="51">
        <v>1.2941</v>
      </c>
      <c r="T16" s="51">
        <v>1.1339999999999999</v>
      </c>
      <c r="U16" s="50">
        <v>104.45</v>
      </c>
      <c r="V16" s="43">
        <v>1290.8599999999999</v>
      </c>
      <c r="W16" s="43">
        <v>1302.4000000000001</v>
      </c>
      <c r="X16" s="49">
        <f t="shared" si="5"/>
        <v>1473.10405643739</v>
      </c>
      <c r="Y16" s="48">
        <v>1.2952999999999999</v>
      </c>
    </row>
    <row r="17" spans="2:25" x14ac:dyDescent="0.2">
      <c r="B17" s="47">
        <v>43902</v>
      </c>
      <c r="C17" s="46">
        <v>1642</v>
      </c>
      <c r="D17" s="45">
        <v>1643</v>
      </c>
      <c r="E17" s="44">
        <f t="shared" si="0"/>
        <v>1642.5</v>
      </c>
      <c r="F17" s="46">
        <v>1657</v>
      </c>
      <c r="G17" s="45">
        <v>1658</v>
      </c>
      <c r="H17" s="44">
        <f t="shared" si="1"/>
        <v>1657.5</v>
      </c>
      <c r="I17" s="46">
        <v>1760</v>
      </c>
      <c r="J17" s="45">
        <v>1765</v>
      </c>
      <c r="K17" s="44">
        <f t="shared" si="2"/>
        <v>1762.5</v>
      </c>
      <c r="L17" s="46">
        <v>1835</v>
      </c>
      <c r="M17" s="45">
        <v>1840</v>
      </c>
      <c r="N17" s="44">
        <f t="shared" si="3"/>
        <v>1837.5</v>
      </c>
      <c r="O17" s="46">
        <v>1920</v>
      </c>
      <c r="P17" s="45">
        <v>1925</v>
      </c>
      <c r="Q17" s="44">
        <f t="shared" si="4"/>
        <v>1922.5</v>
      </c>
      <c r="R17" s="52">
        <v>1643</v>
      </c>
      <c r="S17" s="51">
        <v>1.2662</v>
      </c>
      <c r="T17" s="51">
        <v>1.1214999999999999</v>
      </c>
      <c r="U17" s="50">
        <v>104.13</v>
      </c>
      <c r="V17" s="43">
        <v>1297.58</v>
      </c>
      <c r="W17" s="43">
        <v>1309.43</v>
      </c>
      <c r="X17" s="49">
        <f t="shared" si="5"/>
        <v>1465.0022291573787</v>
      </c>
      <c r="Y17" s="48">
        <v>1.2662</v>
      </c>
    </row>
    <row r="18" spans="2:25" x14ac:dyDescent="0.2">
      <c r="B18" s="47">
        <v>43903</v>
      </c>
      <c r="C18" s="46">
        <v>1676.5</v>
      </c>
      <c r="D18" s="45">
        <v>1677</v>
      </c>
      <c r="E18" s="44">
        <f t="shared" si="0"/>
        <v>1676.75</v>
      </c>
      <c r="F18" s="46">
        <v>1695</v>
      </c>
      <c r="G18" s="45">
        <v>1696</v>
      </c>
      <c r="H18" s="44">
        <f t="shared" si="1"/>
        <v>1695.5</v>
      </c>
      <c r="I18" s="46">
        <v>1798</v>
      </c>
      <c r="J18" s="45">
        <v>1803</v>
      </c>
      <c r="K18" s="44">
        <f t="shared" si="2"/>
        <v>1800.5</v>
      </c>
      <c r="L18" s="46">
        <v>1873</v>
      </c>
      <c r="M18" s="45">
        <v>1878</v>
      </c>
      <c r="N18" s="44">
        <f t="shared" si="3"/>
        <v>1875.5</v>
      </c>
      <c r="O18" s="46">
        <v>1957</v>
      </c>
      <c r="P18" s="45">
        <v>1962</v>
      </c>
      <c r="Q18" s="44">
        <f t="shared" si="4"/>
        <v>1959.5</v>
      </c>
      <c r="R18" s="52">
        <v>1677</v>
      </c>
      <c r="S18" s="51">
        <v>1.2468999999999999</v>
      </c>
      <c r="T18" s="51">
        <v>1.111</v>
      </c>
      <c r="U18" s="50">
        <v>107.31</v>
      </c>
      <c r="V18" s="43">
        <v>1344.94</v>
      </c>
      <c r="W18" s="43">
        <v>1357.89</v>
      </c>
      <c r="X18" s="49">
        <f t="shared" si="5"/>
        <v>1509.4509450945095</v>
      </c>
      <c r="Y18" s="48">
        <v>1.2490000000000001</v>
      </c>
    </row>
    <row r="19" spans="2:25" x14ac:dyDescent="0.2">
      <c r="B19" s="47">
        <v>43906</v>
      </c>
      <c r="C19" s="46">
        <v>1640</v>
      </c>
      <c r="D19" s="45">
        <v>1640.5</v>
      </c>
      <c r="E19" s="44">
        <f t="shared" si="0"/>
        <v>1640.25</v>
      </c>
      <c r="F19" s="46">
        <v>1654</v>
      </c>
      <c r="G19" s="45">
        <v>1655</v>
      </c>
      <c r="H19" s="44">
        <f t="shared" si="1"/>
        <v>1654.5</v>
      </c>
      <c r="I19" s="46">
        <v>1743</v>
      </c>
      <c r="J19" s="45">
        <v>1748</v>
      </c>
      <c r="K19" s="44">
        <f t="shared" si="2"/>
        <v>1745.5</v>
      </c>
      <c r="L19" s="46">
        <v>1812</v>
      </c>
      <c r="M19" s="45">
        <v>1817</v>
      </c>
      <c r="N19" s="44">
        <f t="shared" si="3"/>
        <v>1814.5</v>
      </c>
      <c r="O19" s="46">
        <v>1890</v>
      </c>
      <c r="P19" s="45">
        <v>1895</v>
      </c>
      <c r="Q19" s="44">
        <f t="shared" si="4"/>
        <v>1892.5</v>
      </c>
      <c r="R19" s="52">
        <v>1640.5</v>
      </c>
      <c r="S19" s="51">
        <v>1.2274</v>
      </c>
      <c r="T19" s="51">
        <v>1.1166</v>
      </c>
      <c r="U19" s="50">
        <v>105.29</v>
      </c>
      <c r="V19" s="43">
        <v>1336.57</v>
      </c>
      <c r="W19" s="43">
        <v>1345.75</v>
      </c>
      <c r="X19" s="49">
        <f t="shared" si="5"/>
        <v>1469.1921905785418</v>
      </c>
      <c r="Y19" s="48">
        <v>1.2298</v>
      </c>
    </row>
    <row r="20" spans="2:25" x14ac:dyDescent="0.2">
      <c r="B20" s="47">
        <v>43907</v>
      </c>
      <c r="C20" s="46">
        <v>1627.5</v>
      </c>
      <c r="D20" s="45">
        <v>1628</v>
      </c>
      <c r="E20" s="44">
        <f t="shared" si="0"/>
        <v>1627.75</v>
      </c>
      <c r="F20" s="46">
        <v>1648</v>
      </c>
      <c r="G20" s="45">
        <v>1649</v>
      </c>
      <c r="H20" s="44">
        <f t="shared" si="1"/>
        <v>1648.5</v>
      </c>
      <c r="I20" s="46">
        <v>1748</v>
      </c>
      <c r="J20" s="45">
        <v>1753</v>
      </c>
      <c r="K20" s="44">
        <f t="shared" si="2"/>
        <v>1750.5</v>
      </c>
      <c r="L20" s="46">
        <v>1820</v>
      </c>
      <c r="M20" s="45">
        <v>1825</v>
      </c>
      <c r="N20" s="44">
        <f t="shared" si="3"/>
        <v>1822.5</v>
      </c>
      <c r="O20" s="46">
        <v>1898</v>
      </c>
      <c r="P20" s="45">
        <v>1903</v>
      </c>
      <c r="Q20" s="44">
        <f t="shared" si="4"/>
        <v>1900.5</v>
      </c>
      <c r="R20" s="52">
        <v>1628</v>
      </c>
      <c r="S20" s="51">
        <v>1.2092000000000001</v>
      </c>
      <c r="T20" s="51">
        <v>1.0989</v>
      </c>
      <c r="U20" s="50">
        <v>107.06</v>
      </c>
      <c r="V20" s="43">
        <v>1346.34</v>
      </c>
      <c r="W20" s="43">
        <v>1359.78</v>
      </c>
      <c r="X20" s="49">
        <f t="shared" si="5"/>
        <v>1481.4814814814815</v>
      </c>
      <c r="Y20" s="48">
        <v>1.2126999999999999</v>
      </c>
    </row>
    <row r="21" spans="2:25" x14ac:dyDescent="0.2">
      <c r="B21" s="47">
        <v>43908</v>
      </c>
      <c r="C21" s="46">
        <v>1602</v>
      </c>
      <c r="D21" s="45">
        <v>1602.5</v>
      </c>
      <c r="E21" s="44">
        <f t="shared" si="0"/>
        <v>1602.25</v>
      </c>
      <c r="F21" s="46">
        <v>1626</v>
      </c>
      <c r="G21" s="45">
        <v>1628</v>
      </c>
      <c r="H21" s="44">
        <f t="shared" si="1"/>
        <v>1627</v>
      </c>
      <c r="I21" s="46">
        <v>1738</v>
      </c>
      <c r="J21" s="45">
        <v>1743</v>
      </c>
      <c r="K21" s="44">
        <f t="shared" si="2"/>
        <v>1740.5</v>
      </c>
      <c r="L21" s="46">
        <v>1815</v>
      </c>
      <c r="M21" s="45">
        <v>1820</v>
      </c>
      <c r="N21" s="44">
        <f t="shared" si="3"/>
        <v>1817.5</v>
      </c>
      <c r="O21" s="46">
        <v>1893</v>
      </c>
      <c r="P21" s="45">
        <v>1898</v>
      </c>
      <c r="Q21" s="44">
        <f t="shared" si="4"/>
        <v>1895.5</v>
      </c>
      <c r="R21" s="52">
        <v>1602.5</v>
      </c>
      <c r="S21" s="51">
        <v>1.1843999999999999</v>
      </c>
      <c r="T21" s="51">
        <v>1.0931</v>
      </c>
      <c r="U21" s="50">
        <v>107.64</v>
      </c>
      <c r="V21" s="43">
        <v>1353.01</v>
      </c>
      <c r="W21" s="43">
        <v>1372.22</v>
      </c>
      <c r="X21" s="49">
        <f t="shared" si="5"/>
        <v>1466.0140883725185</v>
      </c>
      <c r="Y21" s="48">
        <v>1.1863999999999999</v>
      </c>
    </row>
    <row r="22" spans="2:25" x14ac:dyDescent="0.2">
      <c r="B22" s="47">
        <v>43909</v>
      </c>
      <c r="C22" s="46">
        <v>1580</v>
      </c>
      <c r="D22" s="45">
        <v>1581</v>
      </c>
      <c r="E22" s="44">
        <f t="shared" si="0"/>
        <v>1580.5</v>
      </c>
      <c r="F22" s="46">
        <v>1606</v>
      </c>
      <c r="G22" s="45">
        <v>1607</v>
      </c>
      <c r="H22" s="44">
        <f t="shared" si="1"/>
        <v>1606.5</v>
      </c>
      <c r="I22" s="46">
        <v>1722</v>
      </c>
      <c r="J22" s="45">
        <v>1727</v>
      </c>
      <c r="K22" s="44">
        <f t="shared" si="2"/>
        <v>1724.5</v>
      </c>
      <c r="L22" s="46">
        <v>1800</v>
      </c>
      <c r="M22" s="45">
        <v>1805</v>
      </c>
      <c r="N22" s="44">
        <f t="shared" si="3"/>
        <v>1802.5</v>
      </c>
      <c r="O22" s="46">
        <v>1880</v>
      </c>
      <c r="P22" s="45">
        <v>1885</v>
      </c>
      <c r="Q22" s="44">
        <f t="shared" si="4"/>
        <v>1882.5</v>
      </c>
      <c r="R22" s="52">
        <v>1581</v>
      </c>
      <c r="S22" s="51">
        <v>1.1625000000000001</v>
      </c>
      <c r="T22" s="51">
        <v>1.0799000000000001</v>
      </c>
      <c r="U22" s="50">
        <v>109.79</v>
      </c>
      <c r="V22" s="43">
        <v>1360</v>
      </c>
      <c r="W22" s="43">
        <v>1382.37</v>
      </c>
      <c r="X22" s="49">
        <f t="shared" si="5"/>
        <v>1464.0244467080283</v>
      </c>
      <c r="Y22" s="48">
        <v>1.1625000000000001</v>
      </c>
    </row>
    <row r="23" spans="2:25" x14ac:dyDescent="0.2">
      <c r="B23" s="47">
        <v>43910</v>
      </c>
      <c r="C23" s="46">
        <v>1580</v>
      </c>
      <c r="D23" s="45">
        <v>1580.5</v>
      </c>
      <c r="E23" s="44">
        <f t="shared" si="0"/>
        <v>1580.25</v>
      </c>
      <c r="F23" s="46">
        <v>1603</v>
      </c>
      <c r="G23" s="45">
        <v>1605</v>
      </c>
      <c r="H23" s="44">
        <f t="shared" si="1"/>
        <v>1604</v>
      </c>
      <c r="I23" s="46">
        <v>1715</v>
      </c>
      <c r="J23" s="45">
        <v>1720</v>
      </c>
      <c r="K23" s="44">
        <f t="shared" si="2"/>
        <v>1717.5</v>
      </c>
      <c r="L23" s="46">
        <v>1793</v>
      </c>
      <c r="M23" s="45">
        <v>1798</v>
      </c>
      <c r="N23" s="44">
        <f t="shared" si="3"/>
        <v>1795.5</v>
      </c>
      <c r="O23" s="46">
        <v>1873</v>
      </c>
      <c r="P23" s="45">
        <v>1878</v>
      </c>
      <c r="Q23" s="44">
        <f t="shared" si="4"/>
        <v>1875.5</v>
      </c>
      <c r="R23" s="52">
        <v>1580.5</v>
      </c>
      <c r="S23" s="51">
        <v>1.1779999999999999</v>
      </c>
      <c r="T23" s="51">
        <v>1.0709</v>
      </c>
      <c r="U23" s="50">
        <v>110.37</v>
      </c>
      <c r="V23" s="43">
        <v>1341.68</v>
      </c>
      <c r="W23" s="43">
        <v>1359.71</v>
      </c>
      <c r="X23" s="49">
        <f t="shared" si="5"/>
        <v>1475.8614249696518</v>
      </c>
      <c r="Y23" s="48">
        <v>1.1803999999999999</v>
      </c>
    </row>
    <row r="24" spans="2:25" x14ac:dyDescent="0.2">
      <c r="B24" s="47">
        <v>43913</v>
      </c>
      <c r="C24" s="46">
        <v>1536</v>
      </c>
      <c r="D24" s="45">
        <v>1536</v>
      </c>
      <c r="E24" s="44">
        <f t="shared" si="0"/>
        <v>1536</v>
      </c>
      <c r="F24" s="46">
        <v>1568</v>
      </c>
      <c r="G24" s="45">
        <v>1568</v>
      </c>
      <c r="H24" s="44">
        <f t="shared" si="1"/>
        <v>1568</v>
      </c>
      <c r="I24" s="46">
        <v>1686</v>
      </c>
      <c r="J24" s="45">
        <v>1686</v>
      </c>
      <c r="K24" s="44">
        <f t="shared" si="2"/>
        <v>1686</v>
      </c>
      <c r="L24" s="46">
        <v>1768</v>
      </c>
      <c r="M24" s="45">
        <v>1768</v>
      </c>
      <c r="N24" s="44">
        <f t="shared" si="3"/>
        <v>1768</v>
      </c>
      <c r="O24" s="46">
        <v>1848</v>
      </c>
      <c r="P24" s="45">
        <v>1848</v>
      </c>
      <c r="Q24" s="44">
        <f t="shared" si="4"/>
        <v>1848</v>
      </c>
      <c r="R24" s="52">
        <v>1536</v>
      </c>
      <c r="S24" s="51">
        <v>1.1633</v>
      </c>
      <c r="T24" s="51">
        <v>1.0780000000000001</v>
      </c>
      <c r="U24" s="50">
        <v>110.23</v>
      </c>
      <c r="V24" s="43">
        <v>1320.38</v>
      </c>
      <c r="W24" s="43">
        <v>1345.69</v>
      </c>
      <c r="X24" s="49">
        <f t="shared" si="5"/>
        <v>1424.8608534322818</v>
      </c>
      <c r="Y24" s="48">
        <v>1.1652</v>
      </c>
    </row>
    <row r="25" spans="2:25" x14ac:dyDescent="0.2">
      <c r="B25" s="47">
        <v>43914</v>
      </c>
      <c r="C25" s="46">
        <v>1532.5</v>
      </c>
      <c r="D25" s="45">
        <v>1532.5</v>
      </c>
      <c r="E25" s="44">
        <f t="shared" si="0"/>
        <v>1532.5</v>
      </c>
      <c r="F25" s="46">
        <v>1567.5</v>
      </c>
      <c r="G25" s="45">
        <v>1567.5</v>
      </c>
      <c r="H25" s="44">
        <f t="shared" si="1"/>
        <v>1567.5</v>
      </c>
      <c r="I25" s="46">
        <v>1685.5</v>
      </c>
      <c r="J25" s="45">
        <v>1685.5</v>
      </c>
      <c r="K25" s="44">
        <f t="shared" si="2"/>
        <v>1685.5</v>
      </c>
      <c r="L25" s="46">
        <v>1768.5</v>
      </c>
      <c r="M25" s="45">
        <v>1768.5</v>
      </c>
      <c r="N25" s="44">
        <f t="shared" si="3"/>
        <v>1768.5</v>
      </c>
      <c r="O25" s="46">
        <v>1851.5</v>
      </c>
      <c r="P25" s="45">
        <v>1851.5</v>
      </c>
      <c r="Q25" s="44">
        <f t="shared" si="4"/>
        <v>1851.5</v>
      </c>
      <c r="R25" s="52">
        <v>1532.5</v>
      </c>
      <c r="S25" s="51">
        <v>1.1753</v>
      </c>
      <c r="T25" s="51">
        <v>1.0822000000000001</v>
      </c>
      <c r="U25" s="50">
        <v>110.82</v>
      </c>
      <c r="V25" s="43">
        <v>1303.92</v>
      </c>
      <c r="W25" s="43">
        <v>1331.21</v>
      </c>
      <c r="X25" s="49">
        <f t="shared" si="5"/>
        <v>1416.0968397708371</v>
      </c>
      <c r="Y25" s="48">
        <v>1.1775</v>
      </c>
    </row>
    <row r="26" spans="2:25" x14ac:dyDescent="0.2">
      <c r="B26" s="47">
        <v>43915</v>
      </c>
      <c r="C26" s="46">
        <v>1507.5</v>
      </c>
      <c r="D26" s="45">
        <v>1507.5</v>
      </c>
      <c r="E26" s="44">
        <f t="shared" si="0"/>
        <v>1507.5</v>
      </c>
      <c r="F26" s="46">
        <v>1541.5</v>
      </c>
      <c r="G26" s="45">
        <v>1541.5</v>
      </c>
      <c r="H26" s="44">
        <f t="shared" si="1"/>
        <v>1541.5</v>
      </c>
      <c r="I26" s="46">
        <v>1660</v>
      </c>
      <c r="J26" s="45">
        <v>1660</v>
      </c>
      <c r="K26" s="44">
        <f t="shared" si="2"/>
        <v>1660</v>
      </c>
      <c r="L26" s="46">
        <v>1743</v>
      </c>
      <c r="M26" s="45">
        <v>1743</v>
      </c>
      <c r="N26" s="44">
        <f t="shared" si="3"/>
        <v>1743</v>
      </c>
      <c r="O26" s="46">
        <v>1826</v>
      </c>
      <c r="P26" s="45">
        <v>1826</v>
      </c>
      <c r="Q26" s="44">
        <f t="shared" si="4"/>
        <v>1826</v>
      </c>
      <c r="R26" s="52">
        <v>1507.5</v>
      </c>
      <c r="S26" s="51">
        <v>1.1838</v>
      </c>
      <c r="T26" s="51">
        <v>1.0820000000000001</v>
      </c>
      <c r="U26" s="50">
        <v>111.35</v>
      </c>
      <c r="V26" s="43">
        <v>1273.44</v>
      </c>
      <c r="W26" s="43">
        <v>1299.97</v>
      </c>
      <c r="X26" s="49">
        <f t="shared" si="5"/>
        <v>1393.2532347504621</v>
      </c>
      <c r="Y26" s="48">
        <v>1.1858</v>
      </c>
    </row>
    <row r="27" spans="2:25" x14ac:dyDescent="0.2">
      <c r="B27" s="47">
        <v>43916</v>
      </c>
      <c r="C27" s="46">
        <v>1507.5</v>
      </c>
      <c r="D27" s="45">
        <v>1507.5</v>
      </c>
      <c r="E27" s="44">
        <f t="shared" si="0"/>
        <v>1507.5</v>
      </c>
      <c r="F27" s="46">
        <v>1539.5</v>
      </c>
      <c r="G27" s="45">
        <v>1539.5</v>
      </c>
      <c r="H27" s="44">
        <f t="shared" si="1"/>
        <v>1539.5</v>
      </c>
      <c r="I27" s="46">
        <v>1656</v>
      </c>
      <c r="J27" s="45">
        <v>1656</v>
      </c>
      <c r="K27" s="44">
        <f t="shared" si="2"/>
        <v>1656</v>
      </c>
      <c r="L27" s="46">
        <v>1740</v>
      </c>
      <c r="M27" s="45">
        <v>1740</v>
      </c>
      <c r="N27" s="44">
        <f t="shared" si="3"/>
        <v>1740</v>
      </c>
      <c r="O27" s="46">
        <v>1822.5</v>
      </c>
      <c r="P27" s="45">
        <v>1822.5</v>
      </c>
      <c r="Q27" s="44">
        <f t="shared" si="4"/>
        <v>1822.5</v>
      </c>
      <c r="R27" s="52">
        <v>1507.5</v>
      </c>
      <c r="S27" s="51">
        <v>1.1988000000000001</v>
      </c>
      <c r="T27" s="51">
        <v>1.0972</v>
      </c>
      <c r="U27" s="50">
        <v>109.67</v>
      </c>
      <c r="V27" s="43">
        <v>1257.51</v>
      </c>
      <c r="W27" s="43">
        <v>1282.17</v>
      </c>
      <c r="X27" s="49">
        <f t="shared" si="5"/>
        <v>1373.95187750638</v>
      </c>
      <c r="Y27" s="48">
        <v>1.2007000000000001</v>
      </c>
    </row>
    <row r="28" spans="2:25" x14ac:dyDescent="0.2">
      <c r="B28" s="47">
        <v>43917</v>
      </c>
      <c r="C28" s="46">
        <v>1506</v>
      </c>
      <c r="D28" s="45">
        <v>1506</v>
      </c>
      <c r="E28" s="44">
        <f t="shared" si="0"/>
        <v>1506</v>
      </c>
      <c r="F28" s="46">
        <v>1538.5</v>
      </c>
      <c r="G28" s="45">
        <v>1538.5</v>
      </c>
      <c r="H28" s="44">
        <f t="shared" si="1"/>
        <v>1538.5</v>
      </c>
      <c r="I28" s="46">
        <v>1656.5</v>
      </c>
      <c r="J28" s="45">
        <v>1656.5</v>
      </c>
      <c r="K28" s="44">
        <f t="shared" si="2"/>
        <v>1656.5</v>
      </c>
      <c r="L28" s="46">
        <v>1740.5</v>
      </c>
      <c r="M28" s="45">
        <v>1740.5</v>
      </c>
      <c r="N28" s="44">
        <f t="shared" si="3"/>
        <v>1740.5</v>
      </c>
      <c r="O28" s="46">
        <v>1823</v>
      </c>
      <c r="P28" s="45">
        <v>1823</v>
      </c>
      <c r="Q28" s="44">
        <f t="shared" si="4"/>
        <v>1823</v>
      </c>
      <c r="R28" s="52">
        <v>1506</v>
      </c>
      <c r="S28" s="51">
        <v>1.2251000000000001</v>
      </c>
      <c r="T28" s="51">
        <v>1.0986</v>
      </c>
      <c r="U28" s="50">
        <v>108.79</v>
      </c>
      <c r="V28" s="43">
        <v>1229.29</v>
      </c>
      <c r="W28" s="43">
        <v>1253.8699999999999</v>
      </c>
      <c r="X28" s="49">
        <f t="shared" si="5"/>
        <v>1370.8356089568542</v>
      </c>
      <c r="Y28" s="48">
        <v>1.2270000000000001</v>
      </c>
    </row>
    <row r="29" spans="2:25" x14ac:dyDescent="0.2">
      <c r="B29" s="47">
        <v>43920</v>
      </c>
      <c r="C29" s="46">
        <v>1495</v>
      </c>
      <c r="D29" s="45">
        <v>1495</v>
      </c>
      <c r="E29" s="44">
        <f t="shared" si="0"/>
        <v>1495</v>
      </c>
      <c r="F29" s="46">
        <v>1528</v>
      </c>
      <c r="G29" s="45">
        <v>1528</v>
      </c>
      <c r="H29" s="44">
        <f t="shared" si="1"/>
        <v>1528</v>
      </c>
      <c r="I29" s="46">
        <v>1652</v>
      </c>
      <c r="J29" s="45">
        <v>1652</v>
      </c>
      <c r="K29" s="44">
        <f t="shared" si="2"/>
        <v>1652</v>
      </c>
      <c r="L29" s="46">
        <v>1737</v>
      </c>
      <c r="M29" s="45">
        <v>1737</v>
      </c>
      <c r="N29" s="44">
        <f t="shared" si="3"/>
        <v>1737</v>
      </c>
      <c r="O29" s="46">
        <v>1819.5</v>
      </c>
      <c r="P29" s="45">
        <v>1819.5</v>
      </c>
      <c r="Q29" s="44">
        <f t="shared" si="4"/>
        <v>1819.5</v>
      </c>
      <c r="R29" s="52">
        <v>1495</v>
      </c>
      <c r="S29" s="51">
        <v>1.2427999999999999</v>
      </c>
      <c r="T29" s="51">
        <v>1.1061000000000001</v>
      </c>
      <c r="U29" s="50">
        <v>107.99</v>
      </c>
      <c r="V29" s="43">
        <v>1202.93</v>
      </c>
      <c r="W29" s="43">
        <v>1227.51</v>
      </c>
      <c r="X29" s="49">
        <f t="shared" si="5"/>
        <v>1351.5956965916282</v>
      </c>
      <c r="Y29" s="48">
        <v>1.2447999999999999</v>
      </c>
    </row>
    <row r="30" spans="2:25" x14ac:dyDescent="0.2">
      <c r="B30" s="47">
        <v>43921</v>
      </c>
      <c r="C30" s="46">
        <v>1489</v>
      </c>
      <c r="D30" s="45">
        <v>1489</v>
      </c>
      <c r="E30" s="44">
        <f t="shared" si="0"/>
        <v>1489</v>
      </c>
      <c r="F30" s="46">
        <v>1524</v>
      </c>
      <c r="G30" s="45">
        <v>1524</v>
      </c>
      <c r="H30" s="44">
        <f t="shared" si="1"/>
        <v>1524</v>
      </c>
      <c r="I30" s="46">
        <v>1650</v>
      </c>
      <c r="J30" s="45">
        <v>1650</v>
      </c>
      <c r="K30" s="44">
        <f t="shared" si="2"/>
        <v>1650</v>
      </c>
      <c r="L30" s="46">
        <v>1737</v>
      </c>
      <c r="M30" s="45">
        <v>1737</v>
      </c>
      <c r="N30" s="44">
        <f t="shared" si="3"/>
        <v>1737</v>
      </c>
      <c r="O30" s="46">
        <v>1819.5</v>
      </c>
      <c r="P30" s="45">
        <v>1819.5</v>
      </c>
      <c r="Q30" s="44">
        <f t="shared" si="4"/>
        <v>1819.5</v>
      </c>
      <c r="R30" s="52">
        <v>1489</v>
      </c>
      <c r="S30" s="51">
        <v>1.2351000000000001</v>
      </c>
      <c r="T30" s="51">
        <v>1.0952999999999999</v>
      </c>
      <c r="U30" s="50">
        <v>108.57</v>
      </c>
      <c r="V30" s="43">
        <v>1205.57</v>
      </c>
      <c r="W30" s="43">
        <v>1231.9100000000001</v>
      </c>
      <c r="X30" s="49">
        <f t="shared" si="5"/>
        <v>1359.4449009403818</v>
      </c>
      <c r="Y30" s="48">
        <v>1.2371000000000001</v>
      </c>
    </row>
    <row r="31" spans="2:25" s="10" customFormat="1" x14ac:dyDescent="0.2">
      <c r="B31" s="42" t="s">
        <v>11</v>
      </c>
      <c r="C31" s="41">
        <f>ROUND(AVERAGE(C9:C30),2)</f>
        <v>1610.7</v>
      </c>
      <c r="D31" s="40">
        <f>ROUND(AVERAGE(D9:D30),2)</f>
        <v>1611.14</v>
      </c>
      <c r="E31" s="39">
        <f>ROUND(AVERAGE(C31:D31),2)</f>
        <v>1610.92</v>
      </c>
      <c r="F31" s="41">
        <f>ROUND(AVERAGE(F9:F30),2)</f>
        <v>1633.57</v>
      </c>
      <c r="G31" s="40">
        <f>ROUND(AVERAGE(G9:G30),2)</f>
        <v>1634.36</v>
      </c>
      <c r="H31" s="39">
        <f>ROUND(AVERAGE(F31:G31),2)</f>
        <v>1633.97</v>
      </c>
      <c r="I31" s="41">
        <f>ROUND(AVERAGE(I9:I30),2)</f>
        <v>1747.5</v>
      </c>
      <c r="J31" s="40">
        <f>ROUND(AVERAGE(J9:J30),2)</f>
        <v>1750.91</v>
      </c>
      <c r="K31" s="39">
        <f>ROUND(AVERAGE(I31:J31),2)</f>
        <v>1749.21</v>
      </c>
      <c r="L31" s="41">
        <f>ROUND(AVERAGE(L9:L30),2)</f>
        <v>1827.14</v>
      </c>
      <c r="M31" s="40">
        <f>ROUND(AVERAGE(M9:M30),2)</f>
        <v>1830.55</v>
      </c>
      <c r="N31" s="39">
        <f>ROUND(AVERAGE(L31:M31),2)</f>
        <v>1828.85</v>
      </c>
      <c r="O31" s="41">
        <f>ROUND(AVERAGE(O9:O30),2)</f>
        <v>1909.18</v>
      </c>
      <c r="P31" s="40">
        <f>ROUND(AVERAGE(P9:P30),2)</f>
        <v>1912.59</v>
      </c>
      <c r="Q31" s="39">
        <f>ROUND(AVERAGE(O31:P31),2)</f>
        <v>1910.89</v>
      </c>
      <c r="R31" s="38">
        <f>ROUND(AVERAGE(R9:R30),2)</f>
        <v>1611.14</v>
      </c>
      <c r="S31" s="37">
        <f>ROUND(AVERAGE(S9:S30),4)</f>
        <v>1.2377</v>
      </c>
      <c r="T31" s="36">
        <f>ROUND(AVERAGE(T9:T30),4)</f>
        <v>1.1060000000000001</v>
      </c>
      <c r="U31" s="175">
        <f>ROUND(AVERAGE(U9:U30),2)</f>
        <v>107.51</v>
      </c>
      <c r="V31" s="35">
        <f>AVERAGE(V9:V30)</f>
        <v>1302.0009090909089</v>
      </c>
      <c r="W31" s="35">
        <f>AVERAGE(W9:W30)</f>
        <v>1319.0959090909089</v>
      </c>
      <c r="X31" s="35">
        <f>AVERAGE(X9:X30)</f>
        <v>1456.3772209401695</v>
      </c>
      <c r="Y31" s="34">
        <f>AVERAGE(Y9:Y30)</f>
        <v>1.2394318181818182</v>
      </c>
    </row>
    <row r="32" spans="2:25" s="5" customFormat="1" x14ac:dyDescent="0.2">
      <c r="B32" s="33" t="s">
        <v>12</v>
      </c>
      <c r="C32" s="32">
        <f t="shared" ref="C32:Y32" si="6">MAX(C9:C30)</f>
        <v>1722.5</v>
      </c>
      <c r="D32" s="31">
        <f t="shared" si="6"/>
        <v>1723.5</v>
      </c>
      <c r="E32" s="30">
        <f t="shared" si="6"/>
        <v>1723</v>
      </c>
      <c r="F32" s="32">
        <f t="shared" si="6"/>
        <v>1731</v>
      </c>
      <c r="G32" s="31">
        <f t="shared" si="6"/>
        <v>1732</v>
      </c>
      <c r="H32" s="30">
        <f t="shared" si="6"/>
        <v>1731.5</v>
      </c>
      <c r="I32" s="32">
        <f t="shared" si="6"/>
        <v>1848</v>
      </c>
      <c r="J32" s="31">
        <f t="shared" si="6"/>
        <v>1853</v>
      </c>
      <c r="K32" s="30">
        <f t="shared" si="6"/>
        <v>1850.5</v>
      </c>
      <c r="L32" s="32">
        <f t="shared" si="6"/>
        <v>1930</v>
      </c>
      <c r="M32" s="31">
        <f t="shared" si="6"/>
        <v>1935</v>
      </c>
      <c r="N32" s="30">
        <f t="shared" si="6"/>
        <v>1932.5</v>
      </c>
      <c r="O32" s="32">
        <f t="shared" si="6"/>
        <v>2013</v>
      </c>
      <c r="P32" s="31">
        <f t="shared" si="6"/>
        <v>2018</v>
      </c>
      <c r="Q32" s="30">
        <f t="shared" si="6"/>
        <v>2015.5</v>
      </c>
      <c r="R32" s="29">
        <f t="shared" si="6"/>
        <v>1723.5</v>
      </c>
      <c r="S32" s="28">
        <f t="shared" si="6"/>
        <v>1.3102</v>
      </c>
      <c r="T32" s="27">
        <f t="shared" si="6"/>
        <v>1.1435</v>
      </c>
      <c r="U32" s="26">
        <f t="shared" si="6"/>
        <v>111.35</v>
      </c>
      <c r="V32" s="25">
        <f t="shared" si="6"/>
        <v>1360</v>
      </c>
      <c r="W32" s="25">
        <f t="shared" si="6"/>
        <v>1382.37</v>
      </c>
      <c r="X32" s="25">
        <f t="shared" si="6"/>
        <v>1550.8863493206156</v>
      </c>
      <c r="Y32" s="24">
        <f t="shared" si="6"/>
        <v>1.3102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1489</v>
      </c>
      <c r="D33" s="21">
        <f t="shared" si="7"/>
        <v>1489</v>
      </c>
      <c r="E33" s="20">
        <f t="shared" si="7"/>
        <v>1489</v>
      </c>
      <c r="F33" s="22">
        <f t="shared" si="7"/>
        <v>1524</v>
      </c>
      <c r="G33" s="21">
        <f t="shared" si="7"/>
        <v>1524</v>
      </c>
      <c r="H33" s="20">
        <f t="shared" si="7"/>
        <v>1524</v>
      </c>
      <c r="I33" s="22">
        <f t="shared" si="7"/>
        <v>1650</v>
      </c>
      <c r="J33" s="21">
        <f t="shared" si="7"/>
        <v>1650</v>
      </c>
      <c r="K33" s="20">
        <f t="shared" si="7"/>
        <v>1650</v>
      </c>
      <c r="L33" s="22">
        <f t="shared" si="7"/>
        <v>1737</v>
      </c>
      <c r="M33" s="21">
        <f t="shared" si="7"/>
        <v>1737</v>
      </c>
      <c r="N33" s="20">
        <f t="shared" si="7"/>
        <v>1737</v>
      </c>
      <c r="O33" s="22">
        <f t="shared" si="7"/>
        <v>1819.5</v>
      </c>
      <c r="P33" s="21">
        <f t="shared" si="7"/>
        <v>1819.5</v>
      </c>
      <c r="Q33" s="20">
        <f t="shared" si="7"/>
        <v>1819.5</v>
      </c>
      <c r="R33" s="19">
        <f t="shared" si="7"/>
        <v>1489</v>
      </c>
      <c r="S33" s="18">
        <f t="shared" si="7"/>
        <v>1.1625000000000001</v>
      </c>
      <c r="T33" s="17">
        <f t="shared" si="7"/>
        <v>1.0709</v>
      </c>
      <c r="U33" s="16">
        <f t="shared" si="7"/>
        <v>102.3</v>
      </c>
      <c r="V33" s="15">
        <f t="shared" si="7"/>
        <v>1202.93</v>
      </c>
      <c r="W33" s="15">
        <f t="shared" si="7"/>
        <v>1227.51</v>
      </c>
      <c r="X33" s="15">
        <f t="shared" si="7"/>
        <v>1351.5956965916282</v>
      </c>
      <c r="Y33" s="14">
        <f t="shared" si="7"/>
        <v>1.1625000000000001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43892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43892</v>
      </c>
      <c r="C9" s="46">
        <v>2008.5</v>
      </c>
      <c r="D9" s="45">
        <v>2009</v>
      </c>
      <c r="E9" s="44">
        <f t="shared" ref="E9:E30" si="0">AVERAGE(C9:D9)</f>
        <v>2008.75</v>
      </c>
      <c r="F9" s="46">
        <v>2021</v>
      </c>
      <c r="G9" s="45">
        <v>2023</v>
      </c>
      <c r="H9" s="44">
        <f t="shared" ref="H9:H30" si="1">AVERAGE(F9:G9)</f>
        <v>2022</v>
      </c>
      <c r="I9" s="46">
        <v>2075</v>
      </c>
      <c r="J9" s="45">
        <v>2080</v>
      </c>
      <c r="K9" s="44">
        <f t="shared" ref="K9:K30" si="2">AVERAGE(I9:J9)</f>
        <v>2077.5</v>
      </c>
      <c r="L9" s="46">
        <v>2110</v>
      </c>
      <c r="M9" s="45">
        <v>2115</v>
      </c>
      <c r="N9" s="44">
        <f t="shared" ref="N9:N30" si="3">AVERAGE(L9:M9)</f>
        <v>2112.5</v>
      </c>
      <c r="O9" s="46">
        <v>2118</v>
      </c>
      <c r="P9" s="45">
        <v>2123</v>
      </c>
      <c r="Q9" s="44">
        <f t="shared" ref="Q9:Q30" si="4">AVERAGE(O9:P9)</f>
        <v>2120.5</v>
      </c>
      <c r="R9" s="52">
        <v>2009</v>
      </c>
      <c r="S9" s="51">
        <v>1.2753000000000001</v>
      </c>
      <c r="T9" s="53">
        <v>1.1113</v>
      </c>
      <c r="U9" s="50">
        <v>107.8</v>
      </c>
      <c r="V9" s="43">
        <v>1575.32</v>
      </c>
      <c r="W9" s="43">
        <v>1582.94</v>
      </c>
      <c r="X9" s="49">
        <f t="shared" ref="X9:X30" si="5">R9/T9</f>
        <v>1807.7926752452083</v>
      </c>
      <c r="Y9" s="48">
        <v>1.278</v>
      </c>
    </row>
    <row r="10" spans="1:25" x14ac:dyDescent="0.2">
      <c r="B10" s="47">
        <v>43893</v>
      </c>
      <c r="C10" s="46">
        <v>1985.5</v>
      </c>
      <c r="D10" s="45">
        <v>1986</v>
      </c>
      <c r="E10" s="44">
        <f t="shared" si="0"/>
        <v>1985.75</v>
      </c>
      <c r="F10" s="46">
        <v>2001</v>
      </c>
      <c r="G10" s="45">
        <v>2002</v>
      </c>
      <c r="H10" s="44">
        <f t="shared" si="1"/>
        <v>2001.5</v>
      </c>
      <c r="I10" s="46">
        <v>2057</v>
      </c>
      <c r="J10" s="45">
        <v>2062</v>
      </c>
      <c r="K10" s="44">
        <f t="shared" si="2"/>
        <v>2059.5</v>
      </c>
      <c r="L10" s="46">
        <v>2092</v>
      </c>
      <c r="M10" s="45">
        <v>2097</v>
      </c>
      <c r="N10" s="44">
        <f t="shared" si="3"/>
        <v>2094.5</v>
      </c>
      <c r="O10" s="46">
        <v>2100</v>
      </c>
      <c r="P10" s="45">
        <v>2105</v>
      </c>
      <c r="Q10" s="44">
        <f t="shared" si="4"/>
        <v>2102.5</v>
      </c>
      <c r="R10" s="52">
        <v>1986</v>
      </c>
      <c r="S10" s="51">
        <v>1.2778</v>
      </c>
      <c r="T10" s="51">
        <v>1.1117999999999999</v>
      </c>
      <c r="U10" s="50">
        <v>107.73</v>
      </c>
      <c r="V10" s="43">
        <v>1554.23</v>
      </c>
      <c r="W10" s="43">
        <v>1563.7</v>
      </c>
      <c r="X10" s="49">
        <f t="shared" si="5"/>
        <v>1786.2924986508367</v>
      </c>
      <c r="Y10" s="48">
        <v>1.2803</v>
      </c>
    </row>
    <row r="11" spans="1:25" x14ac:dyDescent="0.2">
      <c r="B11" s="47">
        <v>43894</v>
      </c>
      <c r="C11" s="46">
        <v>1963.5</v>
      </c>
      <c r="D11" s="45">
        <v>1964</v>
      </c>
      <c r="E11" s="44">
        <f t="shared" si="0"/>
        <v>1963.75</v>
      </c>
      <c r="F11" s="46">
        <v>1983</v>
      </c>
      <c r="G11" s="45">
        <v>1984</v>
      </c>
      <c r="H11" s="44">
        <f t="shared" si="1"/>
        <v>1983.5</v>
      </c>
      <c r="I11" s="46">
        <v>2040</v>
      </c>
      <c r="J11" s="45">
        <v>2045</v>
      </c>
      <c r="K11" s="44">
        <f t="shared" si="2"/>
        <v>2042.5</v>
      </c>
      <c r="L11" s="46">
        <v>2075</v>
      </c>
      <c r="M11" s="45">
        <v>2080</v>
      </c>
      <c r="N11" s="44">
        <f t="shared" si="3"/>
        <v>2077.5</v>
      </c>
      <c r="O11" s="46">
        <v>2083</v>
      </c>
      <c r="P11" s="45">
        <v>2088</v>
      </c>
      <c r="Q11" s="44">
        <f t="shared" si="4"/>
        <v>2085.5</v>
      </c>
      <c r="R11" s="52">
        <v>1964</v>
      </c>
      <c r="S11" s="51">
        <v>1.28</v>
      </c>
      <c r="T11" s="51">
        <v>1.1113</v>
      </c>
      <c r="U11" s="50">
        <v>107.55</v>
      </c>
      <c r="V11" s="43">
        <v>1534.38</v>
      </c>
      <c r="W11" s="43">
        <v>1547.58</v>
      </c>
      <c r="X11" s="49">
        <f t="shared" si="5"/>
        <v>1767.2995590749574</v>
      </c>
      <c r="Y11" s="48">
        <v>1.282</v>
      </c>
    </row>
    <row r="12" spans="1:25" x14ac:dyDescent="0.2">
      <c r="B12" s="47">
        <v>43895</v>
      </c>
      <c r="C12" s="46">
        <v>2001</v>
      </c>
      <c r="D12" s="45">
        <v>2002</v>
      </c>
      <c r="E12" s="44">
        <f t="shared" si="0"/>
        <v>2001.5</v>
      </c>
      <c r="F12" s="46">
        <v>2018</v>
      </c>
      <c r="G12" s="45">
        <v>2018.5</v>
      </c>
      <c r="H12" s="44">
        <f t="shared" si="1"/>
        <v>2018.25</v>
      </c>
      <c r="I12" s="46">
        <v>2080</v>
      </c>
      <c r="J12" s="45">
        <v>2085</v>
      </c>
      <c r="K12" s="44">
        <f t="shared" si="2"/>
        <v>2082.5</v>
      </c>
      <c r="L12" s="46">
        <v>2115</v>
      </c>
      <c r="M12" s="45">
        <v>2120</v>
      </c>
      <c r="N12" s="44">
        <f t="shared" si="3"/>
        <v>2117.5</v>
      </c>
      <c r="O12" s="46">
        <v>2123</v>
      </c>
      <c r="P12" s="45">
        <v>2128</v>
      </c>
      <c r="Q12" s="44">
        <f t="shared" si="4"/>
        <v>2125.5</v>
      </c>
      <c r="R12" s="52">
        <v>2002</v>
      </c>
      <c r="S12" s="51">
        <v>1.2914000000000001</v>
      </c>
      <c r="T12" s="51">
        <v>1.1189</v>
      </c>
      <c r="U12" s="50">
        <v>106.92</v>
      </c>
      <c r="V12" s="43">
        <v>1550.26</v>
      </c>
      <c r="W12" s="43">
        <v>1560.86</v>
      </c>
      <c r="X12" s="49">
        <f t="shared" si="5"/>
        <v>1789.2573062829565</v>
      </c>
      <c r="Y12" s="48">
        <v>1.2931999999999999</v>
      </c>
    </row>
    <row r="13" spans="1:25" x14ac:dyDescent="0.2">
      <c r="B13" s="47">
        <v>43896</v>
      </c>
      <c r="C13" s="46">
        <v>1977.5</v>
      </c>
      <c r="D13" s="45">
        <v>1978</v>
      </c>
      <c r="E13" s="44">
        <f t="shared" si="0"/>
        <v>1977.75</v>
      </c>
      <c r="F13" s="46">
        <v>1996.5</v>
      </c>
      <c r="G13" s="45">
        <v>1997.5</v>
      </c>
      <c r="H13" s="44">
        <f t="shared" si="1"/>
        <v>1997</v>
      </c>
      <c r="I13" s="46">
        <v>2055</v>
      </c>
      <c r="J13" s="45">
        <v>2060</v>
      </c>
      <c r="K13" s="44">
        <f t="shared" si="2"/>
        <v>2057.5</v>
      </c>
      <c r="L13" s="46">
        <v>2090</v>
      </c>
      <c r="M13" s="45">
        <v>2095</v>
      </c>
      <c r="N13" s="44">
        <f t="shared" si="3"/>
        <v>2092.5</v>
      </c>
      <c r="O13" s="46">
        <v>2098</v>
      </c>
      <c r="P13" s="45">
        <v>2103</v>
      </c>
      <c r="Q13" s="44">
        <f t="shared" si="4"/>
        <v>2100.5</v>
      </c>
      <c r="R13" s="52">
        <v>1978</v>
      </c>
      <c r="S13" s="51">
        <v>1.2994000000000001</v>
      </c>
      <c r="T13" s="51">
        <v>1.1315999999999999</v>
      </c>
      <c r="U13" s="50">
        <v>105.19</v>
      </c>
      <c r="V13" s="43">
        <v>1522.24</v>
      </c>
      <c r="W13" s="43">
        <v>1535.36</v>
      </c>
      <c r="X13" s="49">
        <f t="shared" si="5"/>
        <v>1747.9674796747968</v>
      </c>
      <c r="Y13" s="48">
        <v>1.3009999999999999</v>
      </c>
    </row>
    <row r="14" spans="1:25" x14ac:dyDescent="0.2">
      <c r="B14" s="47">
        <v>43899</v>
      </c>
      <c r="C14" s="46">
        <v>1925</v>
      </c>
      <c r="D14" s="45">
        <v>1925.5</v>
      </c>
      <c r="E14" s="44">
        <f t="shared" si="0"/>
        <v>1925.25</v>
      </c>
      <c r="F14" s="46">
        <v>1950</v>
      </c>
      <c r="G14" s="45">
        <v>1950.5</v>
      </c>
      <c r="H14" s="44">
        <f t="shared" si="1"/>
        <v>1950.25</v>
      </c>
      <c r="I14" s="46">
        <v>2005</v>
      </c>
      <c r="J14" s="45">
        <v>2010</v>
      </c>
      <c r="K14" s="44">
        <f t="shared" si="2"/>
        <v>2007.5</v>
      </c>
      <c r="L14" s="46">
        <v>2040</v>
      </c>
      <c r="M14" s="45">
        <v>2045</v>
      </c>
      <c r="N14" s="44">
        <f t="shared" si="3"/>
        <v>2042.5</v>
      </c>
      <c r="O14" s="46">
        <v>2048</v>
      </c>
      <c r="P14" s="45">
        <v>2053</v>
      </c>
      <c r="Q14" s="44">
        <f t="shared" si="4"/>
        <v>2050.5</v>
      </c>
      <c r="R14" s="52">
        <v>1925.5</v>
      </c>
      <c r="S14" s="51">
        <v>1.3102</v>
      </c>
      <c r="T14" s="51">
        <v>1.1435</v>
      </c>
      <c r="U14" s="50">
        <v>102.3</v>
      </c>
      <c r="V14" s="43">
        <v>1469.62</v>
      </c>
      <c r="W14" s="43">
        <v>1488.7</v>
      </c>
      <c r="X14" s="49">
        <f t="shared" si="5"/>
        <v>1683.8653257542633</v>
      </c>
      <c r="Y14" s="48">
        <v>1.3102</v>
      </c>
    </row>
    <row r="15" spans="1:25" x14ac:dyDescent="0.2">
      <c r="B15" s="47">
        <v>43900</v>
      </c>
      <c r="C15" s="46">
        <v>1999</v>
      </c>
      <c r="D15" s="45">
        <v>2000</v>
      </c>
      <c r="E15" s="44">
        <f t="shared" si="0"/>
        <v>1999.5</v>
      </c>
      <c r="F15" s="46">
        <v>2018</v>
      </c>
      <c r="G15" s="45">
        <v>2020</v>
      </c>
      <c r="H15" s="44">
        <f t="shared" si="1"/>
        <v>2019</v>
      </c>
      <c r="I15" s="46">
        <v>2077</v>
      </c>
      <c r="J15" s="45">
        <v>2082</v>
      </c>
      <c r="K15" s="44">
        <f t="shared" si="2"/>
        <v>2079.5</v>
      </c>
      <c r="L15" s="46">
        <v>2112</v>
      </c>
      <c r="M15" s="45">
        <v>2117</v>
      </c>
      <c r="N15" s="44">
        <f t="shared" si="3"/>
        <v>2114.5</v>
      </c>
      <c r="O15" s="46">
        <v>2120</v>
      </c>
      <c r="P15" s="45">
        <v>2125</v>
      </c>
      <c r="Q15" s="44">
        <f t="shared" si="4"/>
        <v>2122.5</v>
      </c>
      <c r="R15" s="52">
        <v>2000</v>
      </c>
      <c r="S15" s="51">
        <v>1.3024</v>
      </c>
      <c r="T15" s="51">
        <v>1.1379999999999999</v>
      </c>
      <c r="U15" s="50">
        <v>104.24</v>
      </c>
      <c r="V15" s="43">
        <v>1535.63</v>
      </c>
      <c r="W15" s="43">
        <v>1550.98</v>
      </c>
      <c r="X15" s="49">
        <f t="shared" si="5"/>
        <v>1757.4692442882251</v>
      </c>
      <c r="Y15" s="48">
        <v>1.3024</v>
      </c>
    </row>
    <row r="16" spans="1:25" x14ac:dyDescent="0.2">
      <c r="B16" s="47">
        <v>43901</v>
      </c>
      <c r="C16" s="46">
        <v>1978</v>
      </c>
      <c r="D16" s="45">
        <v>1978.5</v>
      </c>
      <c r="E16" s="44">
        <f t="shared" si="0"/>
        <v>1978.25</v>
      </c>
      <c r="F16" s="46">
        <v>1993</v>
      </c>
      <c r="G16" s="45">
        <v>1994</v>
      </c>
      <c r="H16" s="44">
        <f t="shared" si="1"/>
        <v>1993.5</v>
      </c>
      <c r="I16" s="46">
        <v>2048</v>
      </c>
      <c r="J16" s="45">
        <v>2053</v>
      </c>
      <c r="K16" s="44">
        <f t="shared" si="2"/>
        <v>2050.5</v>
      </c>
      <c r="L16" s="46">
        <v>2083</v>
      </c>
      <c r="M16" s="45">
        <v>2088</v>
      </c>
      <c r="N16" s="44">
        <f t="shared" si="3"/>
        <v>2085.5</v>
      </c>
      <c r="O16" s="46">
        <v>2092</v>
      </c>
      <c r="P16" s="45">
        <v>2097</v>
      </c>
      <c r="Q16" s="44">
        <f t="shared" si="4"/>
        <v>2094.5</v>
      </c>
      <c r="R16" s="52">
        <v>1978.5</v>
      </c>
      <c r="S16" s="51">
        <v>1.2941</v>
      </c>
      <c r="T16" s="51">
        <v>1.1339999999999999</v>
      </c>
      <c r="U16" s="50">
        <v>104.45</v>
      </c>
      <c r="V16" s="43">
        <v>1528.86</v>
      </c>
      <c r="W16" s="43">
        <v>1539.41</v>
      </c>
      <c r="X16" s="49">
        <f t="shared" si="5"/>
        <v>1744.7089947089949</v>
      </c>
      <c r="Y16" s="48">
        <v>1.2952999999999999</v>
      </c>
    </row>
    <row r="17" spans="2:25" x14ac:dyDescent="0.2">
      <c r="B17" s="47">
        <v>43902</v>
      </c>
      <c r="C17" s="46">
        <v>1926</v>
      </c>
      <c r="D17" s="45">
        <v>1927</v>
      </c>
      <c r="E17" s="44">
        <f t="shared" si="0"/>
        <v>1926.5</v>
      </c>
      <c r="F17" s="46">
        <v>1940</v>
      </c>
      <c r="G17" s="45">
        <v>1942</v>
      </c>
      <c r="H17" s="44">
        <f t="shared" si="1"/>
        <v>1941</v>
      </c>
      <c r="I17" s="46">
        <v>1993</v>
      </c>
      <c r="J17" s="45">
        <v>1998</v>
      </c>
      <c r="K17" s="44">
        <f t="shared" si="2"/>
        <v>1995.5</v>
      </c>
      <c r="L17" s="46">
        <v>2028</v>
      </c>
      <c r="M17" s="45">
        <v>2033</v>
      </c>
      <c r="N17" s="44">
        <f t="shared" si="3"/>
        <v>2030.5</v>
      </c>
      <c r="O17" s="46">
        <v>2037</v>
      </c>
      <c r="P17" s="45">
        <v>2042</v>
      </c>
      <c r="Q17" s="44">
        <f t="shared" si="4"/>
        <v>2039.5</v>
      </c>
      <c r="R17" s="52">
        <v>1927</v>
      </c>
      <c r="S17" s="51">
        <v>1.2662</v>
      </c>
      <c r="T17" s="51">
        <v>1.1214999999999999</v>
      </c>
      <c r="U17" s="50">
        <v>104.13</v>
      </c>
      <c r="V17" s="43">
        <v>1521.88</v>
      </c>
      <c r="W17" s="43">
        <v>1533.72</v>
      </c>
      <c r="X17" s="49">
        <f t="shared" si="5"/>
        <v>1718.2345073562194</v>
      </c>
      <c r="Y17" s="48">
        <v>1.2662</v>
      </c>
    </row>
    <row r="18" spans="2:25" x14ac:dyDescent="0.2">
      <c r="B18" s="47">
        <v>43903</v>
      </c>
      <c r="C18" s="46">
        <v>1986</v>
      </c>
      <c r="D18" s="45">
        <v>1986.5</v>
      </c>
      <c r="E18" s="44">
        <f t="shared" si="0"/>
        <v>1986.25</v>
      </c>
      <c r="F18" s="46">
        <v>2001</v>
      </c>
      <c r="G18" s="45">
        <v>2003</v>
      </c>
      <c r="H18" s="44">
        <f t="shared" si="1"/>
        <v>2002</v>
      </c>
      <c r="I18" s="46">
        <v>2055</v>
      </c>
      <c r="J18" s="45">
        <v>2060</v>
      </c>
      <c r="K18" s="44">
        <f t="shared" si="2"/>
        <v>2057.5</v>
      </c>
      <c r="L18" s="46">
        <v>2090</v>
      </c>
      <c r="M18" s="45">
        <v>2095</v>
      </c>
      <c r="N18" s="44">
        <f t="shared" si="3"/>
        <v>2092.5</v>
      </c>
      <c r="O18" s="46">
        <v>2098</v>
      </c>
      <c r="P18" s="45">
        <v>2103</v>
      </c>
      <c r="Q18" s="44">
        <f t="shared" si="4"/>
        <v>2100.5</v>
      </c>
      <c r="R18" s="52">
        <v>1986.5</v>
      </c>
      <c r="S18" s="51">
        <v>1.2468999999999999</v>
      </c>
      <c r="T18" s="51">
        <v>1.111</v>
      </c>
      <c r="U18" s="50">
        <v>107.31</v>
      </c>
      <c r="V18" s="43">
        <v>1593.15</v>
      </c>
      <c r="W18" s="43">
        <v>1603.68</v>
      </c>
      <c r="X18" s="49">
        <f t="shared" si="5"/>
        <v>1788.0288028802881</v>
      </c>
      <c r="Y18" s="48">
        <v>1.2490000000000001</v>
      </c>
    </row>
    <row r="19" spans="2:25" x14ac:dyDescent="0.2">
      <c r="B19" s="47">
        <v>43906</v>
      </c>
      <c r="C19" s="46">
        <v>1931</v>
      </c>
      <c r="D19" s="45">
        <v>1932</v>
      </c>
      <c r="E19" s="44">
        <f t="shared" si="0"/>
        <v>1931.5</v>
      </c>
      <c r="F19" s="46">
        <v>1949</v>
      </c>
      <c r="G19" s="45">
        <v>1950</v>
      </c>
      <c r="H19" s="44">
        <f t="shared" si="1"/>
        <v>1949.5</v>
      </c>
      <c r="I19" s="46">
        <v>2000</v>
      </c>
      <c r="J19" s="45">
        <v>2005</v>
      </c>
      <c r="K19" s="44">
        <f t="shared" si="2"/>
        <v>2002.5</v>
      </c>
      <c r="L19" s="46">
        <v>2035</v>
      </c>
      <c r="M19" s="45">
        <v>2040</v>
      </c>
      <c r="N19" s="44">
        <f t="shared" si="3"/>
        <v>2037.5</v>
      </c>
      <c r="O19" s="46">
        <v>2043</v>
      </c>
      <c r="P19" s="45">
        <v>2048</v>
      </c>
      <c r="Q19" s="44">
        <f t="shared" si="4"/>
        <v>2045.5</v>
      </c>
      <c r="R19" s="52">
        <v>1932</v>
      </c>
      <c r="S19" s="51">
        <v>1.2274</v>
      </c>
      <c r="T19" s="51">
        <v>1.1166</v>
      </c>
      <c r="U19" s="50">
        <v>105.29</v>
      </c>
      <c r="V19" s="43">
        <v>1574.06</v>
      </c>
      <c r="W19" s="43">
        <v>1585.62</v>
      </c>
      <c r="X19" s="49">
        <f t="shared" si="5"/>
        <v>1730.2525523911875</v>
      </c>
      <c r="Y19" s="48">
        <v>1.2298</v>
      </c>
    </row>
    <row r="20" spans="2:25" x14ac:dyDescent="0.2">
      <c r="B20" s="47">
        <v>43907</v>
      </c>
      <c r="C20" s="46">
        <v>1898</v>
      </c>
      <c r="D20" s="45">
        <v>1900</v>
      </c>
      <c r="E20" s="44">
        <f t="shared" si="0"/>
        <v>1899</v>
      </c>
      <c r="F20" s="46">
        <v>1912</v>
      </c>
      <c r="G20" s="45">
        <v>1913</v>
      </c>
      <c r="H20" s="44">
        <f t="shared" si="1"/>
        <v>1912.5</v>
      </c>
      <c r="I20" s="46">
        <v>1958</v>
      </c>
      <c r="J20" s="45">
        <v>1963</v>
      </c>
      <c r="K20" s="44">
        <f t="shared" si="2"/>
        <v>1960.5</v>
      </c>
      <c r="L20" s="46">
        <v>1993</v>
      </c>
      <c r="M20" s="45">
        <v>1998</v>
      </c>
      <c r="N20" s="44">
        <f t="shared" si="3"/>
        <v>1995.5</v>
      </c>
      <c r="O20" s="46">
        <v>2002</v>
      </c>
      <c r="P20" s="45">
        <v>2007</v>
      </c>
      <c r="Q20" s="44">
        <f t="shared" si="4"/>
        <v>2004.5</v>
      </c>
      <c r="R20" s="52">
        <v>1900</v>
      </c>
      <c r="S20" s="51">
        <v>1.2092000000000001</v>
      </c>
      <c r="T20" s="51">
        <v>1.0989</v>
      </c>
      <c r="U20" s="50">
        <v>107.06</v>
      </c>
      <c r="V20" s="43">
        <v>1571.29</v>
      </c>
      <c r="W20" s="43">
        <v>1577.47</v>
      </c>
      <c r="X20" s="49">
        <f t="shared" si="5"/>
        <v>1729.001729001729</v>
      </c>
      <c r="Y20" s="48">
        <v>1.2126999999999999</v>
      </c>
    </row>
    <row r="21" spans="2:25" x14ac:dyDescent="0.2">
      <c r="B21" s="47">
        <v>43908</v>
      </c>
      <c r="C21" s="46">
        <v>1819</v>
      </c>
      <c r="D21" s="45">
        <v>1820</v>
      </c>
      <c r="E21" s="44">
        <f t="shared" si="0"/>
        <v>1819.5</v>
      </c>
      <c r="F21" s="46">
        <v>1842</v>
      </c>
      <c r="G21" s="45">
        <v>1843</v>
      </c>
      <c r="H21" s="44">
        <f t="shared" si="1"/>
        <v>1842.5</v>
      </c>
      <c r="I21" s="46">
        <v>1895</v>
      </c>
      <c r="J21" s="45">
        <v>1900</v>
      </c>
      <c r="K21" s="44">
        <f t="shared" si="2"/>
        <v>1897.5</v>
      </c>
      <c r="L21" s="46">
        <v>1930</v>
      </c>
      <c r="M21" s="45">
        <v>1935</v>
      </c>
      <c r="N21" s="44">
        <f t="shared" si="3"/>
        <v>1932.5</v>
      </c>
      <c r="O21" s="46">
        <v>1938</v>
      </c>
      <c r="P21" s="45">
        <v>1943</v>
      </c>
      <c r="Q21" s="44">
        <f t="shared" si="4"/>
        <v>1940.5</v>
      </c>
      <c r="R21" s="52">
        <v>1820</v>
      </c>
      <c r="S21" s="51">
        <v>1.1843999999999999</v>
      </c>
      <c r="T21" s="51">
        <v>1.0931</v>
      </c>
      <c r="U21" s="50">
        <v>107.64</v>
      </c>
      <c r="V21" s="43">
        <v>1536.64</v>
      </c>
      <c r="W21" s="43">
        <v>1553.44</v>
      </c>
      <c r="X21" s="49">
        <f t="shared" si="5"/>
        <v>1664.9894794620805</v>
      </c>
      <c r="Y21" s="48">
        <v>1.1863999999999999</v>
      </c>
    </row>
    <row r="22" spans="2:25" x14ac:dyDescent="0.2">
      <c r="B22" s="47">
        <v>43909</v>
      </c>
      <c r="C22" s="46">
        <v>1840</v>
      </c>
      <c r="D22" s="45">
        <v>1841</v>
      </c>
      <c r="E22" s="44">
        <f t="shared" si="0"/>
        <v>1840.5</v>
      </c>
      <c r="F22" s="46">
        <v>1844</v>
      </c>
      <c r="G22" s="45">
        <v>1845</v>
      </c>
      <c r="H22" s="44">
        <f t="shared" si="1"/>
        <v>1844.5</v>
      </c>
      <c r="I22" s="46">
        <v>1902</v>
      </c>
      <c r="J22" s="45">
        <v>1907</v>
      </c>
      <c r="K22" s="44">
        <f t="shared" si="2"/>
        <v>1904.5</v>
      </c>
      <c r="L22" s="46">
        <v>1937</v>
      </c>
      <c r="M22" s="45">
        <v>1942</v>
      </c>
      <c r="N22" s="44">
        <f t="shared" si="3"/>
        <v>1939.5</v>
      </c>
      <c r="O22" s="46">
        <v>1945</v>
      </c>
      <c r="P22" s="45">
        <v>1950</v>
      </c>
      <c r="Q22" s="44">
        <f t="shared" si="4"/>
        <v>1947.5</v>
      </c>
      <c r="R22" s="52">
        <v>1841</v>
      </c>
      <c r="S22" s="51">
        <v>1.1625000000000001</v>
      </c>
      <c r="T22" s="51">
        <v>1.0799000000000001</v>
      </c>
      <c r="U22" s="50">
        <v>109.79</v>
      </c>
      <c r="V22" s="43">
        <v>1583.66</v>
      </c>
      <c r="W22" s="43">
        <v>1587.1</v>
      </c>
      <c r="X22" s="49">
        <f t="shared" si="5"/>
        <v>1704.7874803222519</v>
      </c>
      <c r="Y22" s="48">
        <v>1.1625000000000001</v>
      </c>
    </row>
    <row r="23" spans="2:25" x14ac:dyDescent="0.2">
      <c r="B23" s="47">
        <v>43910</v>
      </c>
      <c r="C23" s="46">
        <v>1879</v>
      </c>
      <c r="D23" s="45">
        <v>1880</v>
      </c>
      <c r="E23" s="44">
        <f t="shared" si="0"/>
        <v>1879.5</v>
      </c>
      <c r="F23" s="46">
        <v>1890</v>
      </c>
      <c r="G23" s="45">
        <v>1891</v>
      </c>
      <c r="H23" s="44">
        <f t="shared" si="1"/>
        <v>1890.5</v>
      </c>
      <c r="I23" s="46">
        <v>1948</v>
      </c>
      <c r="J23" s="45">
        <v>1953</v>
      </c>
      <c r="K23" s="44">
        <f t="shared" si="2"/>
        <v>1950.5</v>
      </c>
      <c r="L23" s="46">
        <v>1983</v>
      </c>
      <c r="M23" s="45">
        <v>1988</v>
      </c>
      <c r="N23" s="44">
        <f t="shared" si="3"/>
        <v>1985.5</v>
      </c>
      <c r="O23" s="46">
        <v>1992</v>
      </c>
      <c r="P23" s="45">
        <v>1997</v>
      </c>
      <c r="Q23" s="44">
        <f t="shared" si="4"/>
        <v>1994.5</v>
      </c>
      <c r="R23" s="52">
        <v>1880</v>
      </c>
      <c r="S23" s="51">
        <v>1.1779999999999999</v>
      </c>
      <c r="T23" s="51">
        <v>1.0709</v>
      </c>
      <c r="U23" s="50">
        <v>110.37</v>
      </c>
      <c r="V23" s="43">
        <v>1595.93</v>
      </c>
      <c r="W23" s="43">
        <v>1602</v>
      </c>
      <c r="X23" s="49">
        <f t="shared" si="5"/>
        <v>1755.5327294798767</v>
      </c>
      <c r="Y23" s="48">
        <v>1.1803999999999999</v>
      </c>
    </row>
    <row r="24" spans="2:25" x14ac:dyDescent="0.2">
      <c r="B24" s="47">
        <v>43913</v>
      </c>
      <c r="C24" s="46">
        <v>1814</v>
      </c>
      <c r="D24" s="45">
        <v>1814</v>
      </c>
      <c r="E24" s="44">
        <f t="shared" si="0"/>
        <v>1814</v>
      </c>
      <c r="F24" s="46">
        <v>1822.5</v>
      </c>
      <c r="G24" s="45">
        <v>1822.5</v>
      </c>
      <c r="H24" s="44">
        <f t="shared" si="1"/>
        <v>1822.5</v>
      </c>
      <c r="I24" s="46">
        <v>1880</v>
      </c>
      <c r="J24" s="45">
        <v>1880</v>
      </c>
      <c r="K24" s="44">
        <f t="shared" si="2"/>
        <v>1880</v>
      </c>
      <c r="L24" s="46">
        <v>1915</v>
      </c>
      <c r="M24" s="45">
        <v>1915</v>
      </c>
      <c r="N24" s="44">
        <f t="shared" si="3"/>
        <v>1915</v>
      </c>
      <c r="O24" s="46">
        <v>1923</v>
      </c>
      <c r="P24" s="45">
        <v>1923</v>
      </c>
      <c r="Q24" s="44">
        <f t="shared" si="4"/>
        <v>1923</v>
      </c>
      <c r="R24" s="52">
        <v>1814</v>
      </c>
      <c r="S24" s="51">
        <v>1.1633</v>
      </c>
      <c r="T24" s="51">
        <v>1.0780000000000001</v>
      </c>
      <c r="U24" s="50">
        <v>110.23</v>
      </c>
      <c r="V24" s="43">
        <v>1559.36</v>
      </c>
      <c r="W24" s="43">
        <v>1564.11</v>
      </c>
      <c r="X24" s="49">
        <f t="shared" si="5"/>
        <v>1682.7458256029684</v>
      </c>
      <c r="Y24" s="48">
        <v>1.1652</v>
      </c>
    </row>
    <row r="25" spans="2:25" x14ac:dyDescent="0.2">
      <c r="B25" s="47">
        <v>43914</v>
      </c>
      <c r="C25" s="46">
        <v>1822</v>
      </c>
      <c r="D25" s="45">
        <v>1822</v>
      </c>
      <c r="E25" s="44">
        <f t="shared" si="0"/>
        <v>1822</v>
      </c>
      <c r="F25" s="46">
        <v>1836</v>
      </c>
      <c r="G25" s="45">
        <v>1836</v>
      </c>
      <c r="H25" s="44">
        <f t="shared" si="1"/>
        <v>1836</v>
      </c>
      <c r="I25" s="46">
        <v>1892.5</v>
      </c>
      <c r="J25" s="45">
        <v>1892.5</v>
      </c>
      <c r="K25" s="44">
        <f t="shared" si="2"/>
        <v>1892.5</v>
      </c>
      <c r="L25" s="46">
        <v>1927.5</v>
      </c>
      <c r="M25" s="45">
        <v>1927.5</v>
      </c>
      <c r="N25" s="44">
        <f t="shared" si="3"/>
        <v>1927.5</v>
      </c>
      <c r="O25" s="46">
        <v>1935.5</v>
      </c>
      <c r="P25" s="45">
        <v>1935.5</v>
      </c>
      <c r="Q25" s="44">
        <f t="shared" si="4"/>
        <v>1935.5</v>
      </c>
      <c r="R25" s="52">
        <v>1822</v>
      </c>
      <c r="S25" s="51">
        <v>1.1753</v>
      </c>
      <c r="T25" s="51">
        <v>1.0822000000000001</v>
      </c>
      <c r="U25" s="50">
        <v>110.82</v>
      </c>
      <c r="V25" s="43">
        <v>1550.24</v>
      </c>
      <c r="W25" s="43">
        <v>1559.24</v>
      </c>
      <c r="X25" s="49">
        <f t="shared" si="5"/>
        <v>1683.6074662724079</v>
      </c>
      <c r="Y25" s="48">
        <v>1.1775</v>
      </c>
    </row>
    <row r="26" spans="2:25" x14ac:dyDescent="0.2">
      <c r="B26" s="47">
        <v>43915</v>
      </c>
      <c r="C26" s="46">
        <v>1773.5</v>
      </c>
      <c r="D26" s="45">
        <v>1773.5</v>
      </c>
      <c r="E26" s="44">
        <f t="shared" si="0"/>
        <v>1773.5</v>
      </c>
      <c r="F26" s="46">
        <v>1793</v>
      </c>
      <c r="G26" s="45">
        <v>1793</v>
      </c>
      <c r="H26" s="44">
        <f t="shared" si="1"/>
        <v>1793</v>
      </c>
      <c r="I26" s="46">
        <v>1849</v>
      </c>
      <c r="J26" s="45">
        <v>1849</v>
      </c>
      <c r="K26" s="44">
        <f t="shared" si="2"/>
        <v>1849</v>
      </c>
      <c r="L26" s="46">
        <v>1884</v>
      </c>
      <c r="M26" s="45">
        <v>1884</v>
      </c>
      <c r="N26" s="44">
        <f t="shared" si="3"/>
        <v>1884</v>
      </c>
      <c r="O26" s="46">
        <v>1892</v>
      </c>
      <c r="P26" s="45">
        <v>1892</v>
      </c>
      <c r="Q26" s="44">
        <f t="shared" si="4"/>
        <v>1892</v>
      </c>
      <c r="R26" s="52">
        <v>1773.5</v>
      </c>
      <c r="S26" s="51">
        <v>1.1838</v>
      </c>
      <c r="T26" s="51">
        <v>1.0820000000000001</v>
      </c>
      <c r="U26" s="50">
        <v>111.35</v>
      </c>
      <c r="V26" s="43">
        <v>1498.14</v>
      </c>
      <c r="W26" s="43">
        <v>1512.06</v>
      </c>
      <c r="X26" s="49">
        <f t="shared" si="5"/>
        <v>1639.0942698706099</v>
      </c>
      <c r="Y26" s="48">
        <v>1.1858</v>
      </c>
    </row>
    <row r="27" spans="2:25" x14ac:dyDescent="0.2">
      <c r="B27" s="47">
        <v>43916</v>
      </c>
      <c r="C27" s="46">
        <v>1831.5</v>
      </c>
      <c r="D27" s="45">
        <v>1831.5</v>
      </c>
      <c r="E27" s="44">
        <f t="shared" si="0"/>
        <v>1831.5</v>
      </c>
      <c r="F27" s="46">
        <v>1848</v>
      </c>
      <c r="G27" s="45">
        <v>1848</v>
      </c>
      <c r="H27" s="44">
        <f t="shared" si="1"/>
        <v>1848</v>
      </c>
      <c r="I27" s="46">
        <v>1902</v>
      </c>
      <c r="J27" s="45">
        <v>1902</v>
      </c>
      <c r="K27" s="44">
        <f t="shared" si="2"/>
        <v>1902</v>
      </c>
      <c r="L27" s="46">
        <v>1937</v>
      </c>
      <c r="M27" s="45">
        <v>1937</v>
      </c>
      <c r="N27" s="44">
        <f t="shared" si="3"/>
        <v>1937</v>
      </c>
      <c r="O27" s="46">
        <v>1945</v>
      </c>
      <c r="P27" s="45">
        <v>1945</v>
      </c>
      <c r="Q27" s="44">
        <f t="shared" si="4"/>
        <v>1945</v>
      </c>
      <c r="R27" s="52">
        <v>1831.5</v>
      </c>
      <c r="S27" s="51">
        <v>1.1988000000000001</v>
      </c>
      <c r="T27" s="51">
        <v>1.0972</v>
      </c>
      <c r="U27" s="50">
        <v>109.67</v>
      </c>
      <c r="V27" s="43">
        <v>1527.78</v>
      </c>
      <c r="W27" s="43">
        <v>1539.1</v>
      </c>
      <c r="X27" s="49">
        <f t="shared" si="5"/>
        <v>1669.2489974480497</v>
      </c>
      <c r="Y27" s="48">
        <v>1.2007000000000001</v>
      </c>
    </row>
    <row r="28" spans="2:25" x14ac:dyDescent="0.2">
      <c r="B28" s="47">
        <v>43917</v>
      </c>
      <c r="C28" s="46">
        <v>1848.5</v>
      </c>
      <c r="D28" s="45">
        <v>1848.5</v>
      </c>
      <c r="E28" s="44">
        <f t="shared" si="0"/>
        <v>1848.5</v>
      </c>
      <c r="F28" s="46">
        <v>1862</v>
      </c>
      <c r="G28" s="45">
        <v>1862</v>
      </c>
      <c r="H28" s="44">
        <f t="shared" si="1"/>
        <v>1862</v>
      </c>
      <c r="I28" s="46">
        <v>1912.5</v>
      </c>
      <c r="J28" s="45">
        <v>1912.5</v>
      </c>
      <c r="K28" s="44">
        <f t="shared" si="2"/>
        <v>1912.5</v>
      </c>
      <c r="L28" s="46">
        <v>1947.5</v>
      </c>
      <c r="M28" s="45">
        <v>1947.5</v>
      </c>
      <c r="N28" s="44">
        <f t="shared" si="3"/>
        <v>1947.5</v>
      </c>
      <c r="O28" s="46">
        <v>1955.5</v>
      </c>
      <c r="P28" s="45">
        <v>1955.5</v>
      </c>
      <c r="Q28" s="44">
        <f t="shared" si="4"/>
        <v>1955.5</v>
      </c>
      <c r="R28" s="52">
        <v>1848.5</v>
      </c>
      <c r="S28" s="51">
        <v>1.2251000000000001</v>
      </c>
      <c r="T28" s="51">
        <v>1.0986</v>
      </c>
      <c r="U28" s="50">
        <v>108.79</v>
      </c>
      <c r="V28" s="43">
        <v>1508.86</v>
      </c>
      <c r="W28" s="43">
        <v>1517.52</v>
      </c>
      <c r="X28" s="49">
        <f t="shared" si="5"/>
        <v>1682.5960313125797</v>
      </c>
      <c r="Y28" s="48">
        <v>1.2270000000000001</v>
      </c>
    </row>
    <row r="29" spans="2:25" x14ac:dyDescent="0.2">
      <c r="B29" s="47">
        <v>43920</v>
      </c>
      <c r="C29" s="46">
        <v>1837</v>
      </c>
      <c r="D29" s="45">
        <v>1837</v>
      </c>
      <c r="E29" s="44">
        <f t="shared" si="0"/>
        <v>1837</v>
      </c>
      <c r="F29" s="46">
        <v>1847.5</v>
      </c>
      <c r="G29" s="45">
        <v>1847.5</v>
      </c>
      <c r="H29" s="44">
        <f t="shared" si="1"/>
        <v>1847.5</v>
      </c>
      <c r="I29" s="46">
        <v>1897.5</v>
      </c>
      <c r="J29" s="45">
        <v>1897.5</v>
      </c>
      <c r="K29" s="44">
        <f t="shared" si="2"/>
        <v>1897.5</v>
      </c>
      <c r="L29" s="46">
        <v>1932.5</v>
      </c>
      <c r="M29" s="45">
        <v>1932.5</v>
      </c>
      <c r="N29" s="44">
        <f t="shared" si="3"/>
        <v>1932.5</v>
      </c>
      <c r="O29" s="46">
        <v>1940.5</v>
      </c>
      <c r="P29" s="45">
        <v>1940.5</v>
      </c>
      <c r="Q29" s="44">
        <f t="shared" si="4"/>
        <v>1940.5</v>
      </c>
      <c r="R29" s="52">
        <v>1837</v>
      </c>
      <c r="S29" s="51">
        <v>1.2427999999999999</v>
      </c>
      <c r="T29" s="51">
        <v>1.1061000000000001</v>
      </c>
      <c r="U29" s="50">
        <v>107.99</v>
      </c>
      <c r="V29" s="43">
        <v>1478.11</v>
      </c>
      <c r="W29" s="43">
        <v>1484.17</v>
      </c>
      <c r="X29" s="49">
        <f t="shared" si="5"/>
        <v>1660.7901636380072</v>
      </c>
      <c r="Y29" s="48">
        <v>1.2447999999999999</v>
      </c>
    </row>
    <row r="30" spans="2:25" x14ac:dyDescent="0.2">
      <c r="B30" s="47">
        <v>43921</v>
      </c>
      <c r="C30" s="46">
        <v>1867.5</v>
      </c>
      <c r="D30" s="45">
        <v>1867.5</v>
      </c>
      <c r="E30" s="44">
        <f t="shared" si="0"/>
        <v>1867.5</v>
      </c>
      <c r="F30" s="46">
        <v>1879.5</v>
      </c>
      <c r="G30" s="45">
        <v>1879.5</v>
      </c>
      <c r="H30" s="44">
        <f t="shared" si="1"/>
        <v>1879.5</v>
      </c>
      <c r="I30" s="46">
        <v>1930.5</v>
      </c>
      <c r="J30" s="45">
        <v>1930.5</v>
      </c>
      <c r="K30" s="44">
        <f t="shared" si="2"/>
        <v>1930.5</v>
      </c>
      <c r="L30" s="46">
        <v>1965.5</v>
      </c>
      <c r="M30" s="45">
        <v>1965.5</v>
      </c>
      <c r="N30" s="44">
        <f t="shared" si="3"/>
        <v>1965.5</v>
      </c>
      <c r="O30" s="46">
        <v>1973.5</v>
      </c>
      <c r="P30" s="45">
        <v>1973.5</v>
      </c>
      <c r="Q30" s="44">
        <f t="shared" si="4"/>
        <v>1973.5</v>
      </c>
      <c r="R30" s="52">
        <v>1867.5</v>
      </c>
      <c r="S30" s="51">
        <v>1.2351000000000001</v>
      </c>
      <c r="T30" s="51">
        <v>1.0952999999999999</v>
      </c>
      <c r="U30" s="50">
        <v>108.57</v>
      </c>
      <c r="V30" s="43">
        <v>1512.02</v>
      </c>
      <c r="W30" s="43">
        <v>1519.28</v>
      </c>
      <c r="X30" s="49">
        <f t="shared" si="5"/>
        <v>1705.0123253903041</v>
      </c>
      <c r="Y30" s="48">
        <v>1.2371000000000001</v>
      </c>
    </row>
    <row r="31" spans="2:25" s="10" customFormat="1" x14ac:dyDescent="0.2">
      <c r="B31" s="42" t="s">
        <v>11</v>
      </c>
      <c r="C31" s="41">
        <f>ROUND(AVERAGE(C9:C30),2)</f>
        <v>1905.05</v>
      </c>
      <c r="D31" s="40">
        <f>ROUND(AVERAGE(D9:D30),2)</f>
        <v>1905.61</v>
      </c>
      <c r="E31" s="39">
        <f>ROUND(AVERAGE(C31:D31),2)</f>
        <v>1905.33</v>
      </c>
      <c r="F31" s="41">
        <f>ROUND(AVERAGE(F9:F30),2)</f>
        <v>1920.32</v>
      </c>
      <c r="G31" s="40">
        <f>ROUND(AVERAGE(G9:G30),2)</f>
        <v>1921.14</v>
      </c>
      <c r="H31" s="39">
        <f>ROUND(AVERAGE(F31:G31),2)</f>
        <v>1920.73</v>
      </c>
      <c r="I31" s="41">
        <f>ROUND(AVERAGE(I9:I30),2)</f>
        <v>1975.09</v>
      </c>
      <c r="J31" s="40">
        <f>ROUND(AVERAGE(J9:J30),2)</f>
        <v>1978.5</v>
      </c>
      <c r="K31" s="39">
        <f>ROUND(AVERAGE(I31:J31),2)</f>
        <v>1976.8</v>
      </c>
      <c r="L31" s="41">
        <f>ROUND(AVERAGE(L9:L30),2)</f>
        <v>2010.09</v>
      </c>
      <c r="M31" s="40">
        <f>ROUND(AVERAGE(M9:M30),2)</f>
        <v>2013.5</v>
      </c>
      <c r="N31" s="39">
        <f>ROUND(AVERAGE(L31:M31),2)</f>
        <v>2011.8</v>
      </c>
      <c r="O31" s="41">
        <f>ROUND(AVERAGE(O9:O30),2)</f>
        <v>2018.27</v>
      </c>
      <c r="P31" s="40">
        <f>ROUND(AVERAGE(P9:P30),2)</f>
        <v>2021.68</v>
      </c>
      <c r="Q31" s="39">
        <f>ROUND(AVERAGE(O31:P31),2)</f>
        <v>2019.98</v>
      </c>
      <c r="R31" s="38">
        <f>ROUND(AVERAGE(R9:R30),2)</f>
        <v>1905.61</v>
      </c>
      <c r="S31" s="37">
        <f>ROUND(AVERAGE(S9:S30),4)</f>
        <v>1.2377</v>
      </c>
      <c r="T31" s="36">
        <f>ROUND(AVERAGE(T9:T30),4)</f>
        <v>1.1060000000000001</v>
      </c>
      <c r="U31" s="175">
        <f>ROUND(AVERAGE(U9:U30),2)</f>
        <v>107.51</v>
      </c>
      <c r="V31" s="35">
        <f>AVERAGE(V9:V30)</f>
        <v>1540.0754545454547</v>
      </c>
      <c r="W31" s="35">
        <f>AVERAGE(W9:W30)</f>
        <v>1550.3654545454547</v>
      </c>
      <c r="X31" s="35">
        <f>AVERAGE(X9:X30)</f>
        <v>1722.6625201867632</v>
      </c>
      <c r="Y31" s="34">
        <f>AVERAGE(Y9:Y30)</f>
        <v>1.2394318181818182</v>
      </c>
    </row>
    <row r="32" spans="2:25" s="5" customFormat="1" x14ac:dyDescent="0.2">
      <c r="B32" s="33" t="s">
        <v>12</v>
      </c>
      <c r="C32" s="32">
        <f t="shared" ref="C32:Y32" si="6">MAX(C9:C30)</f>
        <v>2008.5</v>
      </c>
      <c r="D32" s="31">
        <f t="shared" si="6"/>
        <v>2009</v>
      </c>
      <c r="E32" s="30">
        <f t="shared" si="6"/>
        <v>2008.75</v>
      </c>
      <c r="F32" s="32">
        <f t="shared" si="6"/>
        <v>2021</v>
      </c>
      <c r="G32" s="31">
        <f t="shared" si="6"/>
        <v>2023</v>
      </c>
      <c r="H32" s="30">
        <f t="shared" si="6"/>
        <v>2022</v>
      </c>
      <c r="I32" s="32">
        <f t="shared" si="6"/>
        <v>2080</v>
      </c>
      <c r="J32" s="31">
        <f t="shared" si="6"/>
        <v>2085</v>
      </c>
      <c r="K32" s="30">
        <f t="shared" si="6"/>
        <v>2082.5</v>
      </c>
      <c r="L32" s="32">
        <f t="shared" si="6"/>
        <v>2115</v>
      </c>
      <c r="M32" s="31">
        <f t="shared" si="6"/>
        <v>2120</v>
      </c>
      <c r="N32" s="30">
        <f t="shared" si="6"/>
        <v>2117.5</v>
      </c>
      <c r="O32" s="32">
        <f t="shared" si="6"/>
        <v>2123</v>
      </c>
      <c r="P32" s="31">
        <f t="shared" si="6"/>
        <v>2128</v>
      </c>
      <c r="Q32" s="30">
        <f t="shared" si="6"/>
        <v>2125.5</v>
      </c>
      <c r="R32" s="29">
        <f t="shared" si="6"/>
        <v>2009</v>
      </c>
      <c r="S32" s="28">
        <f t="shared" si="6"/>
        <v>1.3102</v>
      </c>
      <c r="T32" s="27">
        <f t="shared" si="6"/>
        <v>1.1435</v>
      </c>
      <c r="U32" s="26">
        <f t="shared" si="6"/>
        <v>111.35</v>
      </c>
      <c r="V32" s="25">
        <f t="shared" si="6"/>
        <v>1595.93</v>
      </c>
      <c r="W32" s="25">
        <f t="shared" si="6"/>
        <v>1603.68</v>
      </c>
      <c r="X32" s="25">
        <f t="shared" si="6"/>
        <v>1807.7926752452083</v>
      </c>
      <c r="Y32" s="24">
        <f t="shared" si="6"/>
        <v>1.3102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1773.5</v>
      </c>
      <c r="D33" s="21">
        <f t="shared" si="7"/>
        <v>1773.5</v>
      </c>
      <c r="E33" s="20">
        <f t="shared" si="7"/>
        <v>1773.5</v>
      </c>
      <c r="F33" s="22">
        <f t="shared" si="7"/>
        <v>1793</v>
      </c>
      <c r="G33" s="21">
        <f t="shared" si="7"/>
        <v>1793</v>
      </c>
      <c r="H33" s="20">
        <f t="shared" si="7"/>
        <v>1793</v>
      </c>
      <c r="I33" s="22">
        <f t="shared" si="7"/>
        <v>1849</v>
      </c>
      <c r="J33" s="21">
        <f t="shared" si="7"/>
        <v>1849</v>
      </c>
      <c r="K33" s="20">
        <f t="shared" si="7"/>
        <v>1849</v>
      </c>
      <c r="L33" s="22">
        <f t="shared" si="7"/>
        <v>1884</v>
      </c>
      <c r="M33" s="21">
        <f t="shared" si="7"/>
        <v>1884</v>
      </c>
      <c r="N33" s="20">
        <f t="shared" si="7"/>
        <v>1884</v>
      </c>
      <c r="O33" s="22">
        <f t="shared" si="7"/>
        <v>1892</v>
      </c>
      <c r="P33" s="21">
        <f t="shared" si="7"/>
        <v>1892</v>
      </c>
      <c r="Q33" s="20">
        <f t="shared" si="7"/>
        <v>1892</v>
      </c>
      <c r="R33" s="19">
        <f t="shared" si="7"/>
        <v>1773.5</v>
      </c>
      <c r="S33" s="18">
        <f t="shared" si="7"/>
        <v>1.1625000000000001</v>
      </c>
      <c r="T33" s="17">
        <f t="shared" si="7"/>
        <v>1.0709</v>
      </c>
      <c r="U33" s="16">
        <f t="shared" si="7"/>
        <v>102.3</v>
      </c>
      <c r="V33" s="15">
        <f t="shared" si="7"/>
        <v>1469.62</v>
      </c>
      <c r="W33" s="15">
        <f t="shared" si="7"/>
        <v>1484.17</v>
      </c>
      <c r="X33" s="15">
        <f t="shared" si="7"/>
        <v>1639.0942698706099</v>
      </c>
      <c r="Y33" s="14">
        <f t="shared" si="7"/>
        <v>1.1625000000000001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43892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43892</v>
      </c>
      <c r="C9" s="46">
        <v>1904</v>
      </c>
      <c r="D9" s="45">
        <v>1905</v>
      </c>
      <c r="E9" s="44">
        <f t="shared" ref="E9:E30" si="0">AVERAGE(C9:D9)</f>
        <v>1904.5</v>
      </c>
      <c r="F9" s="46">
        <v>1863</v>
      </c>
      <c r="G9" s="45">
        <v>1865</v>
      </c>
      <c r="H9" s="44">
        <f t="shared" ref="H9:H30" si="1">AVERAGE(F9:G9)</f>
        <v>1864</v>
      </c>
      <c r="I9" s="46">
        <v>1892</v>
      </c>
      <c r="J9" s="45">
        <v>1897</v>
      </c>
      <c r="K9" s="44">
        <f t="shared" ref="K9:K30" si="2">AVERAGE(I9:J9)</f>
        <v>1894.5</v>
      </c>
      <c r="L9" s="46">
        <v>1910</v>
      </c>
      <c r="M9" s="45">
        <v>1915</v>
      </c>
      <c r="N9" s="44">
        <f t="shared" ref="N9:N30" si="3">AVERAGE(L9:M9)</f>
        <v>1912.5</v>
      </c>
      <c r="O9" s="46">
        <v>1925</v>
      </c>
      <c r="P9" s="45">
        <v>1930</v>
      </c>
      <c r="Q9" s="44">
        <f t="shared" ref="Q9:Q30" si="4">AVERAGE(O9:P9)</f>
        <v>1927.5</v>
      </c>
      <c r="R9" s="52">
        <v>1905</v>
      </c>
      <c r="S9" s="51">
        <v>1.2753000000000001</v>
      </c>
      <c r="T9" s="53">
        <v>1.1113</v>
      </c>
      <c r="U9" s="50">
        <v>107.8</v>
      </c>
      <c r="V9" s="43">
        <v>1493.77</v>
      </c>
      <c r="W9" s="43">
        <v>1459.31</v>
      </c>
      <c r="X9" s="49">
        <f t="shared" ref="X9:X30" si="5">R9/T9</f>
        <v>1714.2085845406282</v>
      </c>
      <c r="Y9" s="48">
        <v>1.278</v>
      </c>
    </row>
    <row r="10" spans="1:25" x14ac:dyDescent="0.2">
      <c r="B10" s="47">
        <v>43893</v>
      </c>
      <c r="C10" s="46">
        <v>1898</v>
      </c>
      <c r="D10" s="45">
        <v>1900</v>
      </c>
      <c r="E10" s="44">
        <f t="shared" si="0"/>
        <v>1899</v>
      </c>
      <c r="F10" s="46">
        <v>1846</v>
      </c>
      <c r="G10" s="45">
        <v>1848</v>
      </c>
      <c r="H10" s="44">
        <f t="shared" si="1"/>
        <v>1847</v>
      </c>
      <c r="I10" s="46">
        <v>1877</v>
      </c>
      <c r="J10" s="45">
        <v>1882</v>
      </c>
      <c r="K10" s="44">
        <f t="shared" si="2"/>
        <v>1879.5</v>
      </c>
      <c r="L10" s="46">
        <v>1893</v>
      </c>
      <c r="M10" s="45">
        <v>1898</v>
      </c>
      <c r="N10" s="44">
        <f t="shared" si="3"/>
        <v>1895.5</v>
      </c>
      <c r="O10" s="46">
        <v>1908</v>
      </c>
      <c r="P10" s="45">
        <v>1913</v>
      </c>
      <c r="Q10" s="44">
        <f t="shared" si="4"/>
        <v>1910.5</v>
      </c>
      <c r="R10" s="52">
        <v>1900</v>
      </c>
      <c r="S10" s="51">
        <v>1.2778</v>
      </c>
      <c r="T10" s="51">
        <v>1.1117999999999999</v>
      </c>
      <c r="U10" s="50">
        <v>107.73</v>
      </c>
      <c r="V10" s="43">
        <v>1486.93</v>
      </c>
      <c r="W10" s="43">
        <v>1443.41</v>
      </c>
      <c r="X10" s="49">
        <f t="shared" si="5"/>
        <v>1708.9404569167118</v>
      </c>
      <c r="Y10" s="48">
        <v>1.2803</v>
      </c>
    </row>
    <row r="11" spans="1:25" x14ac:dyDescent="0.2">
      <c r="B11" s="47">
        <v>43894</v>
      </c>
      <c r="C11" s="46">
        <v>1886</v>
      </c>
      <c r="D11" s="45">
        <v>1887</v>
      </c>
      <c r="E11" s="44">
        <f t="shared" si="0"/>
        <v>1886.5</v>
      </c>
      <c r="F11" s="46">
        <v>1839</v>
      </c>
      <c r="G11" s="45">
        <v>1841</v>
      </c>
      <c r="H11" s="44">
        <f t="shared" si="1"/>
        <v>1840</v>
      </c>
      <c r="I11" s="46">
        <v>1870</v>
      </c>
      <c r="J11" s="45">
        <v>1875</v>
      </c>
      <c r="K11" s="44">
        <f t="shared" si="2"/>
        <v>1872.5</v>
      </c>
      <c r="L11" s="46">
        <v>1888</v>
      </c>
      <c r="M11" s="45">
        <v>1893</v>
      </c>
      <c r="N11" s="44">
        <f t="shared" si="3"/>
        <v>1890.5</v>
      </c>
      <c r="O11" s="46">
        <v>1903</v>
      </c>
      <c r="P11" s="45">
        <v>1908</v>
      </c>
      <c r="Q11" s="44">
        <f t="shared" si="4"/>
        <v>1905.5</v>
      </c>
      <c r="R11" s="52">
        <v>1887</v>
      </c>
      <c r="S11" s="51">
        <v>1.28</v>
      </c>
      <c r="T11" s="51">
        <v>1.1113</v>
      </c>
      <c r="U11" s="50">
        <v>107.55</v>
      </c>
      <c r="V11" s="43">
        <v>1474.22</v>
      </c>
      <c r="W11" s="43">
        <v>1436.04</v>
      </c>
      <c r="X11" s="49">
        <f t="shared" si="5"/>
        <v>1698.0113380725277</v>
      </c>
      <c r="Y11" s="48">
        <v>1.282</v>
      </c>
    </row>
    <row r="12" spans="1:25" x14ac:dyDescent="0.2">
      <c r="B12" s="47">
        <v>43895</v>
      </c>
      <c r="C12" s="46">
        <v>1855</v>
      </c>
      <c r="D12" s="45">
        <v>1860</v>
      </c>
      <c r="E12" s="44">
        <f t="shared" si="0"/>
        <v>1857.5</v>
      </c>
      <c r="F12" s="46">
        <v>1825</v>
      </c>
      <c r="G12" s="45">
        <v>1826</v>
      </c>
      <c r="H12" s="44">
        <f t="shared" si="1"/>
        <v>1825.5</v>
      </c>
      <c r="I12" s="46">
        <v>1858</v>
      </c>
      <c r="J12" s="45">
        <v>1863</v>
      </c>
      <c r="K12" s="44">
        <f t="shared" si="2"/>
        <v>1860.5</v>
      </c>
      <c r="L12" s="46">
        <v>1875</v>
      </c>
      <c r="M12" s="45">
        <v>1880</v>
      </c>
      <c r="N12" s="44">
        <f t="shared" si="3"/>
        <v>1877.5</v>
      </c>
      <c r="O12" s="46">
        <v>1890</v>
      </c>
      <c r="P12" s="45">
        <v>1895</v>
      </c>
      <c r="Q12" s="44">
        <f t="shared" si="4"/>
        <v>1892.5</v>
      </c>
      <c r="R12" s="52">
        <v>1860</v>
      </c>
      <c r="S12" s="51">
        <v>1.2914000000000001</v>
      </c>
      <c r="T12" s="51">
        <v>1.1189</v>
      </c>
      <c r="U12" s="50">
        <v>106.92</v>
      </c>
      <c r="V12" s="43">
        <v>1440.3</v>
      </c>
      <c r="W12" s="43">
        <v>1412</v>
      </c>
      <c r="X12" s="49">
        <f t="shared" si="5"/>
        <v>1662.3469478952543</v>
      </c>
      <c r="Y12" s="48">
        <v>1.2931999999999999</v>
      </c>
    </row>
    <row r="13" spans="1:25" x14ac:dyDescent="0.2">
      <c r="B13" s="47">
        <v>43896</v>
      </c>
      <c r="C13" s="46">
        <v>1878</v>
      </c>
      <c r="D13" s="45">
        <v>1880</v>
      </c>
      <c r="E13" s="44">
        <f t="shared" si="0"/>
        <v>1879</v>
      </c>
      <c r="F13" s="46">
        <v>1841</v>
      </c>
      <c r="G13" s="45">
        <v>1843</v>
      </c>
      <c r="H13" s="44">
        <f t="shared" si="1"/>
        <v>1842</v>
      </c>
      <c r="I13" s="46">
        <v>1875</v>
      </c>
      <c r="J13" s="45">
        <v>1880</v>
      </c>
      <c r="K13" s="44">
        <f t="shared" si="2"/>
        <v>1877.5</v>
      </c>
      <c r="L13" s="46">
        <v>1892</v>
      </c>
      <c r="M13" s="45">
        <v>1897</v>
      </c>
      <c r="N13" s="44">
        <f t="shared" si="3"/>
        <v>1894.5</v>
      </c>
      <c r="O13" s="46">
        <v>1907</v>
      </c>
      <c r="P13" s="45">
        <v>1912</v>
      </c>
      <c r="Q13" s="44">
        <f t="shared" si="4"/>
        <v>1909.5</v>
      </c>
      <c r="R13" s="52">
        <v>1880</v>
      </c>
      <c r="S13" s="51">
        <v>1.2994000000000001</v>
      </c>
      <c r="T13" s="51">
        <v>1.1315999999999999</v>
      </c>
      <c r="U13" s="50">
        <v>105.19</v>
      </c>
      <c r="V13" s="43">
        <v>1446.82</v>
      </c>
      <c r="W13" s="43">
        <v>1416.6</v>
      </c>
      <c r="X13" s="49">
        <f t="shared" si="5"/>
        <v>1661.364439731354</v>
      </c>
      <c r="Y13" s="48">
        <v>1.3009999999999999</v>
      </c>
    </row>
    <row r="14" spans="1:25" x14ac:dyDescent="0.2">
      <c r="B14" s="47">
        <v>43899</v>
      </c>
      <c r="C14" s="46">
        <v>1849</v>
      </c>
      <c r="D14" s="45">
        <v>1849.5</v>
      </c>
      <c r="E14" s="44">
        <f t="shared" si="0"/>
        <v>1849.25</v>
      </c>
      <c r="F14" s="46">
        <v>1813</v>
      </c>
      <c r="G14" s="45">
        <v>1818</v>
      </c>
      <c r="H14" s="44">
        <f t="shared" si="1"/>
        <v>1815.5</v>
      </c>
      <c r="I14" s="46">
        <v>1848</v>
      </c>
      <c r="J14" s="45">
        <v>1853</v>
      </c>
      <c r="K14" s="44">
        <f t="shared" si="2"/>
        <v>1850.5</v>
      </c>
      <c r="L14" s="46">
        <v>1865</v>
      </c>
      <c r="M14" s="45">
        <v>1870</v>
      </c>
      <c r="N14" s="44">
        <f t="shared" si="3"/>
        <v>1867.5</v>
      </c>
      <c r="O14" s="46">
        <v>1880</v>
      </c>
      <c r="P14" s="45">
        <v>1885</v>
      </c>
      <c r="Q14" s="44">
        <f t="shared" si="4"/>
        <v>1882.5</v>
      </c>
      <c r="R14" s="52">
        <v>1849.5</v>
      </c>
      <c r="S14" s="51">
        <v>1.3102</v>
      </c>
      <c r="T14" s="51">
        <v>1.1435</v>
      </c>
      <c r="U14" s="50">
        <v>102.3</v>
      </c>
      <c r="V14" s="43">
        <v>1411.62</v>
      </c>
      <c r="W14" s="43">
        <v>1387.57</v>
      </c>
      <c r="X14" s="49">
        <f t="shared" si="5"/>
        <v>1617.4027109750766</v>
      </c>
      <c r="Y14" s="48">
        <v>1.3102</v>
      </c>
    </row>
    <row r="15" spans="1:25" x14ac:dyDescent="0.2">
      <c r="B15" s="47">
        <v>43900</v>
      </c>
      <c r="C15" s="46">
        <v>1858.5</v>
      </c>
      <c r="D15" s="45">
        <v>1859.5</v>
      </c>
      <c r="E15" s="44">
        <f t="shared" si="0"/>
        <v>1859</v>
      </c>
      <c r="F15" s="46">
        <v>1835</v>
      </c>
      <c r="G15" s="45">
        <v>1837</v>
      </c>
      <c r="H15" s="44">
        <f t="shared" si="1"/>
        <v>1836</v>
      </c>
      <c r="I15" s="46">
        <v>1867</v>
      </c>
      <c r="J15" s="45">
        <v>1872</v>
      </c>
      <c r="K15" s="44">
        <f t="shared" si="2"/>
        <v>1869.5</v>
      </c>
      <c r="L15" s="46">
        <v>1885</v>
      </c>
      <c r="M15" s="45">
        <v>1890</v>
      </c>
      <c r="N15" s="44">
        <f t="shared" si="3"/>
        <v>1887.5</v>
      </c>
      <c r="O15" s="46">
        <v>1900</v>
      </c>
      <c r="P15" s="45">
        <v>1905</v>
      </c>
      <c r="Q15" s="44">
        <f t="shared" si="4"/>
        <v>1902.5</v>
      </c>
      <c r="R15" s="52">
        <v>1859.5</v>
      </c>
      <c r="S15" s="51">
        <v>1.3024</v>
      </c>
      <c r="T15" s="51">
        <v>1.1379999999999999</v>
      </c>
      <c r="U15" s="50">
        <v>104.24</v>
      </c>
      <c r="V15" s="43">
        <v>1427.75</v>
      </c>
      <c r="W15" s="43">
        <v>1410.47</v>
      </c>
      <c r="X15" s="49">
        <f t="shared" si="5"/>
        <v>1634.0070298769772</v>
      </c>
      <c r="Y15" s="48">
        <v>1.3024</v>
      </c>
    </row>
    <row r="16" spans="1:25" x14ac:dyDescent="0.2">
      <c r="B16" s="47">
        <v>43901</v>
      </c>
      <c r="C16" s="46">
        <v>1812.5</v>
      </c>
      <c r="D16" s="45">
        <v>1813</v>
      </c>
      <c r="E16" s="44">
        <f t="shared" si="0"/>
        <v>1812.75</v>
      </c>
      <c r="F16" s="46">
        <v>1795</v>
      </c>
      <c r="G16" s="45">
        <v>1797</v>
      </c>
      <c r="H16" s="44">
        <f t="shared" si="1"/>
        <v>1796</v>
      </c>
      <c r="I16" s="46">
        <v>1825</v>
      </c>
      <c r="J16" s="45">
        <v>1830</v>
      </c>
      <c r="K16" s="44">
        <f t="shared" si="2"/>
        <v>1827.5</v>
      </c>
      <c r="L16" s="46">
        <v>1843</v>
      </c>
      <c r="M16" s="45">
        <v>1848</v>
      </c>
      <c r="N16" s="44">
        <f t="shared" si="3"/>
        <v>1845.5</v>
      </c>
      <c r="O16" s="46">
        <v>1858</v>
      </c>
      <c r="P16" s="45">
        <v>1863</v>
      </c>
      <c r="Q16" s="44">
        <f t="shared" si="4"/>
        <v>1860.5</v>
      </c>
      <c r="R16" s="52">
        <v>1813</v>
      </c>
      <c r="S16" s="51">
        <v>1.2941</v>
      </c>
      <c r="T16" s="51">
        <v>1.1339999999999999</v>
      </c>
      <c r="U16" s="50">
        <v>104.45</v>
      </c>
      <c r="V16" s="43">
        <v>1400.97</v>
      </c>
      <c r="W16" s="43">
        <v>1387.32</v>
      </c>
      <c r="X16" s="49">
        <f t="shared" si="5"/>
        <v>1598.7654320987656</v>
      </c>
      <c r="Y16" s="48">
        <v>1.2952999999999999</v>
      </c>
    </row>
    <row r="17" spans="2:25" x14ac:dyDescent="0.2">
      <c r="B17" s="47">
        <v>43902</v>
      </c>
      <c r="C17" s="46">
        <v>1748</v>
      </c>
      <c r="D17" s="45">
        <v>1749</v>
      </c>
      <c r="E17" s="44">
        <f t="shared" si="0"/>
        <v>1748.5</v>
      </c>
      <c r="F17" s="46">
        <v>1743</v>
      </c>
      <c r="G17" s="45">
        <v>1745</v>
      </c>
      <c r="H17" s="44">
        <f t="shared" si="1"/>
        <v>1744</v>
      </c>
      <c r="I17" s="46">
        <v>1772</v>
      </c>
      <c r="J17" s="45">
        <v>1777</v>
      </c>
      <c r="K17" s="44">
        <f t="shared" si="2"/>
        <v>1774.5</v>
      </c>
      <c r="L17" s="46">
        <v>1790</v>
      </c>
      <c r="M17" s="45">
        <v>1795</v>
      </c>
      <c r="N17" s="44">
        <f t="shared" si="3"/>
        <v>1792.5</v>
      </c>
      <c r="O17" s="46">
        <v>1805</v>
      </c>
      <c r="P17" s="45">
        <v>1810</v>
      </c>
      <c r="Q17" s="44">
        <f t="shared" si="4"/>
        <v>1807.5</v>
      </c>
      <c r="R17" s="52">
        <v>1749</v>
      </c>
      <c r="S17" s="51">
        <v>1.2662</v>
      </c>
      <c r="T17" s="51">
        <v>1.1214999999999999</v>
      </c>
      <c r="U17" s="50">
        <v>104.13</v>
      </c>
      <c r="V17" s="43">
        <v>1381.3</v>
      </c>
      <c r="W17" s="43">
        <v>1378.14</v>
      </c>
      <c r="X17" s="49">
        <f t="shared" si="5"/>
        <v>1559.5185020062418</v>
      </c>
      <c r="Y17" s="48">
        <v>1.2662</v>
      </c>
    </row>
    <row r="18" spans="2:25" x14ac:dyDescent="0.2">
      <c r="B18" s="47">
        <v>43903</v>
      </c>
      <c r="C18" s="46">
        <v>1779</v>
      </c>
      <c r="D18" s="45">
        <v>1781</v>
      </c>
      <c r="E18" s="44">
        <f t="shared" si="0"/>
        <v>1780</v>
      </c>
      <c r="F18" s="46">
        <v>1785</v>
      </c>
      <c r="G18" s="45">
        <v>1787</v>
      </c>
      <c r="H18" s="44">
        <f t="shared" si="1"/>
        <v>1786</v>
      </c>
      <c r="I18" s="46">
        <v>1815</v>
      </c>
      <c r="J18" s="45">
        <v>1820</v>
      </c>
      <c r="K18" s="44">
        <f t="shared" si="2"/>
        <v>1817.5</v>
      </c>
      <c r="L18" s="46">
        <v>1833</v>
      </c>
      <c r="M18" s="45">
        <v>1838</v>
      </c>
      <c r="N18" s="44">
        <f t="shared" si="3"/>
        <v>1835.5</v>
      </c>
      <c r="O18" s="46">
        <v>1848</v>
      </c>
      <c r="P18" s="45">
        <v>1853</v>
      </c>
      <c r="Q18" s="44">
        <f t="shared" si="4"/>
        <v>1850.5</v>
      </c>
      <c r="R18" s="52">
        <v>1781</v>
      </c>
      <c r="S18" s="51">
        <v>1.2468999999999999</v>
      </c>
      <c r="T18" s="51">
        <v>1.111</v>
      </c>
      <c r="U18" s="50">
        <v>107.31</v>
      </c>
      <c r="V18" s="43">
        <v>1428.34</v>
      </c>
      <c r="W18" s="43">
        <v>1430.74</v>
      </c>
      <c r="X18" s="49">
        <f t="shared" si="5"/>
        <v>1603.060306030603</v>
      </c>
      <c r="Y18" s="48">
        <v>1.2490000000000001</v>
      </c>
    </row>
    <row r="19" spans="2:25" x14ac:dyDescent="0.2">
      <c r="B19" s="47">
        <v>43906</v>
      </c>
      <c r="C19" s="46">
        <v>1684</v>
      </c>
      <c r="D19" s="45">
        <v>1685</v>
      </c>
      <c r="E19" s="44">
        <f t="shared" si="0"/>
        <v>1684.5</v>
      </c>
      <c r="F19" s="46">
        <v>1715</v>
      </c>
      <c r="G19" s="45">
        <v>1717</v>
      </c>
      <c r="H19" s="44">
        <f t="shared" si="1"/>
        <v>1716</v>
      </c>
      <c r="I19" s="46">
        <v>1745</v>
      </c>
      <c r="J19" s="45">
        <v>1750</v>
      </c>
      <c r="K19" s="44">
        <f t="shared" si="2"/>
        <v>1747.5</v>
      </c>
      <c r="L19" s="46">
        <v>1763</v>
      </c>
      <c r="M19" s="45">
        <v>1768</v>
      </c>
      <c r="N19" s="44">
        <f t="shared" si="3"/>
        <v>1765.5</v>
      </c>
      <c r="O19" s="46">
        <v>1778</v>
      </c>
      <c r="P19" s="45">
        <v>1783</v>
      </c>
      <c r="Q19" s="44">
        <f t="shared" si="4"/>
        <v>1780.5</v>
      </c>
      <c r="R19" s="52">
        <v>1685</v>
      </c>
      <c r="S19" s="51">
        <v>1.2274</v>
      </c>
      <c r="T19" s="51">
        <v>1.1166</v>
      </c>
      <c r="U19" s="50">
        <v>105.29</v>
      </c>
      <c r="V19" s="43">
        <v>1372.82</v>
      </c>
      <c r="W19" s="43">
        <v>1396.16</v>
      </c>
      <c r="X19" s="49">
        <f t="shared" si="5"/>
        <v>1509.0453161382768</v>
      </c>
      <c r="Y19" s="48">
        <v>1.2298</v>
      </c>
    </row>
    <row r="20" spans="2:25" x14ac:dyDescent="0.2">
      <c r="B20" s="47">
        <v>43907</v>
      </c>
      <c r="C20" s="46">
        <v>1692</v>
      </c>
      <c r="D20" s="45">
        <v>1693</v>
      </c>
      <c r="E20" s="44">
        <f t="shared" si="0"/>
        <v>1692.5</v>
      </c>
      <c r="F20" s="46">
        <v>1709</v>
      </c>
      <c r="G20" s="45">
        <v>1710</v>
      </c>
      <c r="H20" s="44">
        <f t="shared" si="1"/>
        <v>1709.5</v>
      </c>
      <c r="I20" s="46">
        <v>1738</v>
      </c>
      <c r="J20" s="45">
        <v>1743</v>
      </c>
      <c r="K20" s="44">
        <f t="shared" si="2"/>
        <v>1740.5</v>
      </c>
      <c r="L20" s="46">
        <v>1755</v>
      </c>
      <c r="M20" s="45">
        <v>1760</v>
      </c>
      <c r="N20" s="44">
        <f t="shared" si="3"/>
        <v>1757.5</v>
      </c>
      <c r="O20" s="46">
        <v>1770</v>
      </c>
      <c r="P20" s="45">
        <v>1775</v>
      </c>
      <c r="Q20" s="44">
        <f t="shared" si="4"/>
        <v>1772.5</v>
      </c>
      <c r="R20" s="52">
        <v>1693</v>
      </c>
      <c r="S20" s="51">
        <v>1.2092000000000001</v>
      </c>
      <c r="T20" s="51">
        <v>1.0989</v>
      </c>
      <c r="U20" s="50">
        <v>107.06</v>
      </c>
      <c r="V20" s="43">
        <v>1400.1</v>
      </c>
      <c r="W20" s="43">
        <v>1410.08</v>
      </c>
      <c r="X20" s="49">
        <f t="shared" si="5"/>
        <v>1540.6315406315407</v>
      </c>
      <c r="Y20" s="48">
        <v>1.2126999999999999</v>
      </c>
    </row>
    <row r="21" spans="2:25" x14ac:dyDescent="0.2">
      <c r="B21" s="47">
        <v>43908</v>
      </c>
      <c r="C21" s="46">
        <v>1614</v>
      </c>
      <c r="D21" s="45">
        <v>1616</v>
      </c>
      <c r="E21" s="44">
        <f t="shared" si="0"/>
        <v>1615</v>
      </c>
      <c r="F21" s="46">
        <v>1628</v>
      </c>
      <c r="G21" s="45">
        <v>1630</v>
      </c>
      <c r="H21" s="44">
        <f t="shared" si="1"/>
        <v>1629</v>
      </c>
      <c r="I21" s="46">
        <v>1660</v>
      </c>
      <c r="J21" s="45">
        <v>1665</v>
      </c>
      <c r="K21" s="44">
        <f t="shared" si="2"/>
        <v>1662.5</v>
      </c>
      <c r="L21" s="46">
        <v>1678</v>
      </c>
      <c r="M21" s="45">
        <v>1683</v>
      </c>
      <c r="N21" s="44">
        <f t="shared" si="3"/>
        <v>1680.5</v>
      </c>
      <c r="O21" s="46">
        <v>1693</v>
      </c>
      <c r="P21" s="45">
        <v>1698</v>
      </c>
      <c r="Q21" s="44">
        <f t="shared" si="4"/>
        <v>1695.5</v>
      </c>
      <c r="R21" s="52">
        <v>1616</v>
      </c>
      <c r="S21" s="51">
        <v>1.1843999999999999</v>
      </c>
      <c r="T21" s="51">
        <v>1.0931</v>
      </c>
      <c r="U21" s="50">
        <v>107.64</v>
      </c>
      <c r="V21" s="43">
        <v>1364.4</v>
      </c>
      <c r="W21" s="43">
        <v>1373.9</v>
      </c>
      <c r="X21" s="49">
        <f t="shared" si="5"/>
        <v>1478.3642850608362</v>
      </c>
      <c r="Y21" s="48">
        <v>1.1863999999999999</v>
      </c>
    </row>
    <row r="22" spans="2:25" x14ac:dyDescent="0.2">
      <c r="B22" s="47">
        <v>43909</v>
      </c>
      <c r="C22" s="46">
        <v>1660</v>
      </c>
      <c r="D22" s="45">
        <v>1661</v>
      </c>
      <c r="E22" s="44">
        <f t="shared" si="0"/>
        <v>1660.5</v>
      </c>
      <c r="F22" s="46">
        <v>1674</v>
      </c>
      <c r="G22" s="45">
        <v>1676</v>
      </c>
      <c r="H22" s="44">
        <f t="shared" si="1"/>
        <v>1675</v>
      </c>
      <c r="I22" s="46">
        <v>1710</v>
      </c>
      <c r="J22" s="45">
        <v>1715</v>
      </c>
      <c r="K22" s="44">
        <f t="shared" si="2"/>
        <v>1712.5</v>
      </c>
      <c r="L22" s="46">
        <v>1728</v>
      </c>
      <c r="M22" s="45">
        <v>1733</v>
      </c>
      <c r="N22" s="44">
        <f t="shared" si="3"/>
        <v>1730.5</v>
      </c>
      <c r="O22" s="46">
        <v>1743</v>
      </c>
      <c r="P22" s="45">
        <v>1748</v>
      </c>
      <c r="Q22" s="44">
        <f t="shared" si="4"/>
        <v>1745.5</v>
      </c>
      <c r="R22" s="52">
        <v>1661</v>
      </c>
      <c r="S22" s="51">
        <v>1.1625000000000001</v>
      </c>
      <c r="T22" s="51">
        <v>1.0799000000000001</v>
      </c>
      <c r="U22" s="50">
        <v>109.79</v>
      </c>
      <c r="V22" s="43">
        <v>1428.82</v>
      </c>
      <c r="W22" s="43">
        <v>1441.72</v>
      </c>
      <c r="X22" s="49">
        <f t="shared" si="5"/>
        <v>1538.1053801277894</v>
      </c>
      <c r="Y22" s="48">
        <v>1.1625000000000001</v>
      </c>
    </row>
    <row r="23" spans="2:25" x14ac:dyDescent="0.2">
      <c r="B23" s="47">
        <v>43910</v>
      </c>
      <c r="C23" s="46">
        <v>1672.5</v>
      </c>
      <c r="D23" s="45">
        <v>1673.5</v>
      </c>
      <c r="E23" s="44">
        <f t="shared" si="0"/>
        <v>1673</v>
      </c>
      <c r="F23" s="46">
        <v>1685</v>
      </c>
      <c r="G23" s="45">
        <v>1687</v>
      </c>
      <c r="H23" s="44">
        <f t="shared" si="1"/>
        <v>1686</v>
      </c>
      <c r="I23" s="46">
        <v>1720</v>
      </c>
      <c r="J23" s="45">
        <v>1725</v>
      </c>
      <c r="K23" s="44">
        <f t="shared" si="2"/>
        <v>1722.5</v>
      </c>
      <c r="L23" s="46">
        <v>1738</v>
      </c>
      <c r="M23" s="45">
        <v>1743</v>
      </c>
      <c r="N23" s="44">
        <f t="shared" si="3"/>
        <v>1740.5</v>
      </c>
      <c r="O23" s="46">
        <v>1753</v>
      </c>
      <c r="P23" s="45">
        <v>1758</v>
      </c>
      <c r="Q23" s="44">
        <f t="shared" si="4"/>
        <v>1755.5</v>
      </c>
      <c r="R23" s="52">
        <v>1673.5</v>
      </c>
      <c r="S23" s="51">
        <v>1.1779999999999999</v>
      </c>
      <c r="T23" s="51">
        <v>1.0709</v>
      </c>
      <c r="U23" s="50">
        <v>110.37</v>
      </c>
      <c r="V23" s="43">
        <v>1420.63</v>
      </c>
      <c r="W23" s="43">
        <v>1429.18</v>
      </c>
      <c r="X23" s="49">
        <f t="shared" si="5"/>
        <v>1562.7042674386032</v>
      </c>
      <c r="Y23" s="48">
        <v>1.1803999999999999</v>
      </c>
    </row>
    <row r="24" spans="2:25" x14ac:dyDescent="0.2">
      <c r="B24" s="47">
        <v>43913</v>
      </c>
      <c r="C24" s="46">
        <v>1608.5</v>
      </c>
      <c r="D24" s="45">
        <v>1608.5</v>
      </c>
      <c r="E24" s="44">
        <f t="shared" si="0"/>
        <v>1608.5</v>
      </c>
      <c r="F24" s="46">
        <v>1628.5</v>
      </c>
      <c r="G24" s="45">
        <v>1628.5</v>
      </c>
      <c r="H24" s="44">
        <f t="shared" si="1"/>
        <v>1628.5</v>
      </c>
      <c r="I24" s="46">
        <v>1665.5</v>
      </c>
      <c r="J24" s="45">
        <v>1665.5</v>
      </c>
      <c r="K24" s="44">
        <f t="shared" si="2"/>
        <v>1665.5</v>
      </c>
      <c r="L24" s="46">
        <v>1683</v>
      </c>
      <c r="M24" s="45">
        <v>1683</v>
      </c>
      <c r="N24" s="44">
        <f t="shared" si="3"/>
        <v>1683</v>
      </c>
      <c r="O24" s="46">
        <v>1698</v>
      </c>
      <c r="P24" s="45">
        <v>1698</v>
      </c>
      <c r="Q24" s="44">
        <f t="shared" si="4"/>
        <v>1698</v>
      </c>
      <c r="R24" s="52">
        <v>1608.5</v>
      </c>
      <c r="S24" s="51">
        <v>1.1633</v>
      </c>
      <c r="T24" s="51">
        <v>1.0780000000000001</v>
      </c>
      <c r="U24" s="50">
        <v>110.23</v>
      </c>
      <c r="V24" s="43">
        <v>1382.7</v>
      </c>
      <c r="W24" s="43">
        <v>1397.61</v>
      </c>
      <c r="X24" s="49">
        <f t="shared" si="5"/>
        <v>1492.1150278293135</v>
      </c>
      <c r="Y24" s="48">
        <v>1.1652</v>
      </c>
    </row>
    <row r="25" spans="2:25" x14ac:dyDescent="0.2">
      <c r="B25" s="47">
        <v>43914</v>
      </c>
      <c r="C25" s="46">
        <v>1617</v>
      </c>
      <c r="D25" s="45">
        <v>1617</v>
      </c>
      <c r="E25" s="44">
        <f t="shared" si="0"/>
        <v>1617</v>
      </c>
      <c r="F25" s="46">
        <v>1637</v>
      </c>
      <c r="G25" s="45">
        <v>1637</v>
      </c>
      <c r="H25" s="44">
        <f t="shared" si="1"/>
        <v>1637</v>
      </c>
      <c r="I25" s="46">
        <v>1675</v>
      </c>
      <c r="J25" s="45">
        <v>1675</v>
      </c>
      <c r="K25" s="44">
        <f t="shared" si="2"/>
        <v>1675</v>
      </c>
      <c r="L25" s="46">
        <v>1692.5</v>
      </c>
      <c r="M25" s="45">
        <v>1692.5</v>
      </c>
      <c r="N25" s="44">
        <f t="shared" si="3"/>
        <v>1692.5</v>
      </c>
      <c r="O25" s="46">
        <v>1707.5</v>
      </c>
      <c r="P25" s="45">
        <v>1707.5</v>
      </c>
      <c r="Q25" s="44">
        <f t="shared" si="4"/>
        <v>1707.5</v>
      </c>
      <c r="R25" s="52">
        <v>1617</v>
      </c>
      <c r="S25" s="51">
        <v>1.1753</v>
      </c>
      <c r="T25" s="51">
        <v>1.0822000000000001</v>
      </c>
      <c r="U25" s="50">
        <v>110.82</v>
      </c>
      <c r="V25" s="43">
        <v>1375.82</v>
      </c>
      <c r="W25" s="43">
        <v>1390.23</v>
      </c>
      <c r="X25" s="49">
        <f t="shared" si="5"/>
        <v>1494.1785252263905</v>
      </c>
      <c r="Y25" s="48">
        <v>1.1775</v>
      </c>
    </row>
    <row r="26" spans="2:25" x14ac:dyDescent="0.2">
      <c r="B26" s="47">
        <v>43915</v>
      </c>
      <c r="C26" s="46">
        <v>1589</v>
      </c>
      <c r="D26" s="45">
        <v>1589</v>
      </c>
      <c r="E26" s="44">
        <f t="shared" si="0"/>
        <v>1589</v>
      </c>
      <c r="F26" s="46">
        <v>1607</v>
      </c>
      <c r="G26" s="45">
        <v>1607</v>
      </c>
      <c r="H26" s="44">
        <f t="shared" si="1"/>
        <v>1607</v>
      </c>
      <c r="I26" s="46">
        <v>1645</v>
      </c>
      <c r="J26" s="45">
        <v>1645</v>
      </c>
      <c r="K26" s="44">
        <f t="shared" si="2"/>
        <v>1645</v>
      </c>
      <c r="L26" s="46">
        <v>1662.5</v>
      </c>
      <c r="M26" s="45">
        <v>1662.5</v>
      </c>
      <c r="N26" s="44">
        <f t="shared" si="3"/>
        <v>1662.5</v>
      </c>
      <c r="O26" s="46">
        <v>1677.5</v>
      </c>
      <c r="P26" s="45">
        <v>1677.5</v>
      </c>
      <c r="Q26" s="44">
        <f t="shared" si="4"/>
        <v>1677.5</v>
      </c>
      <c r="R26" s="52">
        <v>1589</v>
      </c>
      <c r="S26" s="51">
        <v>1.1838</v>
      </c>
      <c r="T26" s="51">
        <v>1.0820000000000001</v>
      </c>
      <c r="U26" s="50">
        <v>111.35</v>
      </c>
      <c r="V26" s="43">
        <v>1342.29</v>
      </c>
      <c r="W26" s="43">
        <v>1355.2</v>
      </c>
      <c r="X26" s="49">
        <f t="shared" si="5"/>
        <v>1468.5767097966727</v>
      </c>
      <c r="Y26" s="48">
        <v>1.1858</v>
      </c>
    </row>
    <row r="27" spans="2:25" x14ac:dyDescent="0.2">
      <c r="B27" s="47">
        <v>43916</v>
      </c>
      <c r="C27" s="46">
        <v>1659</v>
      </c>
      <c r="D27" s="45">
        <v>1659</v>
      </c>
      <c r="E27" s="44">
        <f t="shared" si="0"/>
        <v>1659</v>
      </c>
      <c r="F27" s="46">
        <v>1667.5</v>
      </c>
      <c r="G27" s="45">
        <v>1667.5</v>
      </c>
      <c r="H27" s="44">
        <f t="shared" si="1"/>
        <v>1667.5</v>
      </c>
      <c r="I27" s="46">
        <v>1704</v>
      </c>
      <c r="J27" s="45">
        <v>1704</v>
      </c>
      <c r="K27" s="44">
        <f t="shared" si="2"/>
        <v>1704</v>
      </c>
      <c r="L27" s="46">
        <v>1721.5</v>
      </c>
      <c r="M27" s="45">
        <v>1721.5</v>
      </c>
      <c r="N27" s="44">
        <f t="shared" si="3"/>
        <v>1721.5</v>
      </c>
      <c r="O27" s="46">
        <v>1736.5</v>
      </c>
      <c r="P27" s="45">
        <v>1736.5</v>
      </c>
      <c r="Q27" s="44">
        <f t="shared" si="4"/>
        <v>1736.5</v>
      </c>
      <c r="R27" s="52">
        <v>1659</v>
      </c>
      <c r="S27" s="51">
        <v>1.1988000000000001</v>
      </c>
      <c r="T27" s="51">
        <v>1.0972</v>
      </c>
      <c r="U27" s="50">
        <v>109.67</v>
      </c>
      <c r="V27" s="43">
        <v>1383.88</v>
      </c>
      <c r="W27" s="43">
        <v>1388.77</v>
      </c>
      <c r="X27" s="49">
        <f t="shared" si="5"/>
        <v>1512.0306234050311</v>
      </c>
      <c r="Y27" s="48">
        <v>1.2007000000000001</v>
      </c>
    </row>
    <row r="28" spans="2:25" x14ac:dyDescent="0.2">
      <c r="B28" s="47">
        <v>43917</v>
      </c>
      <c r="C28" s="46">
        <v>1690</v>
      </c>
      <c r="D28" s="45">
        <v>1690</v>
      </c>
      <c r="E28" s="44">
        <f t="shared" si="0"/>
        <v>1690</v>
      </c>
      <c r="F28" s="46">
        <v>1700</v>
      </c>
      <c r="G28" s="45">
        <v>1700</v>
      </c>
      <c r="H28" s="44">
        <f t="shared" si="1"/>
        <v>1700</v>
      </c>
      <c r="I28" s="46">
        <v>1734.5</v>
      </c>
      <c r="J28" s="45">
        <v>1734.5</v>
      </c>
      <c r="K28" s="44">
        <f t="shared" si="2"/>
        <v>1734.5</v>
      </c>
      <c r="L28" s="46">
        <v>1752</v>
      </c>
      <c r="M28" s="45">
        <v>1752</v>
      </c>
      <c r="N28" s="44">
        <f t="shared" si="3"/>
        <v>1752</v>
      </c>
      <c r="O28" s="46">
        <v>1767</v>
      </c>
      <c r="P28" s="45">
        <v>1767</v>
      </c>
      <c r="Q28" s="44">
        <f t="shared" si="4"/>
        <v>1767</v>
      </c>
      <c r="R28" s="52">
        <v>1690</v>
      </c>
      <c r="S28" s="51">
        <v>1.2251000000000001</v>
      </c>
      <c r="T28" s="51">
        <v>1.0986</v>
      </c>
      <c r="U28" s="50">
        <v>108.79</v>
      </c>
      <c r="V28" s="43">
        <v>1379.48</v>
      </c>
      <c r="W28" s="43">
        <v>1385.49</v>
      </c>
      <c r="X28" s="49">
        <f t="shared" si="5"/>
        <v>1538.321500091025</v>
      </c>
      <c r="Y28" s="48">
        <v>1.2270000000000001</v>
      </c>
    </row>
    <row r="29" spans="2:25" x14ac:dyDescent="0.2">
      <c r="B29" s="47">
        <v>43920</v>
      </c>
      <c r="C29" s="46">
        <v>1694</v>
      </c>
      <c r="D29" s="45">
        <v>1694</v>
      </c>
      <c r="E29" s="44">
        <f t="shared" si="0"/>
        <v>1694</v>
      </c>
      <c r="F29" s="46">
        <v>1701.5</v>
      </c>
      <c r="G29" s="45">
        <v>1701.5</v>
      </c>
      <c r="H29" s="44">
        <f t="shared" si="1"/>
        <v>1701.5</v>
      </c>
      <c r="I29" s="46">
        <v>1737</v>
      </c>
      <c r="J29" s="45">
        <v>1737</v>
      </c>
      <c r="K29" s="44">
        <f t="shared" si="2"/>
        <v>1737</v>
      </c>
      <c r="L29" s="46">
        <v>1754.5</v>
      </c>
      <c r="M29" s="45">
        <v>1754.5</v>
      </c>
      <c r="N29" s="44">
        <f t="shared" si="3"/>
        <v>1754.5</v>
      </c>
      <c r="O29" s="46">
        <v>1769.5</v>
      </c>
      <c r="P29" s="45">
        <v>1769.5</v>
      </c>
      <c r="Q29" s="44">
        <f t="shared" si="4"/>
        <v>1769.5</v>
      </c>
      <c r="R29" s="52">
        <v>1694</v>
      </c>
      <c r="S29" s="51">
        <v>1.2427999999999999</v>
      </c>
      <c r="T29" s="51">
        <v>1.1061000000000001</v>
      </c>
      <c r="U29" s="50">
        <v>107.99</v>
      </c>
      <c r="V29" s="43">
        <v>1363.05</v>
      </c>
      <c r="W29" s="43">
        <v>1366.89</v>
      </c>
      <c r="X29" s="49">
        <f t="shared" si="5"/>
        <v>1531.5070970075037</v>
      </c>
      <c r="Y29" s="48">
        <v>1.2447999999999999</v>
      </c>
    </row>
    <row r="30" spans="2:25" x14ac:dyDescent="0.2">
      <c r="B30" s="47">
        <v>43921</v>
      </c>
      <c r="C30" s="46">
        <v>1712</v>
      </c>
      <c r="D30" s="45">
        <v>1712</v>
      </c>
      <c r="E30" s="44">
        <f t="shared" si="0"/>
        <v>1712</v>
      </c>
      <c r="F30" s="46">
        <v>1718.5</v>
      </c>
      <c r="G30" s="45">
        <v>1718.5</v>
      </c>
      <c r="H30" s="44">
        <f t="shared" si="1"/>
        <v>1718.5</v>
      </c>
      <c r="I30" s="46">
        <v>1754</v>
      </c>
      <c r="J30" s="45">
        <v>1754</v>
      </c>
      <c r="K30" s="44">
        <f t="shared" si="2"/>
        <v>1754</v>
      </c>
      <c r="L30" s="46">
        <v>1774</v>
      </c>
      <c r="M30" s="45">
        <v>1774</v>
      </c>
      <c r="N30" s="44">
        <f t="shared" si="3"/>
        <v>1774</v>
      </c>
      <c r="O30" s="46">
        <v>1789</v>
      </c>
      <c r="P30" s="45">
        <v>1789</v>
      </c>
      <c r="Q30" s="44">
        <f t="shared" si="4"/>
        <v>1789</v>
      </c>
      <c r="R30" s="52">
        <v>1712</v>
      </c>
      <c r="S30" s="51">
        <v>1.2351000000000001</v>
      </c>
      <c r="T30" s="51">
        <v>1.0952999999999999</v>
      </c>
      <c r="U30" s="50">
        <v>108.57</v>
      </c>
      <c r="V30" s="43">
        <v>1386.12</v>
      </c>
      <c r="W30" s="43">
        <v>1389.14</v>
      </c>
      <c r="X30" s="49">
        <f t="shared" si="5"/>
        <v>1563.0420889254087</v>
      </c>
      <c r="Y30" s="48">
        <v>1.2371000000000001</v>
      </c>
    </row>
    <row r="31" spans="2:25" s="10" customFormat="1" x14ac:dyDescent="0.2">
      <c r="B31" s="42" t="s">
        <v>11</v>
      </c>
      <c r="C31" s="41">
        <f>ROUND(AVERAGE(C9:C30),2)</f>
        <v>1743.64</v>
      </c>
      <c r="D31" s="40">
        <f>ROUND(AVERAGE(D9:D30),2)</f>
        <v>1744.64</v>
      </c>
      <c r="E31" s="39">
        <f>ROUND(AVERAGE(C31:D31),2)</f>
        <v>1744.14</v>
      </c>
      <c r="F31" s="41">
        <f>ROUND(AVERAGE(F9:F30),2)</f>
        <v>1738.91</v>
      </c>
      <c r="G31" s="40">
        <f>ROUND(AVERAGE(G9:G30),2)</f>
        <v>1740.32</v>
      </c>
      <c r="H31" s="39">
        <f>ROUND(AVERAGE(F31:G31),2)</f>
        <v>1739.62</v>
      </c>
      <c r="I31" s="41">
        <f>ROUND(AVERAGE(I9:I30),2)</f>
        <v>1772.14</v>
      </c>
      <c r="J31" s="40">
        <f>ROUND(AVERAGE(J9:J30),2)</f>
        <v>1775.55</v>
      </c>
      <c r="K31" s="39">
        <f>ROUND(AVERAGE(I31:J31),2)</f>
        <v>1773.85</v>
      </c>
      <c r="L31" s="41">
        <f>ROUND(AVERAGE(L9:L30),2)</f>
        <v>1789.82</v>
      </c>
      <c r="M31" s="40">
        <f>ROUND(AVERAGE(M9:M30),2)</f>
        <v>1793.23</v>
      </c>
      <c r="N31" s="39">
        <f>ROUND(AVERAGE(L31:M31),2)</f>
        <v>1791.53</v>
      </c>
      <c r="O31" s="41">
        <f>ROUND(AVERAGE(O9:O30),2)</f>
        <v>1804.82</v>
      </c>
      <c r="P31" s="40">
        <f>ROUND(AVERAGE(P9:P30),2)</f>
        <v>1808.23</v>
      </c>
      <c r="Q31" s="39">
        <f>ROUND(AVERAGE(O31:P31),2)</f>
        <v>1806.53</v>
      </c>
      <c r="R31" s="38">
        <f>ROUND(AVERAGE(R9:R30),2)</f>
        <v>1744.64</v>
      </c>
      <c r="S31" s="37">
        <f>ROUND(AVERAGE(S9:S30),4)</f>
        <v>1.2377</v>
      </c>
      <c r="T31" s="36">
        <f>ROUND(AVERAGE(T9:T30),4)</f>
        <v>1.1060000000000001</v>
      </c>
      <c r="U31" s="175">
        <f>ROUND(AVERAGE(U9:U30),2)</f>
        <v>107.51</v>
      </c>
      <c r="V31" s="35">
        <f>AVERAGE(V9:V30)</f>
        <v>1408.7331818181819</v>
      </c>
      <c r="W31" s="35">
        <f>AVERAGE(W9:W30)</f>
        <v>1403.9077272727272</v>
      </c>
      <c r="X31" s="35">
        <f>AVERAGE(X9:X30)</f>
        <v>1576.6476413555697</v>
      </c>
      <c r="Y31" s="34">
        <f>AVERAGE(Y9:Y30)</f>
        <v>1.2394318181818182</v>
      </c>
    </row>
    <row r="32" spans="2:25" s="5" customFormat="1" x14ac:dyDescent="0.2">
      <c r="B32" s="33" t="s">
        <v>12</v>
      </c>
      <c r="C32" s="32">
        <f t="shared" ref="C32:Y32" si="6">MAX(C9:C30)</f>
        <v>1904</v>
      </c>
      <c r="D32" s="31">
        <f t="shared" si="6"/>
        <v>1905</v>
      </c>
      <c r="E32" s="30">
        <f t="shared" si="6"/>
        <v>1904.5</v>
      </c>
      <c r="F32" s="32">
        <f t="shared" si="6"/>
        <v>1863</v>
      </c>
      <c r="G32" s="31">
        <f t="shared" si="6"/>
        <v>1865</v>
      </c>
      <c r="H32" s="30">
        <f t="shared" si="6"/>
        <v>1864</v>
      </c>
      <c r="I32" s="32">
        <f t="shared" si="6"/>
        <v>1892</v>
      </c>
      <c r="J32" s="31">
        <f t="shared" si="6"/>
        <v>1897</v>
      </c>
      <c r="K32" s="30">
        <f t="shared" si="6"/>
        <v>1894.5</v>
      </c>
      <c r="L32" s="32">
        <f t="shared" si="6"/>
        <v>1910</v>
      </c>
      <c r="M32" s="31">
        <f t="shared" si="6"/>
        <v>1915</v>
      </c>
      <c r="N32" s="30">
        <f t="shared" si="6"/>
        <v>1912.5</v>
      </c>
      <c r="O32" s="32">
        <f t="shared" si="6"/>
        <v>1925</v>
      </c>
      <c r="P32" s="31">
        <f t="shared" si="6"/>
        <v>1930</v>
      </c>
      <c r="Q32" s="30">
        <f t="shared" si="6"/>
        <v>1927.5</v>
      </c>
      <c r="R32" s="29">
        <f t="shared" si="6"/>
        <v>1905</v>
      </c>
      <c r="S32" s="28">
        <f t="shared" si="6"/>
        <v>1.3102</v>
      </c>
      <c r="T32" s="27">
        <f t="shared" si="6"/>
        <v>1.1435</v>
      </c>
      <c r="U32" s="26">
        <f t="shared" si="6"/>
        <v>111.35</v>
      </c>
      <c r="V32" s="25">
        <f t="shared" si="6"/>
        <v>1493.77</v>
      </c>
      <c r="W32" s="25">
        <f t="shared" si="6"/>
        <v>1459.31</v>
      </c>
      <c r="X32" s="25">
        <f t="shared" si="6"/>
        <v>1714.2085845406282</v>
      </c>
      <c r="Y32" s="24">
        <f t="shared" si="6"/>
        <v>1.3102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1589</v>
      </c>
      <c r="D33" s="21">
        <f t="shared" si="7"/>
        <v>1589</v>
      </c>
      <c r="E33" s="20">
        <f t="shared" si="7"/>
        <v>1589</v>
      </c>
      <c r="F33" s="22">
        <f t="shared" si="7"/>
        <v>1607</v>
      </c>
      <c r="G33" s="21">
        <f t="shared" si="7"/>
        <v>1607</v>
      </c>
      <c r="H33" s="20">
        <f t="shared" si="7"/>
        <v>1607</v>
      </c>
      <c r="I33" s="22">
        <f t="shared" si="7"/>
        <v>1645</v>
      </c>
      <c r="J33" s="21">
        <f t="shared" si="7"/>
        <v>1645</v>
      </c>
      <c r="K33" s="20">
        <f t="shared" si="7"/>
        <v>1645</v>
      </c>
      <c r="L33" s="22">
        <f t="shared" si="7"/>
        <v>1662.5</v>
      </c>
      <c r="M33" s="21">
        <f t="shared" si="7"/>
        <v>1662.5</v>
      </c>
      <c r="N33" s="20">
        <f t="shared" si="7"/>
        <v>1662.5</v>
      </c>
      <c r="O33" s="22">
        <f t="shared" si="7"/>
        <v>1677.5</v>
      </c>
      <c r="P33" s="21">
        <f t="shared" si="7"/>
        <v>1677.5</v>
      </c>
      <c r="Q33" s="20">
        <f t="shared" si="7"/>
        <v>1677.5</v>
      </c>
      <c r="R33" s="19">
        <f t="shared" si="7"/>
        <v>1589</v>
      </c>
      <c r="S33" s="18">
        <f t="shared" si="7"/>
        <v>1.1625000000000001</v>
      </c>
      <c r="T33" s="17">
        <f t="shared" si="7"/>
        <v>1.0709</v>
      </c>
      <c r="U33" s="16">
        <f t="shared" si="7"/>
        <v>102.3</v>
      </c>
      <c r="V33" s="15">
        <f t="shared" si="7"/>
        <v>1342.29</v>
      </c>
      <c r="W33" s="15">
        <f t="shared" si="7"/>
        <v>1355.2</v>
      </c>
      <c r="X33" s="15">
        <f t="shared" si="7"/>
        <v>1468.5767097966727</v>
      </c>
      <c r="Y33" s="14">
        <f t="shared" si="7"/>
        <v>1.1625000000000001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6"/>
  <sheetViews>
    <sheetView zoomScale="120" zoomScaleNormal="120"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43892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43892</v>
      </c>
      <c r="C9" s="46">
        <v>16420</v>
      </c>
      <c r="D9" s="45">
        <v>16425</v>
      </c>
      <c r="E9" s="44">
        <f t="shared" ref="E9:E30" si="0">AVERAGE(C9:D9)</f>
        <v>16422.5</v>
      </c>
      <c r="F9" s="46">
        <v>16400</v>
      </c>
      <c r="G9" s="45">
        <v>16405</v>
      </c>
      <c r="H9" s="44">
        <f t="shared" ref="H9:H30" si="1">AVERAGE(F9:G9)</f>
        <v>16402.5</v>
      </c>
      <c r="I9" s="46">
        <v>16295</v>
      </c>
      <c r="J9" s="45">
        <v>16345</v>
      </c>
      <c r="K9" s="44">
        <f t="shared" ref="K9:K30" si="2">AVERAGE(I9:J9)</f>
        <v>16320</v>
      </c>
      <c r="L9" s="52">
        <v>16425</v>
      </c>
      <c r="M9" s="51">
        <v>1.2753000000000001</v>
      </c>
      <c r="N9" s="53">
        <v>1.1113</v>
      </c>
      <c r="O9" s="50">
        <v>107.8</v>
      </c>
      <c r="P9" s="43">
        <v>12879.32</v>
      </c>
      <c r="Q9" s="43">
        <v>12836.46</v>
      </c>
      <c r="R9" s="49">
        <f t="shared" ref="R9:R30" si="3">L9/N9</f>
        <v>14779.987402141636</v>
      </c>
      <c r="S9" s="48">
        <v>1.278</v>
      </c>
    </row>
    <row r="10" spans="1:19" x14ac:dyDescent="0.2">
      <c r="B10" s="47">
        <v>43893</v>
      </c>
      <c r="C10" s="46">
        <v>16725</v>
      </c>
      <c r="D10" s="45">
        <v>16750</v>
      </c>
      <c r="E10" s="44">
        <f t="shared" si="0"/>
        <v>16737.5</v>
      </c>
      <c r="F10" s="46">
        <v>16750</v>
      </c>
      <c r="G10" s="45">
        <v>16760</v>
      </c>
      <c r="H10" s="44">
        <f t="shared" si="1"/>
        <v>16755</v>
      </c>
      <c r="I10" s="46">
        <v>16640</v>
      </c>
      <c r="J10" s="45">
        <v>16690</v>
      </c>
      <c r="K10" s="44">
        <f t="shared" si="2"/>
        <v>16665</v>
      </c>
      <c r="L10" s="52">
        <v>16750</v>
      </c>
      <c r="M10" s="51">
        <v>1.2778</v>
      </c>
      <c r="N10" s="51">
        <v>1.1117999999999999</v>
      </c>
      <c r="O10" s="50">
        <v>107.73</v>
      </c>
      <c r="P10" s="43">
        <v>13108.47</v>
      </c>
      <c r="Q10" s="43">
        <v>13090.68</v>
      </c>
      <c r="R10" s="49">
        <f t="shared" si="3"/>
        <v>15065.659291239434</v>
      </c>
      <c r="S10" s="48">
        <v>1.2803</v>
      </c>
    </row>
    <row r="11" spans="1:19" x14ac:dyDescent="0.2">
      <c r="B11" s="47">
        <v>43894</v>
      </c>
      <c r="C11" s="46">
        <v>16975</v>
      </c>
      <c r="D11" s="45">
        <v>17000</v>
      </c>
      <c r="E11" s="44">
        <f t="shared" si="0"/>
        <v>16987.5</v>
      </c>
      <c r="F11" s="46">
        <v>16975</v>
      </c>
      <c r="G11" s="45">
        <v>17025</v>
      </c>
      <c r="H11" s="44">
        <f t="shared" si="1"/>
        <v>17000</v>
      </c>
      <c r="I11" s="46">
        <v>16890</v>
      </c>
      <c r="J11" s="45">
        <v>16940</v>
      </c>
      <c r="K11" s="44">
        <f t="shared" si="2"/>
        <v>16915</v>
      </c>
      <c r="L11" s="52">
        <v>17000</v>
      </c>
      <c r="M11" s="51">
        <v>1.28</v>
      </c>
      <c r="N11" s="51">
        <v>1.1113</v>
      </c>
      <c r="O11" s="50">
        <v>107.55</v>
      </c>
      <c r="P11" s="43">
        <v>13281.25</v>
      </c>
      <c r="Q11" s="43">
        <v>13280.03</v>
      </c>
      <c r="R11" s="49">
        <f t="shared" si="3"/>
        <v>15297.399442094844</v>
      </c>
      <c r="S11" s="48">
        <v>1.282</v>
      </c>
    </row>
    <row r="12" spans="1:19" x14ac:dyDescent="0.2">
      <c r="B12" s="47">
        <v>43895</v>
      </c>
      <c r="C12" s="46">
        <v>16975</v>
      </c>
      <c r="D12" s="45">
        <v>17000</v>
      </c>
      <c r="E12" s="44">
        <f t="shared" si="0"/>
        <v>16987.5</v>
      </c>
      <c r="F12" s="46">
        <v>16975</v>
      </c>
      <c r="G12" s="45">
        <v>17000</v>
      </c>
      <c r="H12" s="44">
        <f t="shared" si="1"/>
        <v>16987.5</v>
      </c>
      <c r="I12" s="46">
        <v>16880</v>
      </c>
      <c r="J12" s="45">
        <v>16930</v>
      </c>
      <c r="K12" s="44">
        <f t="shared" si="2"/>
        <v>16905</v>
      </c>
      <c r="L12" s="52">
        <v>17000</v>
      </c>
      <c r="M12" s="51">
        <v>1.2914000000000001</v>
      </c>
      <c r="N12" s="51">
        <v>1.1189</v>
      </c>
      <c r="O12" s="50">
        <v>106.92</v>
      </c>
      <c r="P12" s="43">
        <v>13164.01</v>
      </c>
      <c r="Q12" s="43">
        <v>13145.69</v>
      </c>
      <c r="R12" s="49">
        <f t="shared" si="3"/>
        <v>15193.493609795334</v>
      </c>
      <c r="S12" s="48">
        <v>1.2931999999999999</v>
      </c>
    </row>
    <row r="13" spans="1:19" x14ac:dyDescent="0.2">
      <c r="B13" s="47">
        <v>43896</v>
      </c>
      <c r="C13" s="46">
        <v>16905</v>
      </c>
      <c r="D13" s="45">
        <v>16910</v>
      </c>
      <c r="E13" s="44">
        <f t="shared" si="0"/>
        <v>16907.5</v>
      </c>
      <c r="F13" s="46">
        <v>16900</v>
      </c>
      <c r="G13" s="45">
        <v>16905</v>
      </c>
      <c r="H13" s="44">
        <f t="shared" si="1"/>
        <v>16902.5</v>
      </c>
      <c r="I13" s="46">
        <v>16795</v>
      </c>
      <c r="J13" s="45">
        <v>16845</v>
      </c>
      <c r="K13" s="44">
        <f t="shared" si="2"/>
        <v>16820</v>
      </c>
      <c r="L13" s="52">
        <v>16910</v>
      </c>
      <c r="M13" s="51">
        <v>1.2994000000000001</v>
      </c>
      <c r="N13" s="51">
        <v>1.1315999999999999</v>
      </c>
      <c r="O13" s="50">
        <v>105.19</v>
      </c>
      <c r="P13" s="43">
        <v>13013.7</v>
      </c>
      <c r="Q13" s="43">
        <v>12993.85</v>
      </c>
      <c r="R13" s="49">
        <f t="shared" si="3"/>
        <v>14943.442912689998</v>
      </c>
      <c r="S13" s="48">
        <v>1.3009999999999999</v>
      </c>
    </row>
    <row r="14" spans="1:19" x14ac:dyDescent="0.2">
      <c r="B14" s="47">
        <v>43899</v>
      </c>
      <c r="C14" s="46">
        <v>16555</v>
      </c>
      <c r="D14" s="45">
        <v>16560</v>
      </c>
      <c r="E14" s="44">
        <f t="shared" si="0"/>
        <v>16557.5</v>
      </c>
      <c r="F14" s="46">
        <v>16525</v>
      </c>
      <c r="G14" s="45">
        <v>16575</v>
      </c>
      <c r="H14" s="44">
        <f t="shared" si="1"/>
        <v>16550</v>
      </c>
      <c r="I14" s="46">
        <v>16440</v>
      </c>
      <c r="J14" s="45">
        <v>16490</v>
      </c>
      <c r="K14" s="44">
        <f t="shared" si="2"/>
        <v>16465</v>
      </c>
      <c r="L14" s="52">
        <v>16560</v>
      </c>
      <c r="M14" s="51">
        <v>1.3102</v>
      </c>
      <c r="N14" s="51">
        <v>1.1435</v>
      </c>
      <c r="O14" s="50">
        <v>102.3</v>
      </c>
      <c r="P14" s="43">
        <v>12639.29</v>
      </c>
      <c r="Q14" s="43">
        <v>12650.74</v>
      </c>
      <c r="R14" s="49">
        <f t="shared" si="3"/>
        <v>14481.853957149104</v>
      </c>
      <c r="S14" s="48">
        <v>1.3102</v>
      </c>
    </row>
    <row r="15" spans="1:19" x14ac:dyDescent="0.2">
      <c r="B15" s="47">
        <v>43900</v>
      </c>
      <c r="C15" s="46">
        <v>16800</v>
      </c>
      <c r="D15" s="45">
        <v>16805</v>
      </c>
      <c r="E15" s="44">
        <f t="shared" si="0"/>
        <v>16802.5</v>
      </c>
      <c r="F15" s="46">
        <v>16850</v>
      </c>
      <c r="G15" s="45">
        <v>16950</v>
      </c>
      <c r="H15" s="44">
        <f t="shared" si="1"/>
        <v>16900</v>
      </c>
      <c r="I15" s="46">
        <v>16795</v>
      </c>
      <c r="J15" s="45">
        <v>16845</v>
      </c>
      <c r="K15" s="44">
        <f t="shared" si="2"/>
        <v>16820</v>
      </c>
      <c r="L15" s="52">
        <v>16805</v>
      </c>
      <c r="M15" s="51">
        <v>1.3024</v>
      </c>
      <c r="N15" s="51">
        <v>1.1379999999999999</v>
      </c>
      <c r="O15" s="50">
        <v>104.24</v>
      </c>
      <c r="P15" s="43">
        <v>12903.1</v>
      </c>
      <c r="Q15" s="43">
        <v>13014.43</v>
      </c>
      <c r="R15" s="49">
        <f t="shared" si="3"/>
        <v>14767.135325131812</v>
      </c>
      <c r="S15" s="48">
        <v>1.3024</v>
      </c>
    </row>
    <row r="16" spans="1:19" x14ac:dyDescent="0.2">
      <c r="B16" s="47">
        <v>43901</v>
      </c>
      <c r="C16" s="46">
        <v>16675</v>
      </c>
      <c r="D16" s="45">
        <v>16725</v>
      </c>
      <c r="E16" s="44">
        <f t="shared" si="0"/>
        <v>16700</v>
      </c>
      <c r="F16" s="46">
        <v>16725</v>
      </c>
      <c r="G16" s="45">
        <v>16750</v>
      </c>
      <c r="H16" s="44">
        <f t="shared" si="1"/>
        <v>16737.5</v>
      </c>
      <c r="I16" s="46">
        <v>16630</v>
      </c>
      <c r="J16" s="45">
        <v>16680</v>
      </c>
      <c r="K16" s="44">
        <f t="shared" si="2"/>
        <v>16655</v>
      </c>
      <c r="L16" s="52">
        <v>16725</v>
      </c>
      <c r="M16" s="51">
        <v>1.2941</v>
      </c>
      <c r="N16" s="51">
        <v>1.1339999999999999</v>
      </c>
      <c r="O16" s="50">
        <v>104.45</v>
      </c>
      <c r="P16" s="43">
        <v>12924.04</v>
      </c>
      <c r="Q16" s="43">
        <v>12931.37</v>
      </c>
      <c r="R16" s="49">
        <f t="shared" si="3"/>
        <v>14748.67724867725</v>
      </c>
      <c r="S16" s="48">
        <v>1.2952999999999999</v>
      </c>
    </row>
    <row r="17" spans="2:19" x14ac:dyDescent="0.2">
      <c r="B17" s="47">
        <v>43902</v>
      </c>
      <c r="C17" s="46">
        <v>16230</v>
      </c>
      <c r="D17" s="45">
        <v>16235</v>
      </c>
      <c r="E17" s="44">
        <f t="shared" si="0"/>
        <v>16232.5</v>
      </c>
      <c r="F17" s="46">
        <v>16200</v>
      </c>
      <c r="G17" s="45">
        <v>16225</v>
      </c>
      <c r="H17" s="44">
        <f t="shared" si="1"/>
        <v>16212.5</v>
      </c>
      <c r="I17" s="46">
        <v>16105</v>
      </c>
      <c r="J17" s="45">
        <v>16155</v>
      </c>
      <c r="K17" s="44">
        <f t="shared" si="2"/>
        <v>16130</v>
      </c>
      <c r="L17" s="52">
        <v>16235</v>
      </c>
      <c r="M17" s="51">
        <v>1.2662</v>
      </c>
      <c r="N17" s="51">
        <v>1.1214999999999999</v>
      </c>
      <c r="O17" s="50">
        <v>104.13</v>
      </c>
      <c r="P17" s="43">
        <v>12821.83</v>
      </c>
      <c r="Q17" s="43">
        <v>12813.93</v>
      </c>
      <c r="R17" s="49">
        <f t="shared" si="3"/>
        <v>14476.148016049934</v>
      </c>
      <c r="S17" s="48">
        <v>1.2662</v>
      </c>
    </row>
    <row r="18" spans="2:19" x14ac:dyDescent="0.2">
      <c r="B18" s="47">
        <v>43903</v>
      </c>
      <c r="C18" s="46">
        <v>16375</v>
      </c>
      <c r="D18" s="45">
        <v>16400</v>
      </c>
      <c r="E18" s="44">
        <f t="shared" si="0"/>
        <v>16387.5</v>
      </c>
      <c r="F18" s="46">
        <v>16350</v>
      </c>
      <c r="G18" s="45">
        <v>16400</v>
      </c>
      <c r="H18" s="44">
        <f t="shared" si="1"/>
        <v>16375</v>
      </c>
      <c r="I18" s="46">
        <v>16270</v>
      </c>
      <c r="J18" s="45">
        <v>16320</v>
      </c>
      <c r="K18" s="44">
        <f t="shared" si="2"/>
        <v>16295</v>
      </c>
      <c r="L18" s="52">
        <v>16400</v>
      </c>
      <c r="M18" s="51">
        <v>1.2468999999999999</v>
      </c>
      <c r="N18" s="51">
        <v>1.111</v>
      </c>
      <c r="O18" s="50">
        <v>107.31</v>
      </c>
      <c r="P18" s="43">
        <v>13152.62</v>
      </c>
      <c r="Q18" s="43">
        <v>13130.5</v>
      </c>
      <c r="R18" s="49">
        <f t="shared" si="3"/>
        <v>14761.476147614761</v>
      </c>
      <c r="S18" s="48">
        <v>1.2490000000000001</v>
      </c>
    </row>
    <row r="19" spans="2:19" x14ac:dyDescent="0.2">
      <c r="B19" s="47">
        <v>43906</v>
      </c>
      <c r="C19" s="46">
        <v>15375</v>
      </c>
      <c r="D19" s="45">
        <v>15400</v>
      </c>
      <c r="E19" s="44">
        <f t="shared" si="0"/>
        <v>15387.5</v>
      </c>
      <c r="F19" s="46">
        <v>15425</v>
      </c>
      <c r="G19" s="45">
        <v>15450</v>
      </c>
      <c r="H19" s="44">
        <f t="shared" si="1"/>
        <v>15437.5</v>
      </c>
      <c r="I19" s="46">
        <v>15330</v>
      </c>
      <c r="J19" s="45">
        <v>15380</v>
      </c>
      <c r="K19" s="44">
        <f t="shared" si="2"/>
        <v>15355</v>
      </c>
      <c r="L19" s="52">
        <v>15400</v>
      </c>
      <c r="M19" s="51">
        <v>1.2274</v>
      </c>
      <c r="N19" s="51">
        <v>1.1166</v>
      </c>
      <c r="O19" s="50">
        <v>105.29</v>
      </c>
      <c r="P19" s="43">
        <v>12546.85</v>
      </c>
      <c r="Q19" s="43">
        <v>12563.02</v>
      </c>
      <c r="R19" s="49">
        <f t="shared" si="3"/>
        <v>13791.868171234102</v>
      </c>
      <c r="S19" s="48">
        <v>1.2298</v>
      </c>
    </row>
    <row r="20" spans="2:19" x14ac:dyDescent="0.2">
      <c r="B20" s="47">
        <v>43907</v>
      </c>
      <c r="C20" s="46">
        <v>14540</v>
      </c>
      <c r="D20" s="45">
        <v>14545</v>
      </c>
      <c r="E20" s="44">
        <f t="shared" si="0"/>
        <v>14542.5</v>
      </c>
      <c r="F20" s="46">
        <v>14425</v>
      </c>
      <c r="G20" s="45">
        <v>14475</v>
      </c>
      <c r="H20" s="44">
        <f t="shared" si="1"/>
        <v>14450</v>
      </c>
      <c r="I20" s="46">
        <v>14330</v>
      </c>
      <c r="J20" s="45">
        <v>14380</v>
      </c>
      <c r="K20" s="44">
        <f t="shared" si="2"/>
        <v>14355</v>
      </c>
      <c r="L20" s="52">
        <v>14545</v>
      </c>
      <c r="M20" s="51">
        <v>1.2092000000000001</v>
      </c>
      <c r="N20" s="51">
        <v>1.0989</v>
      </c>
      <c r="O20" s="50">
        <v>107.06</v>
      </c>
      <c r="P20" s="43">
        <v>12028.61</v>
      </c>
      <c r="Q20" s="43">
        <v>11936.18</v>
      </c>
      <c r="R20" s="49">
        <f t="shared" si="3"/>
        <v>13235.963235963236</v>
      </c>
      <c r="S20" s="48">
        <v>1.2126999999999999</v>
      </c>
    </row>
    <row r="21" spans="2:19" x14ac:dyDescent="0.2">
      <c r="B21" s="47">
        <v>43908</v>
      </c>
      <c r="C21" s="46">
        <v>14050</v>
      </c>
      <c r="D21" s="45">
        <v>14075</v>
      </c>
      <c r="E21" s="44">
        <f t="shared" si="0"/>
        <v>14062.5</v>
      </c>
      <c r="F21" s="46">
        <v>14110</v>
      </c>
      <c r="G21" s="45">
        <v>14120</v>
      </c>
      <c r="H21" s="44">
        <f t="shared" si="1"/>
        <v>14115</v>
      </c>
      <c r="I21" s="46">
        <v>13990</v>
      </c>
      <c r="J21" s="45">
        <v>14040</v>
      </c>
      <c r="K21" s="44">
        <f t="shared" si="2"/>
        <v>14015</v>
      </c>
      <c r="L21" s="52">
        <v>14075</v>
      </c>
      <c r="M21" s="51">
        <v>1.1843999999999999</v>
      </c>
      <c r="N21" s="51">
        <v>1.0931</v>
      </c>
      <c r="O21" s="50">
        <v>107.64</v>
      </c>
      <c r="P21" s="43">
        <v>11883.65</v>
      </c>
      <c r="Q21" s="43">
        <v>11901.55</v>
      </c>
      <c r="R21" s="49">
        <f t="shared" si="3"/>
        <v>12876.223584301528</v>
      </c>
      <c r="S21" s="48">
        <v>1.1863999999999999</v>
      </c>
    </row>
    <row r="22" spans="2:19" x14ac:dyDescent="0.2">
      <c r="B22" s="47">
        <v>43909</v>
      </c>
      <c r="C22" s="46">
        <v>13375</v>
      </c>
      <c r="D22" s="45">
        <v>13400</v>
      </c>
      <c r="E22" s="44">
        <f t="shared" si="0"/>
        <v>13387.5</v>
      </c>
      <c r="F22" s="46">
        <v>13375</v>
      </c>
      <c r="G22" s="45">
        <v>13400</v>
      </c>
      <c r="H22" s="44">
        <f t="shared" si="1"/>
        <v>13387.5</v>
      </c>
      <c r="I22" s="46">
        <v>13265</v>
      </c>
      <c r="J22" s="45">
        <v>13315</v>
      </c>
      <c r="K22" s="44">
        <f t="shared" si="2"/>
        <v>13290</v>
      </c>
      <c r="L22" s="52">
        <v>13400</v>
      </c>
      <c r="M22" s="51">
        <v>1.1625000000000001</v>
      </c>
      <c r="N22" s="51">
        <v>1.0799000000000001</v>
      </c>
      <c r="O22" s="50">
        <v>109.79</v>
      </c>
      <c r="P22" s="43">
        <v>11526.88</v>
      </c>
      <c r="Q22" s="43">
        <v>11526.88</v>
      </c>
      <c r="R22" s="49">
        <f t="shared" si="3"/>
        <v>12408.556347809981</v>
      </c>
      <c r="S22" s="48">
        <v>1.1625000000000001</v>
      </c>
    </row>
    <row r="23" spans="2:19" x14ac:dyDescent="0.2">
      <c r="B23" s="47">
        <v>43910</v>
      </c>
      <c r="C23" s="46">
        <v>14475</v>
      </c>
      <c r="D23" s="45">
        <v>14500</v>
      </c>
      <c r="E23" s="44">
        <f t="shared" si="0"/>
        <v>14487.5</v>
      </c>
      <c r="F23" s="46">
        <v>14475</v>
      </c>
      <c r="G23" s="45">
        <v>14525</v>
      </c>
      <c r="H23" s="44">
        <f t="shared" si="1"/>
        <v>14500</v>
      </c>
      <c r="I23" s="46">
        <v>14375</v>
      </c>
      <c r="J23" s="45">
        <v>14425</v>
      </c>
      <c r="K23" s="44">
        <f t="shared" si="2"/>
        <v>14400</v>
      </c>
      <c r="L23" s="52">
        <v>14500</v>
      </c>
      <c r="M23" s="51">
        <v>1.1779999999999999</v>
      </c>
      <c r="N23" s="51">
        <v>1.0709</v>
      </c>
      <c r="O23" s="50">
        <v>110.37</v>
      </c>
      <c r="P23" s="43">
        <v>12309</v>
      </c>
      <c r="Q23" s="43">
        <v>12305.15</v>
      </c>
      <c r="R23" s="49">
        <f t="shared" si="3"/>
        <v>13540.013073116072</v>
      </c>
      <c r="S23" s="48">
        <v>1.1803999999999999</v>
      </c>
    </row>
    <row r="24" spans="2:19" x14ac:dyDescent="0.2">
      <c r="B24" s="47">
        <v>43913</v>
      </c>
      <c r="C24" s="46">
        <v>13975</v>
      </c>
      <c r="D24" s="45">
        <v>13975</v>
      </c>
      <c r="E24" s="44">
        <f t="shared" si="0"/>
        <v>13975</v>
      </c>
      <c r="F24" s="46">
        <v>13700</v>
      </c>
      <c r="G24" s="45">
        <v>13700</v>
      </c>
      <c r="H24" s="44">
        <f t="shared" si="1"/>
        <v>13700</v>
      </c>
      <c r="I24" s="46">
        <v>13597</v>
      </c>
      <c r="J24" s="45">
        <v>13597</v>
      </c>
      <c r="K24" s="44">
        <f t="shared" si="2"/>
        <v>13597</v>
      </c>
      <c r="L24" s="52">
        <v>13975</v>
      </c>
      <c r="M24" s="51">
        <v>1.1633</v>
      </c>
      <c r="N24" s="51">
        <v>1.0780000000000001</v>
      </c>
      <c r="O24" s="50">
        <v>110.23</v>
      </c>
      <c r="P24" s="43">
        <v>12013.24</v>
      </c>
      <c r="Q24" s="43">
        <v>11757.64</v>
      </c>
      <c r="R24" s="49">
        <f t="shared" si="3"/>
        <v>12963.82189239332</v>
      </c>
      <c r="S24" s="48">
        <v>1.1652</v>
      </c>
    </row>
    <row r="25" spans="2:19" x14ac:dyDescent="0.2">
      <c r="B25" s="47">
        <v>43914</v>
      </c>
      <c r="C25" s="46">
        <v>13450</v>
      </c>
      <c r="D25" s="45">
        <v>13450</v>
      </c>
      <c r="E25" s="44">
        <f t="shared" si="0"/>
        <v>13450</v>
      </c>
      <c r="F25" s="46">
        <v>13385</v>
      </c>
      <c r="G25" s="45">
        <v>13385</v>
      </c>
      <c r="H25" s="44">
        <f t="shared" si="1"/>
        <v>13385</v>
      </c>
      <c r="I25" s="46">
        <v>13255</v>
      </c>
      <c r="J25" s="45">
        <v>13255</v>
      </c>
      <c r="K25" s="44">
        <f t="shared" si="2"/>
        <v>13255</v>
      </c>
      <c r="L25" s="52">
        <v>13450</v>
      </c>
      <c r="M25" s="51">
        <v>1.1753</v>
      </c>
      <c r="N25" s="51">
        <v>1.0822000000000001</v>
      </c>
      <c r="O25" s="50">
        <v>110.82</v>
      </c>
      <c r="P25" s="43">
        <v>11443.89</v>
      </c>
      <c r="Q25" s="43">
        <v>11367.3</v>
      </c>
      <c r="R25" s="49">
        <f t="shared" si="3"/>
        <v>12428.386619848456</v>
      </c>
      <c r="S25" s="48">
        <v>1.1775</v>
      </c>
    </row>
    <row r="26" spans="2:19" x14ac:dyDescent="0.2">
      <c r="B26" s="47">
        <v>43915</v>
      </c>
      <c r="C26" s="46">
        <v>13720</v>
      </c>
      <c r="D26" s="45">
        <v>13720</v>
      </c>
      <c r="E26" s="44">
        <f t="shared" si="0"/>
        <v>13720</v>
      </c>
      <c r="F26" s="46">
        <v>13680</v>
      </c>
      <c r="G26" s="45">
        <v>13680</v>
      </c>
      <c r="H26" s="44">
        <f t="shared" si="1"/>
        <v>13680</v>
      </c>
      <c r="I26" s="46">
        <v>13814</v>
      </c>
      <c r="J26" s="45">
        <v>13814</v>
      </c>
      <c r="K26" s="44">
        <f t="shared" si="2"/>
        <v>13814</v>
      </c>
      <c r="L26" s="52">
        <v>13720</v>
      </c>
      <c r="M26" s="51">
        <v>1.1838</v>
      </c>
      <c r="N26" s="51">
        <v>1.0820000000000001</v>
      </c>
      <c r="O26" s="50">
        <v>111.35</v>
      </c>
      <c r="P26" s="43">
        <v>11589.8</v>
      </c>
      <c r="Q26" s="43">
        <v>11536.52</v>
      </c>
      <c r="R26" s="49">
        <f t="shared" si="3"/>
        <v>12680.221811460258</v>
      </c>
      <c r="S26" s="48">
        <v>1.1858</v>
      </c>
    </row>
    <row r="27" spans="2:19" x14ac:dyDescent="0.2">
      <c r="B27" s="47">
        <v>43916</v>
      </c>
      <c r="C27" s="46">
        <v>14135</v>
      </c>
      <c r="D27" s="45">
        <v>14135</v>
      </c>
      <c r="E27" s="44">
        <f t="shared" si="0"/>
        <v>14135</v>
      </c>
      <c r="F27" s="46">
        <v>14090</v>
      </c>
      <c r="G27" s="45">
        <v>14090</v>
      </c>
      <c r="H27" s="44">
        <f t="shared" si="1"/>
        <v>14090</v>
      </c>
      <c r="I27" s="46">
        <v>13965</v>
      </c>
      <c r="J27" s="45">
        <v>13965</v>
      </c>
      <c r="K27" s="44">
        <f t="shared" si="2"/>
        <v>13965</v>
      </c>
      <c r="L27" s="52">
        <v>14135</v>
      </c>
      <c r="M27" s="51">
        <v>1.1988000000000001</v>
      </c>
      <c r="N27" s="51">
        <v>1.0972</v>
      </c>
      <c r="O27" s="50">
        <v>109.67</v>
      </c>
      <c r="P27" s="43">
        <v>11790.96</v>
      </c>
      <c r="Q27" s="43">
        <v>11734.82</v>
      </c>
      <c r="R27" s="49">
        <f t="shared" si="3"/>
        <v>12882.792562887351</v>
      </c>
      <c r="S27" s="48">
        <v>1.2007000000000001</v>
      </c>
    </row>
    <row r="28" spans="2:19" x14ac:dyDescent="0.2">
      <c r="B28" s="47">
        <v>43917</v>
      </c>
      <c r="C28" s="46">
        <v>14355</v>
      </c>
      <c r="D28" s="45">
        <v>14355</v>
      </c>
      <c r="E28" s="44">
        <f t="shared" si="0"/>
        <v>14355</v>
      </c>
      <c r="F28" s="46">
        <v>14320</v>
      </c>
      <c r="G28" s="45">
        <v>14320</v>
      </c>
      <c r="H28" s="44">
        <f t="shared" si="1"/>
        <v>14320</v>
      </c>
      <c r="I28" s="46">
        <v>14201</v>
      </c>
      <c r="J28" s="45">
        <v>14201</v>
      </c>
      <c r="K28" s="44">
        <f t="shared" si="2"/>
        <v>14201</v>
      </c>
      <c r="L28" s="52">
        <v>14355</v>
      </c>
      <c r="M28" s="51">
        <v>1.2251000000000001</v>
      </c>
      <c r="N28" s="51">
        <v>1.0986</v>
      </c>
      <c r="O28" s="50">
        <v>108.79</v>
      </c>
      <c r="P28" s="43">
        <v>11717.41</v>
      </c>
      <c r="Q28" s="43">
        <v>11670.74</v>
      </c>
      <c r="R28" s="49">
        <f t="shared" si="3"/>
        <v>13066.630256690332</v>
      </c>
      <c r="S28" s="48">
        <v>1.2270000000000001</v>
      </c>
    </row>
    <row r="29" spans="2:19" x14ac:dyDescent="0.2">
      <c r="B29" s="47">
        <v>43920</v>
      </c>
      <c r="C29" s="46">
        <v>14305</v>
      </c>
      <c r="D29" s="45">
        <v>14305</v>
      </c>
      <c r="E29" s="44">
        <f t="shared" si="0"/>
        <v>14305</v>
      </c>
      <c r="F29" s="46">
        <v>14260</v>
      </c>
      <c r="G29" s="45">
        <v>14260</v>
      </c>
      <c r="H29" s="44">
        <f t="shared" si="1"/>
        <v>14260</v>
      </c>
      <c r="I29" s="46">
        <v>14146</v>
      </c>
      <c r="J29" s="45">
        <v>14146</v>
      </c>
      <c r="K29" s="44">
        <f t="shared" si="2"/>
        <v>14146</v>
      </c>
      <c r="L29" s="52">
        <v>14305</v>
      </c>
      <c r="M29" s="51">
        <v>1.2427999999999999</v>
      </c>
      <c r="N29" s="51">
        <v>1.1061000000000001</v>
      </c>
      <c r="O29" s="50">
        <v>107.99</v>
      </c>
      <c r="P29" s="43">
        <v>11510.3</v>
      </c>
      <c r="Q29" s="43">
        <v>11455.66</v>
      </c>
      <c r="R29" s="49">
        <f t="shared" si="3"/>
        <v>12932.827049995478</v>
      </c>
      <c r="S29" s="48">
        <v>1.2447999999999999</v>
      </c>
    </row>
    <row r="30" spans="2:19" x14ac:dyDescent="0.2">
      <c r="B30" s="47">
        <v>43921</v>
      </c>
      <c r="C30" s="46">
        <v>14401</v>
      </c>
      <c r="D30" s="45">
        <v>14401</v>
      </c>
      <c r="E30" s="44">
        <f t="shared" si="0"/>
        <v>14401</v>
      </c>
      <c r="F30" s="46">
        <v>14360</v>
      </c>
      <c r="G30" s="45">
        <v>14360</v>
      </c>
      <c r="H30" s="44">
        <f t="shared" si="1"/>
        <v>14360</v>
      </c>
      <c r="I30" s="46">
        <v>14251</v>
      </c>
      <c r="J30" s="45">
        <v>14251</v>
      </c>
      <c r="K30" s="44">
        <f t="shared" si="2"/>
        <v>14251</v>
      </c>
      <c r="L30" s="52">
        <v>14401</v>
      </c>
      <c r="M30" s="51">
        <v>1.2351000000000001</v>
      </c>
      <c r="N30" s="51">
        <v>1.0952999999999999</v>
      </c>
      <c r="O30" s="50">
        <v>108.57</v>
      </c>
      <c r="P30" s="43">
        <v>11659.78</v>
      </c>
      <c r="Q30" s="43">
        <v>11607.79</v>
      </c>
      <c r="R30" s="49">
        <f t="shared" si="3"/>
        <v>13147.995982835753</v>
      </c>
      <c r="S30" s="48">
        <v>1.2371000000000001</v>
      </c>
    </row>
    <row r="31" spans="2:19" s="10" customFormat="1" x14ac:dyDescent="0.2">
      <c r="B31" s="42" t="s">
        <v>11</v>
      </c>
      <c r="C31" s="41">
        <f>ROUND(AVERAGE(C9:C30),2)</f>
        <v>15308.68</v>
      </c>
      <c r="D31" s="40">
        <f>ROUND(AVERAGE(D9:D30),2)</f>
        <v>15321.41</v>
      </c>
      <c r="E31" s="39">
        <f>ROUND(AVERAGE(C31:D31),2)</f>
        <v>15315.05</v>
      </c>
      <c r="F31" s="41">
        <f>ROUND(AVERAGE(F9:F30),2)</f>
        <v>15284.32</v>
      </c>
      <c r="G31" s="40">
        <f>ROUND(AVERAGE(G9:G30),2)</f>
        <v>15307.27</v>
      </c>
      <c r="H31" s="39">
        <f>ROUND(AVERAGE(F31:G31),2)</f>
        <v>15295.8</v>
      </c>
      <c r="I31" s="41">
        <f>ROUND(AVERAGE(I9:I30),2)</f>
        <v>15193.59</v>
      </c>
      <c r="J31" s="40">
        <f>ROUND(AVERAGE(J9:J30),2)</f>
        <v>15227.68</v>
      </c>
      <c r="K31" s="39">
        <f>ROUND(AVERAGE(I31:J31),2)</f>
        <v>15210.64</v>
      </c>
      <c r="L31" s="38">
        <f>ROUND(AVERAGE(L9:L30),2)</f>
        <v>15321.41</v>
      </c>
      <c r="M31" s="37">
        <f>ROUND(AVERAGE(M9:M30),4)</f>
        <v>1.2377</v>
      </c>
      <c r="N31" s="36">
        <f>ROUND(AVERAGE(N9:N30),4)</f>
        <v>1.1060000000000001</v>
      </c>
      <c r="O31" s="175">
        <f>ROUND(AVERAGE(O9:O30),2)</f>
        <v>107.51</v>
      </c>
      <c r="P31" s="35">
        <f>AVERAGE(P9:P30)</f>
        <v>12359.454545454546</v>
      </c>
      <c r="Q31" s="35">
        <f>AVERAGE(Q9:Q30)</f>
        <v>12329.587727272725</v>
      </c>
      <c r="R31" s="35">
        <f>AVERAGE(R9:R30)</f>
        <v>13839.571542778182</v>
      </c>
      <c r="S31" s="34">
        <f>AVERAGE(S9:S30)</f>
        <v>1.2394318181818182</v>
      </c>
    </row>
    <row r="32" spans="2:19" s="5" customFormat="1" x14ac:dyDescent="0.2">
      <c r="B32" s="33" t="s">
        <v>12</v>
      </c>
      <c r="C32" s="32">
        <f t="shared" ref="C32:S32" si="4">MAX(C9:C30)</f>
        <v>16975</v>
      </c>
      <c r="D32" s="31">
        <f t="shared" si="4"/>
        <v>17000</v>
      </c>
      <c r="E32" s="30">
        <f t="shared" si="4"/>
        <v>16987.5</v>
      </c>
      <c r="F32" s="32">
        <f t="shared" si="4"/>
        <v>16975</v>
      </c>
      <c r="G32" s="31">
        <f t="shared" si="4"/>
        <v>17025</v>
      </c>
      <c r="H32" s="30">
        <f t="shared" si="4"/>
        <v>17000</v>
      </c>
      <c r="I32" s="32">
        <f t="shared" si="4"/>
        <v>16890</v>
      </c>
      <c r="J32" s="31">
        <f t="shared" si="4"/>
        <v>16940</v>
      </c>
      <c r="K32" s="30">
        <f t="shared" si="4"/>
        <v>16915</v>
      </c>
      <c r="L32" s="29">
        <f t="shared" si="4"/>
        <v>17000</v>
      </c>
      <c r="M32" s="28">
        <f t="shared" si="4"/>
        <v>1.3102</v>
      </c>
      <c r="N32" s="27">
        <f t="shared" si="4"/>
        <v>1.1435</v>
      </c>
      <c r="O32" s="26">
        <f t="shared" si="4"/>
        <v>111.35</v>
      </c>
      <c r="P32" s="25">
        <f t="shared" si="4"/>
        <v>13281.25</v>
      </c>
      <c r="Q32" s="25">
        <f t="shared" si="4"/>
        <v>13280.03</v>
      </c>
      <c r="R32" s="25">
        <f t="shared" si="4"/>
        <v>15297.399442094844</v>
      </c>
      <c r="S32" s="24">
        <f t="shared" si="4"/>
        <v>1.3102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13375</v>
      </c>
      <c r="D33" s="21">
        <f t="shared" si="5"/>
        <v>13400</v>
      </c>
      <c r="E33" s="20">
        <f t="shared" si="5"/>
        <v>13387.5</v>
      </c>
      <c r="F33" s="22">
        <f t="shared" si="5"/>
        <v>13375</v>
      </c>
      <c r="G33" s="21">
        <f t="shared" si="5"/>
        <v>13385</v>
      </c>
      <c r="H33" s="20">
        <f t="shared" si="5"/>
        <v>13385</v>
      </c>
      <c r="I33" s="22">
        <f t="shared" si="5"/>
        <v>13255</v>
      </c>
      <c r="J33" s="21">
        <f t="shared" si="5"/>
        <v>13255</v>
      </c>
      <c r="K33" s="20">
        <f t="shared" si="5"/>
        <v>13255</v>
      </c>
      <c r="L33" s="19">
        <f t="shared" si="5"/>
        <v>13400</v>
      </c>
      <c r="M33" s="18">
        <f t="shared" si="5"/>
        <v>1.1625000000000001</v>
      </c>
      <c r="N33" s="17">
        <f t="shared" si="5"/>
        <v>1.0709</v>
      </c>
      <c r="O33" s="16">
        <f t="shared" si="5"/>
        <v>102.3</v>
      </c>
      <c r="P33" s="15">
        <f t="shared" si="5"/>
        <v>11443.89</v>
      </c>
      <c r="Q33" s="15">
        <f t="shared" si="5"/>
        <v>11367.3</v>
      </c>
      <c r="R33" s="15">
        <f t="shared" si="5"/>
        <v>12408.556347809981</v>
      </c>
      <c r="S33" s="14">
        <f t="shared" si="5"/>
        <v>1.1625000000000001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zoomScale="120" zoomScaleNormal="120"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43892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43892</v>
      </c>
      <c r="C9" s="46">
        <v>12430</v>
      </c>
      <c r="D9" s="45">
        <v>12440</v>
      </c>
      <c r="E9" s="44">
        <f t="shared" ref="E9:E30" si="0">AVERAGE(C9:D9)</f>
        <v>12435</v>
      </c>
      <c r="F9" s="46">
        <v>12500</v>
      </c>
      <c r="G9" s="45">
        <v>12510</v>
      </c>
      <c r="H9" s="44">
        <f t="shared" ref="H9:H30" si="1">AVERAGE(F9:G9)</f>
        <v>12505</v>
      </c>
      <c r="I9" s="46">
        <v>12915</v>
      </c>
      <c r="J9" s="45">
        <v>12965</v>
      </c>
      <c r="K9" s="44">
        <f t="shared" ref="K9:K30" si="2">AVERAGE(I9:J9)</f>
        <v>12940</v>
      </c>
      <c r="L9" s="46">
        <v>13185</v>
      </c>
      <c r="M9" s="45">
        <v>13235</v>
      </c>
      <c r="N9" s="44">
        <f t="shared" ref="N9:N30" si="3">AVERAGE(L9:M9)</f>
        <v>13210</v>
      </c>
      <c r="O9" s="46">
        <v>13455</v>
      </c>
      <c r="P9" s="45">
        <v>13505</v>
      </c>
      <c r="Q9" s="44">
        <f t="shared" ref="Q9:Q30" si="4">AVERAGE(O9:P9)</f>
        <v>13480</v>
      </c>
      <c r="R9" s="52">
        <v>12440</v>
      </c>
      <c r="S9" s="51">
        <v>1.2753000000000001</v>
      </c>
      <c r="T9" s="53">
        <v>1.1113</v>
      </c>
      <c r="U9" s="50">
        <v>107.8</v>
      </c>
      <c r="V9" s="43">
        <v>9754.57</v>
      </c>
      <c r="W9" s="43">
        <v>9788.73</v>
      </c>
      <c r="X9" s="49">
        <f t="shared" ref="X9:X30" si="5">R9/T9</f>
        <v>11194.097003509403</v>
      </c>
      <c r="Y9" s="48">
        <v>1.278</v>
      </c>
    </row>
    <row r="10" spans="1:25" x14ac:dyDescent="0.2">
      <c r="B10" s="47">
        <v>43893</v>
      </c>
      <c r="C10" s="46">
        <v>12545</v>
      </c>
      <c r="D10" s="45">
        <v>12555</v>
      </c>
      <c r="E10" s="44">
        <f t="shared" si="0"/>
        <v>12550</v>
      </c>
      <c r="F10" s="46">
        <v>12640</v>
      </c>
      <c r="G10" s="45">
        <v>12650</v>
      </c>
      <c r="H10" s="44">
        <f t="shared" si="1"/>
        <v>12645</v>
      </c>
      <c r="I10" s="46">
        <v>13045</v>
      </c>
      <c r="J10" s="45">
        <v>13095</v>
      </c>
      <c r="K10" s="44">
        <f t="shared" si="2"/>
        <v>13070</v>
      </c>
      <c r="L10" s="46">
        <v>13315</v>
      </c>
      <c r="M10" s="45">
        <v>13365</v>
      </c>
      <c r="N10" s="44">
        <f t="shared" si="3"/>
        <v>13340</v>
      </c>
      <c r="O10" s="46">
        <v>13585</v>
      </c>
      <c r="P10" s="45">
        <v>13635</v>
      </c>
      <c r="Q10" s="44">
        <f t="shared" si="4"/>
        <v>13610</v>
      </c>
      <c r="R10" s="52">
        <v>12555</v>
      </c>
      <c r="S10" s="51">
        <v>1.2778</v>
      </c>
      <c r="T10" s="51">
        <v>1.1117999999999999</v>
      </c>
      <c r="U10" s="50">
        <v>107.73</v>
      </c>
      <c r="V10" s="43">
        <v>9825.48</v>
      </c>
      <c r="W10" s="43">
        <v>9880.5</v>
      </c>
      <c r="X10" s="49">
        <f t="shared" si="5"/>
        <v>11292.498650836482</v>
      </c>
      <c r="Y10" s="48">
        <v>1.2803</v>
      </c>
    </row>
    <row r="11" spans="1:25" x14ac:dyDescent="0.2">
      <c r="B11" s="47">
        <v>43894</v>
      </c>
      <c r="C11" s="46">
        <v>12695</v>
      </c>
      <c r="D11" s="45">
        <v>12700</v>
      </c>
      <c r="E11" s="44">
        <f t="shared" si="0"/>
        <v>12697.5</v>
      </c>
      <c r="F11" s="46">
        <v>12800</v>
      </c>
      <c r="G11" s="45">
        <v>12805</v>
      </c>
      <c r="H11" s="44">
        <f t="shared" si="1"/>
        <v>12802.5</v>
      </c>
      <c r="I11" s="46">
        <v>13145</v>
      </c>
      <c r="J11" s="45">
        <v>13195</v>
      </c>
      <c r="K11" s="44">
        <f t="shared" si="2"/>
        <v>13170</v>
      </c>
      <c r="L11" s="46">
        <v>13385</v>
      </c>
      <c r="M11" s="45">
        <v>13435</v>
      </c>
      <c r="N11" s="44">
        <f t="shared" si="3"/>
        <v>13410</v>
      </c>
      <c r="O11" s="46">
        <v>13655</v>
      </c>
      <c r="P11" s="45">
        <v>13705</v>
      </c>
      <c r="Q11" s="44">
        <f t="shared" si="4"/>
        <v>13680</v>
      </c>
      <c r="R11" s="52">
        <v>12700</v>
      </c>
      <c r="S11" s="51">
        <v>1.28</v>
      </c>
      <c r="T11" s="51">
        <v>1.1113</v>
      </c>
      <c r="U11" s="50">
        <v>107.55</v>
      </c>
      <c r="V11" s="43">
        <v>9921.8799999999992</v>
      </c>
      <c r="W11" s="43">
        <v>9988.2999999999993</v>
      </c>
      <c r="X11" s="49">
        <f t="shared" si="5"/>
        <v>11428.057230270855</v>
      </c>
      <c r="Y11" s="48">
        <v>1.282</v>
      </c>
    </row>
    <row r="12" spans="1:25" x14ac:dyDescent="0.2">
      <c r="B12" s="47">
        <v>43895</v>
      </c>
      <c r="C12" s="46">
        <v>12780</v>
      </c>
      <c r="D12" s="45">
        <v>12800</v>
      </c>
      <c r="E12" s="44">
        <f t="shared" si="0"/>
        <v>12790</v>
      </c>
      <c r="F12" s="46">
        <v>12810</v>
      </c>
      <c r="G12" s="45">
        <v>12815</v>
      </c>
      <c r="H12" s="44">
        <f t="shared" si="1"/>
        <v>12812.5</v>
      </c>
      <c r="I12" s="46">
        <v>13160</v>
      </c>
      <c r="J12" s="45">
        <v>13210</v>
      </c>
      <c r="K12" s="44">
        <f t="shared" si="2"/>
        <v>13185</v>
      </c>
      <c r="L12" s="46">
        <v>13400</v>
      </c>
      <c r="M12" s="45">
        <v>13450</v>
      </c>
      <c r="N12" s="44">
        <f t="shared" si="3"/>
        <v>13425</v>
      </c>
      <c r="O12" s="46">
        <v>13670</v>
      </c>
      <c r="P12" s="45">
        <v>13720</v>
      </c>
      <c r="Q12" s="44">
        <f t="shared" si="4"/>
        <v>13695</v>
      </c>
      <c r="R12" s="52">
        <v>12800</v>
      </c>
      <c r="S12" s="51">
        <v>1.2914000000000001</v>
      </c>
      <c r="T12" s="51">
        <v>1.1189</v>
      </c>
      <c r="U12" s="50">
        <v>106.92</v>
      </c>
      <c r="V12" s="43">
        <v>9911.7199999999993</v>
      </c>
      <c r="W12" s="43">
        <v>9909.5300000000007</v>
      </c>
      <c r="X12" s="49">
        <f t="shared" si="5"/>
        <v>11439.806953257663</v>
      </c>
      <c r="Y12" s="48">
        <v>1.2931999999999999</v>
      </c>
    </row>
    <row r="13" spans="1:25" x14ac:dyDescent="0.2">
      <c r="B13" s="47">
        <v>43896</v>
      </c>
      <c r="C13" s="46">
        <v>12700</v>
      </c>
      <c r="D13" s="45">
        <v>12710</v>
      </c>
      <c r="E13" s="44">
        <f t="shared" si="0"/>
        <v>12705</v>
      </c>
      <c r="F13" s="46">
        <v>12735</v>
      </c>
      <c r="G13" s="45">
        <v>12745</v>
      </c>
      <c r="H13" s="44">
        <f t="shared" si="1"/>
        <v>12740</v>
      </c>
      <c r="I13" s="46">
        <v>13085</v>
      </c>
      <c r="J13" s="45">
        <v>13135</v>
      </c>
      <c r="K13" s="44">
        <f t="shared" si="2"/>
        <v>13110</v>
      </c>
      <c r="L13" s="46">
        <v>13320</v>
      </c>
      <c r="M13" s="45">
        <v>13370</v>
      </c>
      <c r="N13" s="44">
        <f t="shared" si="3"/>
        <v>13345</v>
      </c>
      <c r="O13" s="46">
        <v>13575</v>
      </c>
      <c r="P13" s="45">
        <v>13625</v>
      </c>
      <c r="Q13" s="44">
        <f t="shared" si="4"/>
        <v>13600</v>
      </c>
      <c r="R13" s="52">
        <v>12710</v>
      </c>
      <c r="S13" s="51">
        <v>1.2994000000000001</v>
      </c>
      <c r="T13" s="51">
        <v>1.1315999999999999</v>
      </c>
      <c r="U13" s="50">
        <v>105.19</v>
      </c>
      <c r="V13" s="43">
        <v>9781.44</v>
      </c>
      <c r="W13" s="43">
        <v>9796.31</v>
      </c>
      <c r="X13" s="49">
        <f t="shared" si="5"/>
        <v>11231.884057971016</v>
      </c>
      <c r="Y13" s="48">
        <v>1.3009999999999999</v>
      </c>
    </row>
    <row r="14" spans="1:25" x14ac:dyDescent="0.2">
      <c r="B14" s="47">
        <v>43899</v>
      </c>
      <c r="C14" s="46">
        <v>12410</v>
      </c>
      <c r="D14" s="45">
        <v>12415</v>
      </c>
      <c r="E14" s="44">
        <f t="shared" si="0"/>
        <v>12412.5</v>
      </c>
      <c r="F14" s="46">
        <v>12460</v>
      </c>
      <c r="G14" s="45">
        <v>12465</v>
      </c>
      <c r="H14" s="44">
        <f t="shared" si="1"/>
        <v>12462.5</v>
      </c>
      <c r="I14" s="46">
        <v>12805</v>
      </c>
      <c r="J14" s="45">
        <v>12855</v>
      </c>
      <c r="K14" s="44">
        <f t="shared" si="2"/>
        <v>12830</v>
      </c>
      <c r="L14" s="46">
        <v>13045</v>
      </c>
      <c r="M14" s="45">
        <v>13095</v>
      </c>
      <c r="N14" s="44">
        <f t="shared" si="3"/>
        <v>13070</v>
      </c>
      <c r="O14" s="46">
        <v>13295</v>
      </c>
      <c r="P14" s="45">
        <v>13345</v>
      </c>
      <c r="Q14" s="44">
        <f t="shared" si="4"/>
        <v>13320</v>
      </c>
      <c r="R14" s="52">
        <v>12415</v>
      </c>
      <c r="S14" s="51">
        <v>1.3102</v>
      </c>
      <c r="T14" s="51">
        <v>1.1435</v>
      </c>
      <c r="U14" s="50">
        <v>102.3</v>
      </c>
      <c r="V14" s="43">
        <v>9475.65</v>
      </c>
      <c r="W14" s="43">
        <v>9513.81</v>
      </c>
      <c r="X14" s="49">
        <f t="shared" si="5"/>
        <v>10857.017927415829</v>
      </c>
      <c r="Y14" s="48">
        <v>1.3102</v>
      </c>
    </row>
    <row r="15" spans="1:25" x14ac:dyDescent="0.2">
      <c r="B15" s="47">
        <v>43900</v>
      </c>
      <c r="C15" s="46">
        <v>12825</v>
      </c>
      <c r="D15" s="45">
        <v>12835</v>
      </c>
      <c r="E15" s="44">
        <f t="shared" si="0"/>
        <v>12830</v>
      </c>
      <c r="F15" s="46">
        <v>12870</v>
      </c>
      <c r="G15" s="45">
        <v>12890</v>
      </c>
      <c r="H15" s="44">
        <f t="shared" si="1"/>
        <v>12880</v>
      </c>
      <c r="I15" s="46">
        <v>13210</v>
      </c>
      <c r="J15" s="45">
        <v>13260</v>
      </c>
      <c r="K15" s="44">
        <f t="shared" si="2"/>
        <v>13235</v>
      </c>
      <c r="L15" s="46">
        <v>13450</v>
      </c>
      <c r="M15" s="45">
        <v>13500</v>
      </c>
      <c r="N15" s="44">
        <f t="shared" si="3"/>
        <v>13475</v>
      </c>
      <c r="O15" s="46">
        <v>13700</v>
      </c>
      <c r="P15" s="45">
        <v>13750</v>
      </c>
      <c r="Q15" s="44">
        <f t="shared" si="4"/>
        <v>13725</v>
      </c>
      <c r="R15" s="52">
        <v>12835</v>
      </c>
      <c r="S15" s="51">
        <v>1.3024</v>
      </c>
      <c r="T15" s="51">
        <v>1.1379999999999999</v>
      </c>
      <c r="U15" s="50">
        <v>104.24</v>
      </c>
      <c r="V15" s="43">
        <v>9854.8799999999992</v>
      </c>
      <c r="W15" s="43">
        <v>9897.11</v>
      </c>
      <c r="X15" s="49">
        <f t="shared" si="5"/>
        <v>11278.558875219685</v>
      </c>
      <c r="Y15" s="48">
        <v>1.3024</v>
      </c>
    </row>
    <row r="16" spans="1:25" x14ac:dyDescent="0.2">
      <c r="B16" s="47">
        <v>43901</v>
      </c>
      <c r="C16" s="46">
        <v>12430</v>
      </c>
      <c r="D16" s="45">
        <v>12435</v>
      </c>
      <c r="E16" s="44">
        <f t="shared" si="0"/>
        <v>12432.5</v>
      </c>
      <c r="F16" s="46">
        <v>12480</v>
      </c>
      <c r="G16" s="45">
        <v>12485</v>
      </c>
      <c r="H16" s="44">
        <f t="shared" si="1"/>
        <v>12482.5</v>
      </c>
      <c r="I16" s="46">
        <v>12810</v>
      </c>
      <c r="J16" s="45">
        <v>12860</v>
      </c>
      <c r="K16" s="44">
        <f t="shared" si="2"/>
        <v>12835</v>
      </c>
      <c r="L16" s="46">
        <v>13045</v>
      </c>
      <c r="M16" s="45">
        <v>13095</v>
      </c>
      <c r="N16" s="44">
        <f t="shared" si="3"/>
        <v>13070</v>
      </c>
      <c r="O16" s="46">
        <v>13290</v>
      </c>
      <c r="P16" s="45">
        <v>13340</v>
      </c>
      <c r="Q16" s="44">
        <f t="shared" si="4"/>
        <v>13315</v>
      </c>
      <c r="R16" s="52">
        <v>12435</v>
      </c>
      <c r="S16" s="51">
        <v>1.2941</v>
      </c>
      <c r="T16" s="51">
        <v>1.1339999999999999</v>
      </c>
      <c r="U16" s="50">
        <v>104.45</v>
      </c>
      <c r="V16" s="43">
        <v>9608.99</v>
      </c>
      <c r="W16" s="43">
        <v>9638.69</v>
      </c>
      <c r="X16" s="49">
        <f t="shared" si="5"/>
        <v>10965.608465608466</v>
      </c>
      <c r="Y16" s="48">
        <v>1.2952999999999999</v>
      </c>
    </row>
    <row r="17" spans="2:25" x14ac:dyDescent="0.2">
      <c r="B17" s="47">
        <v>43902</v>
      </c>
      <c r="C17" s="46">
        <v>11850</v>
      </c>
      <c r="D17" s="45">
        <v>11855</v>
      </c>
      <c r="E17" s="44">
        <f t="shared" si="0"/>
        <v>11852.5</v>
      </c>
      <c r="F17" s="46">
        <v>11890</v>
      </c>
      <c r="G17" s="45">
        <v>11900</v>
      </c>
      <c r="H17" s="44">
        <f t="shared" si="1"/>
        <v>11895</v>
      </c>
      <c r="I17" s="46">
        <v>12225</v>
      </c>
      <c r="J17" s="45">
        <v>12275</v>
      </c>
      <c r="K17" s="44">
        <f t="shared" si="2"/>
        <v>12250</v>
      </c>
      <c r="L17" s="46">
        <v>12455</v>
      </c>
      <c r="M17" s="45">
        <v>12505</v>
      </c>
      <c r="N17" s="44">
        <f t="shared" si="3"/>
        <v>12480</v>
      </c>
      <c r="O17" s="46">
        <v>12705</v>
      </c>
      <c r="P17" s="45">
        <v>12755</v>
      </c>
      <c r="Q17" s="44">
        <f t="shared" si="4"/>
        <v>12730</v>
      </c>
      <c r="R17" s="52">
        <v>11855</v>
      </c>
      <c r="S17" s="51">
        <v>1.2662</v>
      </c>
      <c r="T17" s="51">
        <v>1.1214999999999999</v>
      </c>
      <c r="U17" s="50">
        <v>104.13</v>
      </c>
      <c r="V17" s="43">
        <v>9362.66</v>
      </c>
      <c r="W17" s="43">
        <v>9398.2000000000007</v>
      </c>
      <c r="X17" s="49">
        <f t="shared" si="5"/>
        <v>10570.664288898797</v>
      </c>
      <c r="Y17" s="48">
        <v>1.2662</v>
      </c>
    </row>
    <row r="18" spans="2:25" x14ac:dyDescent="0.2">
      <c r="B18" s="47">
        <v>43903</v>
      </c>
      <c r="C18" s="46">
        <v>12560</v>
      </c>
      <c r="D18" s="45">
        <v>12565</v>
      </c>
      <c r="E18" s="44">
        <f t="shared" si="0"/>
        <v>12562.5</v>
      </c>
      <c r="F18" s="46">
        <v>12610</v>
      </c>
      <c r="G18" s="45">
        <v>12620</v>
      </c>
      <c r="H18" s="44">
        <f t="shared" si="1"/>
        <v>12615</v>
      </c>
      <c r="I18" s="46">
        <v>12930</v>
      </c>
      <c r="J18" s="45">
        <v>12980</v>
      </c>
      <c r="K18" s="44">
        <f t="shared" si="2"/>
        <v>12955</v>
      </c>
      <c r="L18" s="46">
        <v>13165</v>
      </c>
      <c r="M18" s="45">
        <v>13215</v>
      </c>
      <c r="N18" s="44">
        <f t="shared" si="3"/>
        <v>13190</v>
      </c>
      <c r="O18" s="46">
        <v>13415</v>
      </c>
      <c r="P18" s="45">
        <v>13465</v>
      </c>
      <c r="Q18" s="44">
        <f t="shared" si="4"/>
        <v>13440</v>
      </c>
      <c r="R18" s="52">
        <v>12565</v>
      </c>
      <c r="S18" s="51">
        <v>1.2468999999999999</v>
      </c>
      <c r="T18" s="51">
        <v>1.111</v>
      </c>
      <c r="U18" s="50">
        <v>107.31</v>
      </c>
      <c r="V18" s="43">
        <v>10076.99</v>
      </c>
      <c r="W18" s="43">
        <v>10104.08</v>
      </c>
      <c r="X18" s="49">
        <f t="shared" si="5"/>
        <v>11309.63096309631</v>
      </c>
      <c r="Y18" s="48">
        <v>1.2490000000000001</v>
      </c>
    </row>
    <row r="19" spans="2:25" x14ac:dyDescent="0.2">
      <c r="B19" s="47">
        <v>43906</v>
      </c>
      <c r="C19" s="46">
        <v>11770</v>
      </c>
      <c r="D19" s="45">
        <v>11775</v>
      </c>
      <c r="E19" s="44">
        <f t="shared" si="0"/>
        <v>11772.5</v>
      </c>
      <c r="F19" s="46">
        <v>11800</v>
      </c>
      <c r="G19" s="45">
        <v>11810</v>
      </c>
      <c r="H19" s="44">
        <f t="shared" si="1"/>
        <v>11805</v>
      </c>
      <c r="I19" s="46">
        <v>12070</v>
      </c>
      <c r="J19" s="45">
        <v>12120</v>
      </c>
      <c r="K19" s="44">
        <f t="shared" si="2"/>
        <v>12095</v>
      </c>
      <c r="L19" s="46">
        <v>12290</v>
      </c>
      <c r="M19" s="45">
        <v>12340</v>
      </c>
      <c r="N19" s="44">
        <f t="shared" si="3"/>
        <v>12315</v>
      </c>
      <c r="O19" s="46">
        <v>12540</v>
      </c>
      <c r="P19" s="45">
        <v>12590</v>
      </c>
      <c r="Q19" s="44">
        <f t="shared" si="4"/>
        <v>12565</v>
      </c>
      <c r="R19" s="52">
        <v>11775</v>
      </c>
      <c r="S19" s="51">
        <v>1.2274</v>
      </c>
      <c r="T19" s="51">
        <v>1.1166</v>
      </c>
      <c r="U19" s="50">
        <v>105.29</v>
      </c>
      <c r="V19" s="43">
        <v>9593.4500000000007</v>
      </c>
      <c r="W19" s="43">
        <v>9603.19</v>
      </c>
      <c r="X19" s="49">
        <f t="shared" si="5"/>
        <v>10545.405695862439</v>
      </c>
      <c r="Y19" s="48">
        <v>1.2298</v>
      </c>
    </row>
    <row r="20" spans="2:25" x14ac:dyDescent="0.2">
      <c r="B20" s="47">
        <v>43907</v>
      </c>
      <c r="C20" s="46">
        <v>11825</v>
      </c>
      <c r="D20" s="45">
        <v>11830</v>
      </c>
      <c r="E20" s="44">
        <f t="shared" si="0"/>
        <v>11827.5</v>
      </c>
      <c r="F20" s="46">
        <v>11900</v>
      </c>
      <c r="G20" s="45">
        <v>11910</v>
      </c>
      <c r="H20" s="44">
        <f t="shared" si="1"/>
        <v>11905</v>
      </c>
      <c r="I20" s="46">
        <v>12215</v>
      </c>
      <c r="J20" s="45">
        <v>12265</v>
      </c>
      <c r="K20" s="44">
        <f t="shared" si="2"/>
        <v>12240</v>
      </c>
      <c r="L20" s="46">
        <v>12435</v>
      </c>
      <c r="M20" s="45">
        <v>12485</v>
      </c>
      <c r="N20" s="44">
        <f t="shared" si="3"/>
        <v>12460</v>
      </c>
      <c r="O20" s="46">
        <v>12685</v>
      </c>
      <c r="P20" s="45">
        <v>12735</v>
      </c>
      <c r="Q20" s="44">
        <f t="shared" si="4"/>
        <v>12710</v>
      </c>
      <c r="R20" s="52">
        <v>11830</v>
      </c>
      <c r="S20" s="51">
        <v>1.2092000000000001</v>
      </c>
      <c r="T20" s="51">
        <v>1.0989</v>
      </c>
      <c r="U20" s="50">
        <v>107.06</v>
      </c>
      <c r="V20" s="43">
        <v>9783.33</v>
      </c>
      <c r="W20" s="43">
        <v>9821.06</v>
      </c>
      <c r="X20" s="49">
        <f t="shared" si="5"/>
        <v>10765.310765310765</v>
      </c>
      <c r="Y20" s="48">
        <v>1.2126999999999999</v>
      </c>
    </row>
    <row r="21" spans="2:25" x14ac:dyDescent="0.2">
      <c r="B21" s="47">
        <v>43908</v>
      </c>
      <c r="C21" s="46">
        <v>11415</v>
      </c>
      <c r="D21" s="45">
        <v>11420</v>
      </c>
      <c r="E21" s="44">
        <f t="shared" si="0"/>
        <v>11417.5</v>
      </c>
      <c r="F21" s="46">
        <v>11505</v>
      </c>
      <c r="G21" s="45">
        <v>11510</v>
      </c>
      <c r="H21" s="44">
        <f t="shared" si="1"/>
        <v>11507.5</v>
      </c>
      <c r="I21" s="46">
        <v>11895</v>
      </c>
      <c r="J21" s="45">
        <v>11945</v>
      </c>
      <c r="K21" s="44">
        <f t="shared" si="2"/>
        <v>11920</v>
      </c>
      <c r="L21" s="46">
        <v>12115</v>
      </c>
      <c r="M21" s="45">
        <v>12165</v>
      </c>
      <c r="N21" s="44">
        <f t="shared" si="3"/>
        <v>12140</v>
      </c>
      <c r="O21" s="46">
        <v>12365</v>
      </c>
      <c r="P21" s="45">
        <v>12415</v>
      </c>
      <c r="Q21" s="44">
        <f t="shared" si="4"/>
        <v>12390</v>
      </c>
      <c r="R21" s="52">
        <v>11420</v>
      </c>
      <c r="S21" s="51">
        <v>1.1843999999999999</v>
      </c>
      <c r="T21" s="51">
        <v>1.0931</v>
      </c>
      <c r="U21" s="50">
        <v>107.64</v>
      </c>
      <c r="V21" s="43">
        <v>9642.01</v>
      </c>
      <c r="W21" s="43">
        <v>9701.6200000000008</v>
      </c>
      <c r="X21" s="49">
        <f t="shared" si="5"/>
        <v>10447.351568932394</v>
      </c>
      <c r="Y21" s="48">
        <v>1.1863999999999999</v>
      </c>
    </row>
    <row r="22" spans="2:25" x14ac:dyDescent="0.2">
      <c r="B22" s="47">
        <v>43909</v>
      </c>
      <c r="C22" s="46">
        <v>11225</v>
      </c>
      <c r="D22" s="45">
        <v>11235</v>
      </c>
      <c r="E22" s="44">
        <f t="shared" si="0"/>
        <v>11230</v>
      </c>
      <c r="F22" s="46">
        <v>11335</v>
      </c>
      <c r="G22" s="45">
        <v>11340</v>
      </c>
      <c r="H22" s="44">
        <f t="shared" si="1"/>
        <v>11337.5</v>
      </c>
      <c r="I22" s="46">
        <v>11725</v>
      </c>
      <c r="J22" s="45">
        <v>11775</v>
      </c>
      <c r="K22" s="44">
        <f t="shared" si="2"/>
        <v>11750</v>
      </c>
      <c r="L22" s="46">
        <v>12000</v>
      </c>
      <c r="M22" s="45">
        <v>12050</v>
      </c>
      <c r="N22" s="44">
        <f t="shared" si="3"/>
        <v>12025</v>
      </c>
      <c r="O22" s="46">
        <v>12250</v>
      </c>
      <c r="P22" s="45">
        <v>12300</v>
      </c>
      <c r="Q22" s="44">
        <f t="shared" si="4"/>
        <v>12275</v>
      </c>
      <c r="R22" s="52">
        <v>11235</v>
      </c>
      <c r="S22" s="51">
        <v>1.1625000000000001</v>
      </c>
      <c r="T22" s="51">
        <v>1.0799000000000001</v>
      </c>
      <c r="U22" s="50">
        <v>109.79</v>
      </c>
      <c r="V22" s="43">
        <v>9664.52</v>
      </c>
      <c r="W22" s="43">
        <v>9754.84</v>
      </c>
      <c r="X22" s="49">
        <f t="shared" si="5"/>
        <v>10403.741087137698</v>
      </c>
      <c r="Y22" s="48">
        <v>1.1625000000000001</v>
      </c>
    </row>
    <row r="23" spans="2:25" x14ac:dyDescent="0.2">
      <c r="B23" s="47">
        <v>43910</v>
      </c>
      <c r="C23" s="46">
        <v>11365</v>
      </c>
      <c r="D23" s="45">
        <v>11370</v>
      </c>
      <c r="E23" s="44">
        <f t="shared" si="0"/>
        <v>11367.5</v>
      </c>
      <c r="F23" s="46">
        <v>11425</v>
      </c>
      <c r="G23" s="45">
        <v>11450</v>
      </c>
      <c r="H23" s="44">
        <f t="shared" si="1"/>
        <v>11437.5</v>
      </c>
      <c r="I23" s="46">
        <v>11835</v>
      </c>
      <c r="J23" s="45">
        <v>11885</v>
      </c>
      <c r="K23" s="44">
        <f t="shared" si="2"/>
        <v>11860</v>
      </c>
      <c r="L23" s="46">
        <v>12110</v>
      </c>
      <c r="M23" s="45">
        <v>12160</v>
      </c>
      <c r="N23" s="44">
        <f t="shared" si="3"/>
        <v>12135</v>
      </c>
      <c r="O23" s="46">
        <v>12360</v>
      </c>
      <c r="P23" s="45">
        <v>12410</v>
      </c>
      <c r="Q23" s="44">
        <f t="shared" si="4"/>
        <v>12385</v>
      </c>
      <c r="R23" s="52">
        <v>11370</v>
      </c>
      <c r="S23" s="51">
        <v>1.1779999999999999</v>
      </c>
      <c r="T23" s="51">
        <v>1.0709</v>
      </c>
      <c r="U23" s="50">
        <v>110.37</v>
      </c>
      <c r="V23" s="43">
        <v>9651.9500000000007</v>
      </c>
      <c r="W23" s="43">
        <v>9700.1</v>
      </c>
      <c r="X23" s="49">
        <f t="shared" si="5"/>
        <v>10617.237837333085</v>
      </c>
      <c r="Y23" s="48">
        <v>1.1803999999999999</v>
      </c>
    </row>
    <row r="24" spans="2:25" x14ac:dyDescent="0.2">
      <c r="B24" s="47">
        <v>43913</v>
      </c>
      <c r="C24" s="46">
        <v>11055</v>
      </c>
      <c r="D24" s="45">
        <v>11055</v>
      </c>
      <c r="E24" s="44">
        <f t="shared" si="0"/>
        <v>11055</v>
      </c>
      <c r="F24" s="46">
        <v>11142</v>
      </c>
      <c r="G24" s="45">
        <v>11142</v>
      </c>
      <c r="H24" s="44">
        <f t="shared" si="1"/>
        <v>11142</v>
      </c>
      <c r="I24" s="46">
        <v>11537</v>
      </c>
      <c r="J24" s="45">
        <v>11537</v>
      </c>
      <c r="K24" s="44">
        <f t="shared" si="2"/>
        <v>11537</v>
      </c>
      <c r="L24" s="46">
        <v>11812</v>
      </c>
      <c r="M24" s="45">
        <v>11812</v>
      </c>
      <c r="N24" s="44">
        <f t="shared" si="3"/>
        <v>11812</v>
      </c>
      <c r="O24" s="46">
        <v>12062</v>
      </c>
      <c r="P24" s="45">
        <v>12062</v>
      </c>
      <c r="Q24" s="44">
        <f t="shared" si="4"/>
        <v>12062</v>
      </c>
      <c r="R24" s="52">
        <v>11055</v>
      </c>
      <c r="S24" s="51">
        <v>1.1633</v>
      </c>
      <c r="T24" s="51">
        <v>1.0780000000000001</v>
      </c>
      <c r="U24" s="50">
        <v>110.23</v>
      </c>
      <c r="V24" s="43">
        <v>9503.14</v>
      </c>
      <c r="W24" s="43">
        <v>9562.31</v>
      </c>
      <c r="X24" s="49">
        <f t="shared" si="5"/>
        <v>10255.102040816326</v>
      </c>
      <c r="Y24" s="48">
        <v>1.1652</v>
      </c>
    </row>
    <row r="25" spans="2:25" x14ac:dyDescent="0.2">
      <c r="B25" s="47">
        <v>43914</v>
      </c>
      <c r="C25" s="46">
        <v>11075</v>
      </c>
      <c r="D25" s="45">
        <v>11075</v>
      </c>
      <c r="E25" s="44">
        <f t="shared" si="0"/>
        <v>11075</v>
      </c>
      <c r="F25" s="46">
        <v>11162</v>
      </c>
      <c r="G25" s="45">
        <v>11162</v>
      </c>
      <c r="H25" s="44">
        <f t="shared" si="1"/>
        <v>11162</v>
      </c>
      <c r="I25" s="46">
        <v>11551</v>
      </c>
      <c r="J25" s="45">
        <v>11551</v>
      </c>
      <c r="K25" s="44">
        <f t="shared" si="2"/>
        <v>11551</v>
      </c>
      <c r="L25" s="46">
        <v>11826</v>
      </c>
      <c r="M25" s="45">
        <v>11826</v>
      </c>
      <c r="N25" s="44">
        <f t="shared" si="3"/>
        <v>11826</v>
      </c>
      <c r="O25" s="46">
        <v>12076</v>
      </c>
      <c r="P25" s="45">
        <v>12076</v>
      </c>
      <c r="Q25" s="44">
        <f t="shared" si="4"/>
        <v>12076</v>
      </c>
      <c r="R25" s="52">
        <v>11075</v>
      </c>
      <c r="S25" s="51">
        <v>1.1753</v>
      </c>
      <c r="T25" s="51">
        <v>1.0822000000000001</v>
      </c>
      <c r="U25" s="50">
        <v>110.82</v>
      </c>
      <c r="V25" s="43">
        <v>9423.1299999999992</v>
      </c>
      <c r="W25" s="43">
        <v>9479.41</v>
      </c>
      <c r="X25" s="49">
        <f t="shared" si="5"/>
        <v>10233.78303455923</v>
      </c>
      <c r="Y25" s="48">
        <v>1.1775</v>
      </c>
    </row>
    <row r="26" spans="2:25" x14ac:dyDescent="0.2">
      <c r="B26" s="47">
        <v>43915</v>
      </c>
      <c r="C26" s="46">
        <v>11175</v>
      </c>
      <c r="D26" s="45">
        <v>11175</v>
      </c>
      <c r="E26" s="44">
        <f t="shared" si="0"/>
        <v>11175</v>
      </c>
      <c r="F26" s="46">
        <v>11251</v>
      </c>
      <c r="G26" s="45">
        <v>11251</v>
      </c>
      <c r="H26" s="44">
        <f t="shared" si="1"/>
        <v>11251</v>
      </c>
      <c r="I26" s="46">
        <v>11631</v>
      </c>
      <c r="J26" s="45">
        <v>11631</v>
      </c>
      <c r="K26" s="44">
        <f t="shared" si="2"/>
        <v>11631</v>
      </c>
      <c r="L26" s="46">
        <v>11901</v>
      </c>
      <c r="M26" s="45">
        <v>11901</v>
      </c>
      <c r="N26" s="44">
        <f t="shared" si="3"/>
        <v>11901</v>
      </c>
      <c r="O26" s="46">
        <v>12151</v>
      </c>
      <c r="P26" s="45">
        <v>12151</v>
      </c>
      <c r="Q26" s="44">
        <f t="shared" si="4"/>
        <v>12151</v>
      </c>
      <c r="R26" s="52">
        <v>11175</v>
      </c>
      <c r="S26" s="51">
        <v>1.1838</v>
      </c>
      <c r="T26" s="51">
        <v>1.0820000000000001</v>
      </c>
      <c r="U26" s="50">
        <v>111.35</v>
      </c>
      <c r="V26" s="43">
        <v>9439.94</v>
      </c>
      <c r="W26" s="43">
        <v>9488.11</v>
      </c>
      <c r="X26" s="49">
        <f t="shared" si="5"/>
        <v>10328.096118299445</v>
      </c>
      <c r="Y26" s="48">
        <v>1.1858</v>
      </c>
    </row>
    <row r="27" spans="2:25" x14ac:dyDescent="0.2">
      <c r="B27" s="47">
        <v>43916</v>
      </c>
      <c r="C27" s="46">
        <v>11221</v>
      </c>
      <c r="D27" s="45">
        <v>11221</v>
      </c>
      <c r="E27" s="44">
        <f t="shared" si="0"/>
        <v>11221</v>
      </c>
      <c r="F27" s="46">
        <v>11288</v>
      </c>
      <c r="G27" s="45">
        <v>11288</v>
      </c>
      <c r="H27" s="44">
        <f t="shared" si="1"/>
        <v>11288</v>
      </c>
      <c r="I27" s="46">
        <v>11685</v>
      </c>
      <c r="J27" s="45">
        <v>11685</v>
      </c>
      <c r="K27" s="44">
        <f t="shared" si="2"/>
        <v>11685</v>
      </c>
      <c r="L27" s="46">
        <v>11957</v>
      </c>
      <c r="M27" s="45">
        <v>11957</v>
      </c>
      <c r="N27" s="44">
        <f t="shared" si="3"/>
        <v>11957</v>
      </c>
      <c r="O27" s="46">
        <v>12207</v>
      </c>
      <c r="P27" s="45">
        <v>12207</v>
      </c>
      <c r="Q27" s="44">
        <f t="shared" si="4"/>
        <v>12207</v>
      </c>
      <c r="R27" s="52">
        <v>11221</v>
      </c>
      <c r="S27" s="51">
        <v>1.1988000000000001</v>
      </c>
      <c r="T27" s="51">
        <v>1.0972</v>
      </c>
      <c r="U27" s="50">
        <v>109.67</v>
      </c>
      <c r="V27" s="43">
        <v>9360.19</v>
      </c>
      <c r="W27" s="43">
        <v>9401.18</v>
      </c>
      <c r="X27" s="49">
        <f t="shared" si="5"/>
        <v>10226.941305140357</v>
      </c>
      <c r="Y27" s="48">
        <v>1.2007000000000001</v>
      </c>
    </row>
    <row r="28" spans="2:25" x14ac:dyDescent="0.2">
      <c r="B28" s="47">
        <v>43917</v>
      </c>
      <c r="C28" s="46">
        <v>11225</v>
      </c>
      <c r="D28" s="45">
        <v>11225</v>
      </c>
      <c r="E28" s="44">
        <f t="shared" si="0"/>
        <v>11225</v>
      </c>
      <c r="F28" s="46">
        <v>11282</v>
      </c>
      <c r="G28" s="45">
        <v>11282</v>
      </c>
      <c r="H28" s="44">
        <f t="shared" si="1"/>
        <v>11282</v>
      </c>
      <c r="I28" s="46">
        <v>11684</v>
      </c>
      <c r="J28" s="45">
        <v>11684</v>
      </c>
      <c r="K28" s="44">
        <f t="shared" si="2"/>
        <v>11684</v>
      </c>
      <c r="L28" s="46">
        <v>11954</v>
      </c>
      <c r="M28" s="45">
        <v>11954</v>
      </c>
      <c r="N28" s="44">
        <f t="shared" si="3"/>
        <v>11954</v>
      </c>
      <c r="O28" s="46">
        <v>12204</v>
      </c>
      <c r="P28" s="45">
        <v>12204</v>
      </c>
      <c r="Q28" s="44">
        <f t="shared" si="4"/>
        <v>12204</v>
      </c>
      <c r="R28" s="52">
        <v>11225</v>
      </c>
      <c r="S28" s="51">
        <v>1.2251000000000001</v>
      </c>
      <c r="T28" s="51">
        <v>1.0986</v>
      </c>
      <c r="U28" s="50">
        <v>108.79</v>
      </c>
      <c r="V28" s="43">
        <v>9162.52</v>
      </c>
      <c r="W28" s="43">
        <v>9194.7800000000007</v>
      </c>
      <c r="X28" s="49">
        <f t="shared" si="5"/>
        <v>10217.549608592753</v>
      </c>
      <c r="Y28" s="48">
        <v>1.2270000000000001</v>
      </c>
    </row>
    <row r="29" spans="2:25" x14ac:dyDescent="0.2">
      <c r="B29" s="47">
        <v>43920</v>
      </c>
      <c r="C29" s="46">
        <v>11280</v>
      </c>
      <c r="D29" s="45">
        <v>11280</v>
      </c>
      <c r="E29" s="44">
        <f t="shared" si="0"/>
        <v>11280</v>
      </c>
      <c r="F29" s="46">
        <v>11339</v>
      </c>
      <c r="G29" s="45">
        <v>11339</v>
      </c>
      <c r="H29" s="44">
        <f t="shared" si="1"/>
        <v>11339</v>
      </c>
      <c r="I29" s="46">
        <v>11722</v>
      </c>
      <c r="J29" s="45">
        <v>11722</v>
      </c>
      <c r="K29" s="44">
        <f t="shared" si="2"/>
        <v>11722</v>
      </c>
      <c r="L29" s="46">
        <v>11992</v>
      </c>
      <c r="M29" s="45">
        <v>11992</v>
      </c>
      <c r="N29" s="44">
        <f t="shared" si="3"/>
        <v>11992</v>
      </c>
      <c r="O29" s="46">
        <v>12242</v>
      </c>
      <c r="P29" s="45">
        <v>12242</v>
      </c>
      <c r="Q29" s="44">
        <f t="shared" si="4"/>
        <v>12242</v>
      </c>
      <c r="R29" s="52">
        <v>11280</v>
      </c>
      <c r="S29" s="51">
        <v>1.2427999999999999</v>
      </c>
      <c r="T29" s="51">
        <v>1.1061000000000001</v>
      </c>
      <c r="U29" s="50">
        <v>107.99</v>
      </c>
      <c r="V29" s="43">
        <v>9076.2800000000007</v>
      </c>
      <c r="W29" s="43">
        <v>9109.09</v>
      </c>
      <c r="X29" s="49">
        <f t="shared" si="5"/>
        <v>10197.992948196365</v>
      </c>
      <c r="Y29" s="48">
        <v>1.2447999999999999</v>
      </c>
    </row>
    <row r="30" spans="2:25" x14ac:dyDescent="0.2">
      <c r="B30" s="47">
        <v>43921</v>
      </c>
      <c r="C30" s="46">
        <v>11235</v>
      </c>
      <c r="D30" s="45">
        <v>11235</v>
      </c>
      <c r="E30" s="44">
        <f t="shared" si="0"/>
        <v>11235</v>
      </c>
      <c r="F30" s="46">
        <v>11298</v>
      </c>
      <c r="G30" s="45">
        <v>11298</v>
      </c>
      <c r="H30" s="44">
        <f t="shared" si="1"/>
        <v>11298</v>
      </c>
      <c r="I30" s="46">
        <v>11688</v>
      </c>
      <c r="J30" s="45">
        <v>11688</v>
      </c>
      <c r="K30" s="44">
        <f t="shared" si="2"/>
        <v>11688</v>
      </c>
      <c r="L30" s="46">
        <v>11958</v>
      </c>
      <c r="M30" s="45">
        <v>11958</v>
      </c>
      <c r="N30" s="44">
        <f t="shared" si="3"/>
        <v>11958</v>
      </c>
      <c r="O30" s="46">
        <v>12208</v>
      </c>
      <c r="P30" s="45">
        <v>12208</v>
      </c>
      <c r="Q30" s="44">
        <f t="shared" si="4"/>
        <v>12208</v>
      </c>
      <c r="R30" s="52">
        <v>11235</v>
      </c>
      <c r="S30" s="51">
        <v>1.2351000000000001</v>
      </c>
      <c r="T30" s="51">
        <v>1.0952999999999999</v>
      </c>
      <c r="U30" s="50">
        <v>108.57</v>
      </c>
      <c r="V30" s="43">
        <v>9096.43</v>
      </c>
      <c r="W30" s="43">
        <v>9132.65</v>
      </c>
      <c r="X30" s="49">
        <f t="shared" si="5"/>
        <v>10257.463708572994</v>
      </c>
      <c r="Y30" s="48">
        <v>1.2371000000000001</v>
      </c>
    </row>
    <row r="31" spans="2:25" s="10" customFormat="1" x14ac:dyDescent="0.2">
      <c r="B31" s="42" t="s">
        <v>11</v>
      </c>
      <c r="C31" s="41">
        <f>ROUND(AVERAGE(C9:C30),2)</f>
        <v>11867.77</v>
      </c>
      <c r="D31" s="40">
        <f>ROUND(AVERAGE(D9:D30),2)</f>
        <v>11873</v>
      </c>
      <c r="E31" s="39">
        <f>ROUND(AVERAGE(C31:D31),2)</f>
        <v>11870.39</v>
      </c>
      <c r="F31" s="41">
        <f>ROUND(AVERAGE(F9:F30),2)</f>
        <v>11932.82</v>
      </c>
      <c r="G31" s="40">
        <f>ROUND(AVERAGE(G9:G30),2)</f>
        <v>11939.41</v>
      </c>
      <c r="H31" s="39">
        <f>ROUND(AVERAGE(F31:G31),2)</f>
        <v>11936.12</v>
      </c>
      <c r="I31" s="41">
        <f>ROUND(AVERAGE(I9:I30),2)</f>
        <v>12298.55</v>
      </c>
      <c r="J31" s="40">
        <f>ROUND(AVERAGE(J9:J30),2)</f>
        <v>12332.64</v>
      </c>
      <c r="K31" s="39">
        <f>ROUND(AVERAGE(I31:J31),2)</f>
        <v>12315.6</v>
      </c>
      <c r="L31" s="41">
        <f>ROUND(AVERAGE(L9:L30),2)</f>
        <v>12550.68</v>
      </c>
      <c r="M31" s="40">
        <f>ROUND(AVERAGE(M9:M30),2)</f>
        <v>12584.77</v>
      </c>
      <c r="N31" s="39">
        <f>ROUND(AVERAGE(L31:M31),2)</f>
        <v>12567.73</v>
      </c>
      <c r="O31" s="41">
        <f>ROUND(AVERAGE(O9:O30),2)</f>
        <v>12804.32</v>
      </c>
      <c r="P31" s="40">
        <f>ROUND(AVERAGE(P9:P30),2)</f>
        <v>12838.41</v>
      </c>
      <c r="Q31" s="39">
        <f>ROUND(AVERAGE(O31:P31),2)</f>
        <v>12821.37</v>
      </c>
      <c r="R31" s="38">
        <f>ROUND(AVERAGE(R9:R30),2)</f>
        <v>11873</v>
      </c>
      <c r="S31" s="37">
        <f>ROUND(AVERAGE(S9:S30),4)</f>
        <v>1.2377</v>
      </c>
      <c r="T31" s="36">
        <f>ROUND(AVERAGE(T9:T30),4)</f>
        <v>1.1060000000000001</v>
      </c>
      <c r="U31" s="175">
        <f>ROUND(AVERAGE(U9:U30),2)</f>
        <v>107.51</v>
      </c>
      <c r="V31" s="35">
        <f>AVERAGE(V9:V30)</f>
        <v>9589.5977272727287</v>
      </c>
      <c r="W31" s="35">
        <f>AVERAGE(W9:W30)</f>
        <v>9630.1636363636371</v>
      </c>
      <c r="X31" s="35">
        <f>AVERAGE(X9:X30)</f>
        <v>10730.172733401743</v>
      </c>
      <c r="Y31" s="34">
        <f>AVERAGE(Y9:Y30)</f>
        <v>1.2394318181818182</v>
      </c>
    </row>
    <row r="32" spans="2:25" s="5" customFormat="1" x14ac:dyDescent="0.2">
      <c r="B32" s="33" t="s">
        <v>12</v>
      </c>
      <c r="C32" s="32">
        <f t="shared" ref="C32:Y32" si="6">MAX(C9:C30)</f>
        <v>12825</v>
      </c>
      <c r="D32" s="31">
        <f t="shared" si="6"/>
        <v>12835</v>
      </c>
      <c r="E32" s="30">
        <f t="shared" si="6"/>
        <v>12830</v>
      </c>
      <c r="F32" s="32">
        <f t="shared" si="6"/>
        <v>12870</v>
      </c>
      <c r="G32" s="31">
        <f t="shared" si="6"/>
        <v>12890</v>
      </c>
      <c r="H32" s="30">
        <f t="shared" si="6"/>
        <v>12880</v>
      </c>
      <c r="I32" s="32">
        <f t="shared" si="6"/>
        <v>13210</v>
      </c>
      <c r="J32" s="31">
        <f t="shared" si="6"/>
        <v>13260</v>
      </c>
      <c r="K32" s="30">
        <f t="shared" si="6"/>
        <v>13235</v>
      </c>
      <c r="L32" s="32">
        <f t="shared" si="6"/>
        <v>13450</v>
      </c>
      <c r="M32" s="31">
        <f t="shared" si="6"/>
        <v>13500</v>
      </c>
      <c r="N32" s="30">
        <f t="shared" si="6"/>
        <v>13475</v>
      </c>
      <c r="O32" s="32">
        <f t="shared" si="6"/>
        <v>13700</v>
      </c>
      <c r="P32" s="31">
        <f t="shared" si="6"/>
        <v>13750</v>
      </c>
      <c r="Q32" s="30">
        <f t="shared" si="6"/>
        <v>13725</v>
      </c>
      <c r="R32" s="29">
        <f t="shared" si="6"/>
        <v>12835</v>
      </c>
      <c r="S32" s="28">
        <f t="shared" si="6"/>
        <v>1.3102</v>
      </c>
      <c r="T32" s="27">
        <f t="shared" si="6"/>
        <v>1.1435</v>
      </c>
      <c r="U32" s="26">
        <f t="shared" si="6"/>
        <v>111.35</v>
      </c>
      <c r="V32" s="25">
        <f t="shared" si="6"/>
        <v>10076.99</v>
      </c>
      <c r="W32" s="25">
        <f t="shared" si="6"/>
        <v>10104.08</v>
      </c>
      <c r="X32" s="25">
        <f t="shared" si="6"/>
        <v>11439.806953257663</v>
      </c>
      <c r="Y32" s="24">
        <f t="shared" si="6"/>
        <v>1.3102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11055</v>
      </c>
      <c r="D33" s="21">
        <f t="shared" si="7"/>
        <v>11055</v>
      </c>
      <c r="E33" s="20">
        <f t="shared" si="7"/>
        <v>11055</v>
      </c>
      <c r="F33" s="22">
        <f t="shared" si="7"/>
        <v>11142</v>
      </c>
      <c r="G33" s="21">
        <f t="shared" si="7"/>
        <v>11142</v>
      </c>
      <c r="H33" s="20">
        <f t="shared" si="7"/>
        <v>11142</v>
      </c>
      <c r="I33" s="22">
        <f t="shared" si="7"/>
        <v>11537</v>
      </c>
      <c r="J33" s="21">
        <f t="shared" si="7"/>
        <v>11537</v>
      </c>
      <c r="K33" s="20">
        <f t="shared" si="7"/>
        <v>11537</v>
      </c>
      <c r="L33" s="22">
        <f t="shared" si="7"/>
        <v>11812</v>
      </c>
      <c r="M33" s="21">
        <f t="shared" si="7"/>
        <v>11812</v>
      </c>
      <c r="N33" s="20">
        <f t="shared" si="7"/>
        <v>11812</v>
      </c>
      <c r="O33" s="22">
        <f t="shared" si="7"/>
        <v>12062</v>
      </c>
      <c r="P33" s="21">
        <f t="shared" si="7"/>
        <v>12062</v>
      </c>
      <c r="Q33" s="20">
        <f t="shared" si="7"/>
        <v>12062</v>
      </c>
      <c r="R33" s="19">
        <f t="shared" si="7"/>
        <v>11055</v>
      </c>
      <c r="S33" s="18">
        <f t="shared" si="7"/>
        <v>1.1625000000000001</v>
      </c>
      <c r="T33" s="17">
        <f t="shared" si="7"/>
        <v>1.0709</v>
      </c>
      <c r="U33" s="16">
        <f t="shared" si="7"/>
        <v>102.3</v>
      </c>
      <c r="V33" s="15">
        <f t="shared" si="7"/>
        <v>9076.2800000000007</v>
      </c>
      <c r="W33" s="15">
        <f t="shared" si="7"/>
        <v>9109.09</v>
      </c>
      <c r="X33" s="15">
        <f t="shared" si="7"/>
        <v>10197.992948196365</v>
      </c>
      <c r="Y33" s="14">
        <f t="shared" si="7"/>
        <v>1.1625000000000001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6"/>
  <sheetViews>
    <sheetView zoomScale="150" zoomScaleNormal="150" workbookViewId="0">
      <pane ySplit="8" topLeftCell="A9" activePane="bottomLeft" state="frozen"/>
      <selection activeCell="C46" sqref="C46"/>
      <selection pane="bottomLeft" activeCell="J41" sqref="J41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43892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43892</v>
      </c>
      <c r="C9" s="46">
        <v>31000</v>
      </c>
      <c r="D9" s="45">
        <v>33000</v>
      </c>
      <c r="E9" s="44">
        <f t="shared" ref="E9:E30" si="0">AVERAGE(C9:D9)</f>
        <v>32000</v>
      </c>
      <c r="F9" s="46">
        <v>31500</v>
      </c>
      <c r="G9" s="45">
        <v>33500</v>
      </c>
      <c r="H9" s="44">
        <f t="shared" ref="H9:H30" si="1">AVERAGE(F9:G9)</f>
        <v>32500</v>
      </c>
      <c r="I9" s="46">
        <v>33880</v>
      </c>
      <c r="J9" s="45">
        <v>34880</v>
      </c>
      <c r="K9" s="44">
        <f t="shared" ref="K9:K30" si="2">AVERAGE(I9:J9)</f>
        <v>34380</v>
      </c>
      <c r="L9" s="52">
        <v>33000</v>
      </c>
      <c r="M9" s="51">
        <v>1.2753000000000001</v>
      </c>
      <c r="N9" s="53">
        <v>1.1113</v>
      </c>
      <c r="O9" s="50">
        <v>107.8</v>
      </c>
      <c r="P9" s="43">
        <v>25876.26</v>
      </c>
      <c r="Q9" s="43">
        <v>26212.83</v>
      </c>
      <c r="R9" s="49">
        <f t="shared" ref="R9:R30" si="3">L9/N9</f>
        <v>29694.951858184111</v>
      </c>
      <c r="S9" s="48">
        <v>1.278</v>
      </c>
    </row>
    <row r="10" spans="1:19" x14ac:dyDescent="0.2">
      <c r="B10" s="47">
        <v>43893</v>
      </c>
      <c r="C10" s="46">
        <v>31000</v>
      </c>
      <c r="D10" s="45">
        <v>33000</v>
      </c>
      <c r="E10" s="44">
        <f t="shared" si="0"/>
        <v>32000</v>
      </c>
      <c r="F10" s="46">
        <v>31500</v>
      </c>
      <c r="G10" s="45">
        <v>33500</v>
      </c>
      <c r="H10" s="44">
        <f t="shared" si="1"/>
        <v>32500</v>
      </c>
      <c r="I10" s="46">
        <v>33875</v>
      </c>
      <c r="J10" s="45">
        <v>34875</v>
      </c>
      <c r="K10" s="44">
        <f t="shared" si="2"/>
        <v>34375</v>
      </c>
      <c r="L10" s="52">
        <v>33000</v>
      </c>
      <c r="M10" s="51">
        <v>1.2778</v>
      </c>
      <c r="N10" s="51">
        <v>1.1117999999999999</v>
      </c>
      <c r="O10" s="50">
        <v>107.73</v>
      </c>
      <c r="P10" s="43">
        <v>25825.64</v>
      </c>
      <c r="Q10" s="43">
        <v>26165.74</v>
      </c>
      <c r="R10" s="49">
        <f t="shared" si="3"/>
        <v>29681.597409606045</v>
      </c>
      <c r="S10" s="48">
        <v>1.2803</v>
      </c>
    </row>
    <row r="11" spans="1:19" x14ac:dyDescent="0.2">
      <c r="B11" s="47">
        <v>43894</v>
      </c>
      <c r="C11" s="46">
        <v>31000</v>
      </c>
      <c r="D11" s="45">
        <v>33000</v>
      </c>
      <c r="E11" s="44">
        <f t="shared" si="0"/>
        <v>32000</v>
      </c>
      <c r="F11" s="46">
        <v>31500</v>
      </c>
      <c r="G11" s="45">
        <v>33500</v>
      </c>
      <c r="H11" s="44">
        <f t="shared" si="1"/>
        <v>32500</v>
      </c>
      <c r="I11" s="46">
        <v>33870</v>
      </c>
      <c r="J11" s="45">
        <v>34870</v>
      </c>
      <c r="K11" s="44">
        <f t="shared" si="2"/>
        <v>34370</v>
      </c>
      <c r="L11" s="52">
        <v>33000</v>
      </c>
      <c r="M11" s="51">
        <v>1.28</v>
      </c>
      <c r="N11" s="51">
        <v>1.1113</v>
      </c>
      <c r="O11" s="50">
        <v>107.55</v>
      </c>
      <c r="P11" s="43">
        <v>25781.25</v>
      </c>
      <c r="Q11" s="43">
        <v>26131.05</v>
      </c>
      <c r="R11" s="49">
        <f t="shared" si="3"/>
        <v>29694.951858184111</v>
      </c>
      <c r="S11" s="48">
        <v>1.282</v>
      </c>
    </row>
    <row r="12" spans="1:19" x14ac:dyDescent="0.2">
      <c r="B12" s="47">
        <v>43895</v>
      </c>
      <c r="C12" s="46">
        <v>31000</v>
      </c>
      <c r="D12" s="45">
        <v>33000</v>
      </c>
      <c r="E12" s="44">
        <f t="shared" si="0"/>
        <v>32000</v>
      </c>
      <c r="F12" s="46">
        <v>31500</v>
      </c>
      <c r="G12" s="45">
        <v>33500</v>
      </c>
      <c r="H12" s="44">
        <f t="shared" si="1"/>
        <v>32500</v>
      </c>
      <c r="I12" s="46">
        <v>33865</v>
      </c>
      <c r="J12" s="45">
        <v>34865</v>
      </c>
      <c r="K12" s="44">
        <f t="shared" si="2"/>
        <v>34365</v>
      </c>
      <c r="L12" s="52">
        <v>33000</v>
      </c>
      <c r="M12" s="51">
        <v>1.2914000000000001</v>
      </c>
      <c r="N12" s="51">
        <v>1.1189</v>
      </c>
      <c r="O12" s="50">
        <v>106.92</v>
      </c>
      <c r="P12" s="43">
        <v>25553.66</v>
      </c>
      <c r="Q12" s="43">
        <v>25904.73</v>
      </c>
      <c r="R12" s="49">
        <f t="shared" si="3"/>
        <v>29493.252301367414</v>
      </c>
      <c r="S12" s="48">
        <v>1.2931999999999999</v>
      </c>
    </row>
    <row r="13" spans="1:19" x14ac:dyDescent="0.2">
      <c r="B13" s="47">
        <v>43896</v>
      </c>
      <c r="C13" s="46">
        <v>31000</v>
      </c>
      <c r="D13" s="45">
        <v>33000</v>
      </c>
      <c r="E13" s="44">
        <f t="shared" si="0"/>
        <v>32000</v>
      </c>
      <c r="F13" s="46">
        <v>31500</v>
      </c>
      <c r="G13" s="45">
        <v>33500</v>
      </c>
      <c r="H13" s="44">
        <f t="shared" si="1"/>
        <v>32500</v>
      </c>
      <c r="I13" s="46">
        <v>33865</v>
      </c>
      <c r="J13" s="45">
        <v>34865</v>
      </c>
      <c r="K13" s="44">
        <f t="shared" si="2"/>
        <v>34365</v>
      </c>
      <c r="L13" s="52">
        <v>33000</v>
      </c>
      <c r="M13" s="51">
        <v>1.2994000000000001</v>
      </c>
      <c r="N13" s="51">
        <v>1.1315999999999999</v>
      </c>
      <c r="O13" s="50">
        <v>105.19</v>
      </c>
      <c r="P13" s="43">
        <v>25396.34</v>
      </c>
      <c r="Q13" s="43">
        <v>25749.42</v>
      </c>
      <c r="R13" s="49">
        <f t="shared" si="3"/>
        <v>29162.248144220575</v>
      </c>
      <c r="S13" s="48">
        <v>1.3009999999999999</v>
      </c>
    </row>
    <row r="14" spans="1:19" x14ac:dyDescent="0.2">
      <c r="B14" s="47">
        <v>43899</v>
      </c>
      <c r="C14" s="46">
        <v>31000</v>
      </c>
      <c r="D14" s="45">
        <v>33000</v>
      </c>
      <c r="E14" s="44">
        <f t="shared" si="0"/>
        <v>32000</v>
      </c>
      <c r="F14" s="46">
        <v>31500</v>
      </c>
      <c r="G14" s="45">
        <v>33500</v>
      </c>
      <c r="H14" s="44">
        <f t="shared" si="1"/>
        <v>32500</v>
      </c>
      <c r="I14" s="46">
        <v>33845</v>
      </c>
      <c r="J14" s="45">
        <v>34845</v>
      </c>
      <c r="K14" s="44">
        <f t="shared" si="2"/>
        <v>34345</v>
      </c>
      <c r="L14" s="52">
        <v>33000</v>
      </c>
      <c r="M14" s="51">
        <v>1.3102</v>
      </c>
      <c r="N14" s="51">
        <v>1.1435</v>
      </c>
      <c r="O14" s="50">
        <v>102.3</v>
      </c>
      <c r="P14" s="43">
        <v>25186.99</v>
      </c>
      <c r="Q14" s="43">
        <v>25568.62</v>
      </c>
      <c r="R14" s="49">
        <f t="shared" si="3"/>
        <v>28858.76694359423</v>
      </c>
      <c r="S14" s="48">
        <v>1.3102</v>
      </c>
    </row>
    <row r="15" spans="1:19" x14ac:dyDescent="0.2">
      <c r="B15" s="47">
        <v>43900</v>
      </c>
      <c r="C15" s="46">
        <v>31000</v>
      </c>
      <c r="D15" s="45">
        <v>33000</v>
      </c>
      <c r="E15" s="44">
        <f t="shared" si="0"/>
        <v>32000</v>
      </c>
      <c r="F15" s="46">
        <v>31500</v>
      </c>
      <c r="G15" s="45">
        <v>33500</v>
      </c>
      <c r="H15" s="44">
        <f t="shared" si="1"/>
        <v>32500</v>
      </c>
      <c r="I15" s="46">
        <v>33840</v>
      </c>
      <c r="J15" s="45">
        <v>34840</v>
      </c>
      <c r="K15" s="44">
        <f t="shared" si="2"/>
        <v>34340</v>
      </c>
      <c r="L15" s="52">
        <v>33000</v>
      </c>
      <c r="M15" s="51">
        <v>1.3024</v>
      </c>
      <c r="N15" s="51">
        <v>1.1379999999999999</v>
      </c>
      <c r="O15" s="50">
        <v>104.24</v>
      </c>
      <c r="P15" s="43">
        <v>25337.84</v>
      </c>
      <c r="Q15" s="43">
        <v>25721.74</v>
      </c>
      <c r="R15" s="49">
        <f t="shared" si="3"/>
        <v>28998.242530755713</v>
      </c>
      <c r="S15" s="48">
        <v>1.3024</v>
      </c>
    </row>
    <row r="16" spans="1:19" x14ac:dyDescent="0.2">
      <c r="B16" s="47">
        <v>43901</v>
      </c>
      <c r="C16" s="46">
        <v>31000</v>
      </c>
      <c r="D16" s="45">
        <v>33000</v>
      </c>
      <c r="E16" s="44">
        <f t="shared" si="0"/>
        <v>32000</v>
      </c>
      <c r="F16" s="46">
        <v>31500</v>
      </c>
      <c r="G16" s="45">
        <v>33500</v>
      </c>
      <c r="H16" s="44">
        <f t="shared" si="1"/>
        <v>32500</v>
      </c>
      <c r="I16" s="46">
        <v>33830</v>
      </c>
      <c r="J16" s="45">
        <v>34830</v>
      </c>
      <c r="K16" s="44">
        <f t="shared" si="2"/>
        <v>34330</v>
      </c>
      <c r="L16" s="52">
        <v>33000</v>
      </c>
      <c r="M16" s="51">
        <v>1.2941</v>
      </c>
      <c r="N16" s="51">
        <v>1.1339999999999999</v>
      </c>
      <c r="O16" s="50">
        <v>104.45</v>
      </c>
      <c r="P16" s="43">
        <v>25500.35</v>
      </c>
      <c r="Q16" s="43">
        <v>25862.73</v>
      </c>
      <c r="R16" s="49">
        <f t="shared" si="3"/>
        <v>29100.529100529104</v>
      </c>
      <c r="S16" s="48">
        <v>1.2952999999999999</v>
      </c>
    </row>
    <row r="17" spans="2:19" x14ac:dyDescent="0.2">
      <c r="B17" s="47">
        <v>43902</v>
      </c>
      <c r="C17" s="46">
        <v>27000</v>
      </c>
      <c r="D17" s="45">
        <v>28000</v>
      </c>
      <c r="E17" s="44">
        <f t="shared" si="0"/>
        <v>27500</v>
      </c>
      <c r="F17" s="46">
        <v>30100</v>
      </c>
      <c r="G17" s="45">
        <v>32100</v>
      </c>
      <c r="H17" s="44">
        <f t="shared" si="1"/>
        <v>31100</v>
      </c>
      <c r="I17" s="46">
        <v>32425</v>
      </c>
      <c r="J17" s="45">
        <v>33425</v>
      </c>
      <c r="K17" s="44">
        <f t="shared" si="2"/>
        <v>32925</v>
      </c>
      <c r="L17" s="52">
        <v>28000</v>
      </c>
      <c r="M17" s="51">
        <v>1.2662</v>
      </c>
      <c r="N17" s="51">
        <v>1.1214999999999999</v>
      </c>
      <c r="O17" s="50">
        <v>104.13</v>
      </c>
      <c r="P17" s="43">
        <v>22113.41</v>
      </c>
      <c r="Q17" s="43">
        <v>25351.45</v>
      </c>
      <c r="R17" s="49">
        <f t="shared" si="3"/>
        <v>24966.562639322339</v>
      </c>
      <c r="S17" s="48">
        <v>1.2662</v>
      </c>
    </row>
    <row r="18" spans="2:19" x14ac:dyDescent="0.2">
      <c r="B18" s="47">
        <v>43903</v>
      </c>
      <c r="C18" s="46">
        <v>27000</v>
      </c>
      <c r="D18" s="45">
        <v>28000</v>
      </c>
      <c r="E18" s="44">
        <f t="shared" si="0"/>
        <v>27500</v>
      </c>
      <c r="F18" s="46">
        <v>30100</v>
      </c>
      <c r="G18" s="45">
        <v>32100</v>
      </c>
      <c r="H18" s="44">
        <f t="shared" si="1"/>
        <v>31100</v>
      </c>
      <c r="I18" s="46">
        <v>32475</v>
      </c>
      <c r="J18" s="45">
        <v>33475</v>
      </c>
      <c r="K18" s="44">
        <f t="shared" si="2"/>
        <v>32975</v>
      </c>
      <c r="L18" s="52">
        <v>28000</v>
      </c>
      <c r="M18" s="51">
        <v>1.2468999999999999</v>
      </c>
      <c r="N18" s="51">
        <v>1.111</v>
      </c>
      <c r="O18" s="50">
        <v>107.31</v>
      </c>
      <c r="P18" s="43">
        <v>22455.69</v>
      </c>
      <c r="Q18" s="43">
        <v>25700.560000000001</v>
      </c>
      <c r="R18" s="49">
        <f t="shared" si="3"/>
        <v>25202.520252025202</v>
      </c>
      <c r="S18" s="48">
        <v>1.2490000000000001</v>
      </c>
    </row>
    <row r="19" spans="2:19" x14ac:dyDescent="0.2">
      <c r="B19" s="47">
        <v>43906</v>
      </c>
      <c r="C19" s="46">
        <v>28000</v>
      </c>
      <c r="D19" s="45">
        <v>29000</v>
      </c>
      <c r="E19" s="44">
        <f t="shared" si="0"/>
        <v>28500</v>
      </c>
      <c r="F19" s="46">
        <v>28500</v>
      </c>
      <c r="G19" s="45">
        <v>29500</v>
      </c>
      <c r="H19" s="44">
        <f t="shared" si="1"/>
        <v>29000</v>
      </c>
      <c r="I19" s="46">
        <v>30305</v>
      </c>
      <c r="J19" s="45">
        <v>31305</v>
      </c>
      <c r="K19" s="44">
        <f t="shared" si="2"/>
        <v>30805</v>
      </c>
      <c r="L19" s="52">
        <v>29000</v>
      </c>
      <c r="M19" s="51">
        <v>1.2274</v>
      </c>
      <c r="N19" s="51">
        <v>1.1166</v>
      </c>
      <c r="O19" s="50">
        <v>105.29</v>
      </c>
      <c r="P19" s="43">
        <v>23627.18</v>
      </c>
      <c r="Q19" s="43">
        <v>23987.64</v>
      </c>
      <c r="R19" s="49">
        <f t="shared" si="3"/>
        <v>25971.699802973311</v>
      </c>
      <c r="S19" s="48">
        <v>1.2298</v>
      </c>
    </row>
    <row r="20" spans="2:19" x14ac:dyDescent="0.2">
      <c r="B20" s="47">
        <v>43907</v>
      </c>
      <c r="C20" s="46">
        <v>28500</v>
      </c>
      <c r="D20" s="45">
        <v>29500</v>
      </c>
      <c r="E20" s="44">
        <f t="shared" si="0"/>
        <v>29000</v>
      </c>
      <c r="F20" s="46">
        <v>29000</v>
      </c>
      <c r="G20" s="45">
        <v>30000</v>
      </c>
      <c r="H20" s="44">
        <f t="shared" si="1"/>
        <v>29500</v>
      </c>
      <c r="I20" s="46">
        <v>30800</v>
      </c>
      <c r="J20" s="45">
        <v>31800</v>
      </c>
      <c r="K20" s="44">
        <f t="shared" si="2"/>
        <v>31300</v>
      </c>
      <c r="L20" s="52">
        <v>29500</v>
      </c>
      <c r="M20" s="51">
        <v>1.2092000000000001</v>
      </c>
      <c r="N20" s="51">
        <v>1.0989</v>
      </c>
      <c r="O20" s="50">
        <v>107.06</v>
      </c>
      <c r="P20" s="43">
        <v>24396.3</v>
      </c>
      <c r="Q20" s="43">
        <v>24738.19</v>
      </c>
      <c r="R20" s="49">
        <f t="shared" si="3"/>
        <v>26845.026845026845</v>
      </c>
      <c r="S20" s="48">
        <v>1.2126999999999999</v>
      </c>
    </row>
    <row r="21" spans="2:19" x14ac:dyDescent="0.2">
      <c r="B21" s="47">
        <v>43908</v>
      </c>
      <c r="C21" s="46">
        <v>28500</v>
      </c>
      <c r="D21" s="45">
        <v>29500</v>
      </c>
      <c r="E21" s="44">
        <f t="shared" si="0"/>
        <v>29000</v>
      </c>
      <c r="F21" s="46">
        <v>29000</v>
      </c>
      <c r="G21" s="45">
        <v>30000</v>
      </c>
      <c r="H21" s="44">
        <f t="shared" si="1"/>
        <v>29500</v>
      </c>
      <c r="I21" s="46">
        <v>30795</v>
      </c>
      <c r="J21" s="45">
        <v>31795</v>
      </c>
      <c r="K21" s="44">
        <f t="shared" si="2"/>
        <v>31295</v>
      </c>
      <c r="L21" s="52">
        <v>29500</v>
      </c>
      <c r="M21" s="51">
        <v>1.1843999999999999</v>
      </c>
      <c r="N21" s="51">
        <v>1.0931</v>
      </c>
      <c r="O21" s="50">
        <v>107.64</v>
      </c>
      <c r="P21" s="43">
        <v>24907.13</v>
      </c>
      <c r="Q21" s="43">
        <v>25286.58</v>
      </c>
      <c r="R21" s="49">
        <f t="shared" si="3"/>
        <v>26987.466837434818</v>
      </c>
      <c r="S21" s="48">
        <v>1.1863999999999999</v>
      </c>
    </row>
    <row r="22" spans="2:19" x14ac:dyDescent="0.2">
      <c r="B22" s="47">
        <v>43909</v>
      </c>
      <c r="C22" s="46">
        <v>28500</v>
      </c>
      <c r="D22" s="45">
        <v>29500</v>
      </c>
      <c r="E22" s="44">
        <f t="shared" si="0"/>
        <v>29000</v>
      </c>
      <c r="F22" s="46">
        <v>29000</v>
      </c>
      <c r="G22" s="45">
        <v>30000</v>
      </c>
      <c r="H22" s="44">
        <f t="shared" si="1"/>
        <v>29500</v>
      </c>
      <c r="I22" s="46">
        <v>30790</v>
      </c>
      <c r="J22" s="45">
        <v>31790</v>
      </c>
      <c r="K22" s="44">
        <f t="shared" si="2"/>
        <v>31290</v>
      </c>
      <c r="L22" s="52">
        <v>29500</v>
      </c>
      <c r="M22" s="51">
        <v>1.1625000000000001</v>
      </c>
      <c r="N22" s="51">
        <v>1.0799000000000001</v>
      </c>
      <c r="O22" s="50">
        <v>109.79</v>
      </c>
      <c r="P22" s="43">
        <v>25376.34</v>
      </c>
      <c r="Q22" s="43">
        <v>25806.45</v>
      </c>
      <c r="R22" s="49">
        <f t="shared" si="3"/>
        <v>27317.344198536899</v>
      </c>
      <c r="S22" s="48">
        <v>1.1625000000000001</v>
      </c>
    </row>
    <row r="23" spans="2:19" x14ac:dyDescent="0.2">
      <c r="B23" s="47">
        <v>43910</v>
      </c>
      <c r="C23" s="46">
        <v>28500</v>
      </c>
      <c r="D23" s="45">
        <v>29500</v>
      </c>
      <c r="E23" s="44">
        <f t="shared" si="0"/>
        <v>29000</v>
      </c>
      <c r="F23" s="46">
        <v>29000</v>
      </c>
      <c r="G23" s="45">
        <v>30000</v>
      </c>
      <c r="H23" s="44">
        <f t="shared" si="1"/>
        <v>29500</v>
      </c>
      <c r="I23" s="46">
        <v>30790</v>
      </c>
      <c r="J23" s="45">
        <v>31790</v>
      </c>
      <c r="K23" s="44">
        <f t="shared" si="2"/>
        <v>31290</v>
      </c>
      <c r="L23" s="52">
        <v>29500</v>
      </c>
      <c r="M23" s="51">
        <v>1.1779999999999999</v>
      </c>
      <c r="N23" s="51">
        <v>1.0709</v>
      </c>
      <c r="O23" s="50">
        <v>110.37</v>
      </c>
      <c r="P23" s="43">
        <v>25042.44</v>
      </c>
      <c r="Q23" s="43">
        <v>25415.11</v>
      </c>
      <c r="R23" s="49">
        <f t="shared" si="3"/>
        <v>27546.923148753387</v>
      </c>
      <c r="S23" s="48">
        <v>1.1803999999999999</v>
      </c>
    </row>
    <row r="24" spans="2:19" x14ac:dyDescent="0.2">
      <c r="B24" s="47">
        <v>43913</v>
      </c>
      <c r="C24" s="46">
        <v>29500</v>
      </c>
      <c r="D24" s="45">
        <v>29500</v>
      </c>
      <c r="E24" s="44">
        <f t="shared" si="0"/>
        <v>29500</v>
      </c>
      <c r="F24" s="46">
        <v>30000</v>
      </c>
      <c r="G24" s="45">
        <v>30000</v>
      </c>
      <c r="H24" s="44">
        <f t="shared" si="1"/>
        <v>30000</v>
      </c>
      <c r="I24" s="46">
        <v>31770</v>
      </c>
      <c r="J24" s="45">
        <v>31770</v>
      </c>
      <c r="K24" s="44">
        <f t="shared" si="2"/>
        <v>31770</v>
      </c>
      <c r="L24" s="52">
        <v>29500</v>
      </c>
      <c r="M24" s="51">
        <v>1.1633</v>
      </c>
      <c r="N24" s="51">
        <v>1.0780000000000001</v>
      </c>
      <c r="O24" s="50">
        <v>110.23</v>
      </c>
      <c r="P24" s="43">
        <v>25358.89</v>
      </c>
      <c r="Q24" s="43">
        <v>25746.65</v>
      </c>
      <c r="R24" s="49">
        <f t="shared" si="3"/>
        <v>27365.491651205935</v>
      </c>
      <c r="S24" s="48">
        <v>1.1652</v>
      </c>
    </row>
    <row r="25" spans="2:19" x14ac:dyDescent="0.2">
      <c r="B25" s="47">
        <v>43914</v>
      </c>
      <c r="C25" s="46">
        <v>29500</v>
      </c>
      <c r="D25" s="45">
        <v>29500</v>
      </c>
      <c r="E25" s="44">
        <f t="shared" si="0"/>
        <v>29500</v>
      </c>
      <c r="F25" s="46">
        <v>30000</v>
      </c>
      <c r="G25" s="45">
        <v>30000</v>
      </c>
      <c r="H25" s="44">
        <f t="shared" si="1"/>
        <v>30000</v>
      </c>
      <c r="I25" s="46">
        <v>31765</v>
      </c>
      <c r="J25" s="45">
        <v>31765</v>
      </c>
      <c r="K25" s="44">
        <f t="shared" si="2"/>
        <v>31765</v>
      </c>
      <c r="L25" s="52">
        <v>29500</v>
      </c>
      <c r="M25" s="51">
        <v>1.1753</v>
      </c>
      <c r="N25" s="51">
        <v>1.0822000000000001</v>
      </c>
      <c r="O25" s="50">
        <v>110.82</v>
      </c>
      <c r="P25" s="43">
        <v>25099.97</v>
      </c>
      <c r="Q25" s="43">
        <v>25477.71</v>
      </c>
      <c r="R25" s="49">
        <f t="shared" si="3"/>
        <v>27259.286638329329</v>
      </c>
      <c r="S25" s="48">
        <v>1.1775</v>
      </c>
    </row>
    <row r="26" spans="2:19" x14ac:dyDescent="0.2">
      <c r="B26" s="47">
        <v>43915</v>
      </c>
      <c r="C26" s="46">
        <v>29500</v>
      </c>
      <c r="D26" s="45">
        <v>29500</v>
      </c>
      <c r="E26" s="44">
        <f t="shared" si="0"/>
        <v>29500</v>
      </c>
      <c r="F26" s="46">
        <v>30000</v>
      </c>
      <c r="G26" s="45">
        <v>30000</v>
      </c>
      <c r="H26" s="44">
        <f t="shared" si="1"/>
        <v>30000</v>
      </c>
      <c r="I26" s="46">
        <v>31760</v>
      </c>
      <c r="J26" s="45">
        <v>31760</v>
      </c>
      <c r="K26" s="44">
        <f t="shared" si="2"/>
        <v>31760</v>
      </c>
      <c r="L26" s="52">
        <v>29500</v>
      </c>
      <c r="M26" s="51">
        <v>1.1838</v>
      </c>
      <c r="N26" s="51">
        <v>1.0820000000000001</v>
      </c>
      <c r="O26" s="50">
        <v>111.35</v>
      </c>
      <c r="P26" s="43">
        <v>24919.75</v>
      </c>
      <c r="Q26" s="43">
        <v>25299.38</v>
      </c>
      <c r="R26" s="49">
        <f t="shared" si="3"/>
        <v>27264.325323475045</v>
      </c>
      <c r="S26" s="48">
        <v>1.1858</v>
      </c>
    </row>
    <row r="27" spans="2:19" x14ac:dyDescent="0.2">
      <c r="B27" s="47">
        <v>43916</v>
      </c>
      <c r="C27" s="46">
        <v>29500</v>
      </c>
      <c r="D27" s="45">
        <v>29500</v>
      </c>
      <c r="E27" s="44">
        <f t="shared" si="0"/>
        <v>29500</v>
      </c>
      <c r="F27" s="46">
        <v>30000</v>
      </c>
      <c r="G27" s="45">
        <v>30000</v>
      </c>
      <c r="H27" s="44">
        <f t="shared" si="1"/>
        <v>30000</v>
      </c>
      <c r="I27" s="46">
        <v>31750</v>
      </c>
      <c r="J27" s="45">
        <v>31750</v>
      </c>
      <c r="K27" s="44">
        <f t="shared" si="2"/>
        <v>31750</v>
      </c>
      <c r="L27" s="52">
        <v>29500</v>
      </c>
      <c r="M27" s="51">
        <v>1.1988000000000001</v>
      </c>
      <c r="N27" s="51">
        <v>1.0972</v>
      </c>
      <c r="O27" s="50">
        <v>109.67</v>
      </c>
      <c r="P27" s="43">
        <v>24607.94</v>
      </c>
      <c r="Q27" s="43">
        <v>24985.43</v>
      </c>
      <c r="R27" s="49">
        <f t="shared" si="3"/>
        <v>26886.620488516226</v>
      </c>
      <c r="S27" s="48">
        <v>1.2007000000000001</v>
      </c>
    </row>
    <row r="28" spans="2:19" x14ac:dyDescent="0.2">
      <c r="B28" s="47">
        <v>43917</v>
      </c>
      <c r="C28" s="46">
        <v>29500</v>
      </c>
      <c r="D28" s="45">
        <v>29500</v>
      </c>
      <c r="E28" s="44">
        <f t="shared" si="0"/>
        <v>29500</v>
      </c>
      <c r="F28" s="46">
        <v>30000</v>
      </c>
      <c r="G28" s="45">
        <v>30000</v>
      </c>
      <c r="H28" s="44">
        <f t="shared" si="1"/>
        <v>30000</v>
      </c>
      <c r="I28" s="46">
        <v>31750</v>
      </c>
      <c r="J28" s="45">
        <v>31750</v>
      </c>
      <c r="K28" s="44">
        <f t="shared" si="2"/>
        <v>31750</v>
      </c>
      <c r="L28" s="52">
        <v>29500</v>
      </c>
      <c r="M28" s="51">
        <v>1.2251000000000001</v>
      </c>
      <c r="N28" s="51">
        <v>1.0986</v>
      </c>
      <c r="O28" s="50">
        <v>108.79</v>
      </c>
      <c r="P28" s="43">
        <v>24079.67</v>
      </c>
      <c r="Q28" s="43">
        <v>24449.88</v>
      </c>
      <c r="R28" s="49">
        <f t="shared" si="3"/>
        <v>26852.357545967596</v>
      </c>
      <c r="S28" s="48">
        <v>1.2270000000000001</v>
      </c>
    </row>
    <row r="29" spans="2:19" x14ac:dyDescent="0.2">
      <c r="B29" s="47">
        <v>43920</v>
      </c>
      <c r="C29" s="46">
        <v>29500</v>
      </c>
      <c r="D29" s="45">
        <v>29500</v>
      </c>
      <c r="E29" s="44">
        <f t="shared" si="0"/>
        <v>29500</v>
      </c>
      <c r="F29" s="46">
        <v>30000</v>
      </c>
      <c r="G29" s="45">
        <v>30000</v>
      </c>
      <c r="H29" s="44">
        <f t="shared" si="1"/>
        <v>30000</v>
      </c>
      <c r="I29" s="46">
        <v>31730</v>
      </c>
      <c r="J29" s="45">
        <v>31730</v>
      </c>
      <c r="K29" s="44">
        <f t="shared" si="2"/>
        <v>31730</v>
      </c>
      <c r="L29" s="52">
        <v>29500</v>
      </c>
      <c r="M29" s="51">
        <v>1.2427999999999999</v>
      </c>
      <c r="N29" s="51">
        <v>1.1061000000000001</v>
      </c>
      <c r="O29" s="50">
        <v>107.99</v>
      </c>
      <c r="P29" s="43">
        <v>23736.720000000001</v>
      </c>
      <c r="Q29" s="43">
        <v>24100.26</v>
      </c>
      <c r="R29" s="49">
        <f t="shared" si="3"/>
        <v>26670.282976222763</v>
      </c>
      <c r="S29" s="48">
        <v>1.2447999999999999</v>
      </c>
    </row>
    <row r="30" spans="2:19" x14ac:dyDescent="0.2">
      <c r="B30" s="47">
        <v>43921</v>
      </c>
      <c r="C30" s="46">
        <v>29500</v>
      </c>
      <c r="D30" s="45">
        <v>29500</v>
      </c>
      <c r="E30" s="44">
        <f t="shared" si="0"/>
        <v>29500</v>
      </c>
      <c r="F30" s="46">
        <v>30000</v>
      </c>
      <c r="G30" s="45">
        <v>30000</v>
      </c>
      <c r="H30" s="44">
        <f t="shared" si="1"/>
        <v>30000</v>
      </c>
      <c r="I30" s="46">
        <v>31730</v>
      </c>
      <c r="J30" s="45">
        <v>31730</v>
      </c>
      <c r="K30" s="44">
        <f t="shared" si="2"/>
        <v>31730</v>
      </c>
      <c r="L30" s="52">
        <v>29500</v>
      </c>
      <c r="M30" s="51">
        <v>1.2351000000000001</v>
      </c>
      <c r="N30" s="51">
        <v>1.0952999999999999</v>
      </c>
      <c r="O30" s="50">
        <v>108.57</v>
      </c>
      <c r="P30" s="43">
        <v>23884.71</v>
      </c>
      <c r="Q30" s="43">
        <v>24250.26</v>
      </c>
      <c r="R30" s="49">
        <f t="shared" si="3"/>
        <v>26933.260293983385</v>
      </c>
      <c r="S30" s="48">
        <v>1.2371000000000001</v>
      </c>
    </row>
    <row r="31" spans="2:19" s="10" customFormat="1" x14ac:dyDescent="0.2">
      <c r="B31" s="42" t="s">
        <v>11</v>
      </c>
      <c r="C31" s="41">
        <f>ROUND(AVERAGE(C9:C30),2)</f>
        <v>29568.18</v>
      </c>
      <c r="D31" s="40">
        <f>ROUND(AVERAGE(D9:D30),2)</f>
        <v>30613.64</v>
      </c>
      <c r="E31" s="39">
        <f>ROUND(AVERAGE(C31:D31),2)</f>
        <v>30090.91</v>
      </c>
      <c r="F31" s="41">
        <f>ROUND(AVERAGE(F9:F30),2)</f>
        <v>30304.55</v>
      </c>
      <c r="G31" s="40">
        <f>ROUND(AVERAGE(G9:G30),2)</f>
        <v>31440.91</v>
      </c>
      <c r="H31" s="39">
        <f>ROUND(AVERAGE(F31:G31),2)</f>
        <v>30872.73</v>
      </c>
      <c r="I31" s="41">
        <f>ROUND(AVERAGE(I9:I30),2)</f>
        <v>32341.14</v>
      </c>
      <c r="J31" s="40">
        <f>ROUND(AVERAGE(J9:J30),2)</f>
        <v>33022.949999999997</v>
      </c>
      <c r="K31" s="39">
        <f>ROUND(AVERAGE(I31:J31),2)</f>
        <v>32682.05</v>
      </c>
      <c r="L31" s="38">
        <f>ROUND(AVERAGE(L9:L30),2)</f>
        <v>30613.64</v>
      </c>
      <c r="M31" s="37">
        <f>ROUND(AVERAGE(M9:M30),4)</f>
        <v>1.2377</v>
      </c>
      <c r="N31" s="36">
        <f>ROUND(AVERAGE(N9:N30),4)</f>
        <v>1.1060000000000001</v>
      </c>
      <c r="O31" s="175">
        <f>ROUND(AVERAGE(O9:O30),2)</f>
        <v>107.51</v>
      </c>
      <c r="P31" s="35">
        <f>AVERAGE(P9:P30)</f>
        <v>24730.203181818182</v>
      </c>
      <c r="Q31" s="35">
        <f>AVERAGE(Q9:Q30)</f>
        <v>25359.655000000002</v>
      </c>
      <c r="R31" s="35">
        <f>AVERAGE(R9:R30)</f>
        <v>27670.623126737017</v>
      </c>
      <c r="S31" s="34">
        <f>AVERAGE(S9:S30)</f>
        <v>1.2394318181818182</v>
      </c>
    </row>
    <row r="32" spans="2:19" s="5" customFormat="1" x14ac:dyDescent="0.2">
      <c r="B32" s="33" t="s">
        <v>12</v>
      </c>
      <c r="C32" s="32">
        <f t="shared" ref="C32:S32" si="4">MAX(C9:C30)</f>
        <v>31000</v>
      </c>
      <c r="D32" s="31">
        <f t="shared" si="4"/>
        <v>33000</v>
      </c>
      <c r="E32" s="30">
        <f t="shared" si="4"/>
        <v>32000</v>
      </c>
      <c r="F32" s="32">
        <f t="shared" si="4"/>
        <v>31500</v>
      </c>
      <c r="G32" s="31">
        <f t="shared" si="4"/>
        <v>33500</v>
      </c>
      <c r="H32" s="30">
        <f t="shared" si="4"/>
        <v>32500</v>
      </c>
      <c r="I32" s="32">
        <f t="shared" si="4"/>
        <v>33880</v>
      </c>
      <c r="J32" s="31">
        <f t="shared" si="4"/>
        <v>34880</v>
      </c>
      <c r="K32" s="30">
        <f t="shared" si="4"/>
        <v>34380</v>
      </c>
      <c r="L32" s="29">
        <f t="shared" si="4"/>
        <v>33000</v>
      </c>
      <c r="M32" s="28">
        <f t="shared" si="4"/>
        <v>1.3102</v>
      </c>
      <c r="N32" s="27">
        <f t="shared" si="4"/>
        <v>1.1435</v>
      </c>
      <c r="O32" s="26">
        <f t="shared" si="4"/>
        <v>111.35</v>
      </c>
      <c r="P32" s="25">
        <f t="shared" si="4"/>
        <v>25876.26</v>
      </c>
      <c r="Q32" s="25">
        <f t="shared" si="4"/>
        <v>26212.83</v>
      </c>
      <c r="R32" s="25">
        <f t="shared" si="4"/>
        <v>29694.951858184111</v>
      </c>
      <c r="S32" s="24">
        <f t="shared" si="4"/>
        <v>1.3102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27000</v>
      </c>
      <c r="D33" s="21">
        <f t="shared" si="5"/>
        <v>28000</v>
      </c>
      <c r="E33" s="20">
        <f t="shared" si="5"/>
        <v>27500</v>
      </c>
      <c r="F33" s="22">
        <f t="shared" si="5"/>
        <v>28500</v>
      </c>
      <c r="G33" s="21">
        <f t="shared" si="5"/>
        <v>29500</v>
      </c>
      <c r="H33" s="20">
        <f t="shared" si="5"/>
        <v>29000</v>
      </c>
      <c r="I33" s="22">
        <f t="shared" si="5"/>
        <v>30305</v>
      </c>
      <c r="J33" s="21">
        <f t="shared" si="5"/>
        <v>31305</v>
      </c>
      <c r="K33" s="20">
        <f t="shared" si="5"/>
        <v>30805</v>
      </c>
      <c r="L33" s="19">
        <f t="shared" si="5"/>
        <v>28000</v>
      </c>
      <c r="M33" s="18">
        <f t="shared" si="5"/>
        <v>1.1625000000000001</v>
      </c>
      <c r="N33" s="17">
        <f t="shared" si="5"/>
        <v>1.0709</v>
      </c>
      <c r="O33" s="16">
        <f t="shared" si="5"/>
        <v>102.3</v>
      </c>
      <c r="P33" s="15">
        <f t="shared" si="5"/>
        <v>22113.41</v>
      </c>
      <c r="Q33" s="15">
        <f t="shared" si="5"/>
        <v>23987.64</v>
      </c>
      <c r="R33" s="15">
        <f t="shared" si="5"/>
        <v>24966.562639322339</v>
      </c>
      <c r="S33" s="14">
        <f t="shared" si="5"/>
        <v>1.1625000000000001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5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43921</v>
      </c>
      <c r="D5" s="74"/>
      <c r="F5" s="75">
        <v>43921</v>
      </c>
      <c r="G5" s="74"/>
      <c r="I5" s="75">
        <v>43921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43892</v>
      </c>
      <c r="D8" s="68">
        <v>5677.04</v>
      </c>
      <c r="F8" s="69">
        <f t="shared" ref="F8:F29" si="0">C8</f>
        <v>43892</v>
      </c>
      <c r="G8" s="68">
        <v>1707.28</v>
      </c>
      <c r="I8" s="69">
        <f t="shared" ref="I8:I29" si="1">C8</f>
        <v>43892</v>
      </c>
      <c r="J8" s="68">
        <v>2040.04</v>
      </c>
    </row>
    <row r="9" spans="2:10" x14ac:dyDescent="0.2">
      <c r="C9" s="69">
        <v>43893</v>
      </c>
      <c r="D9" s="68">
        <v>5729.5</v>
      </c>
      <c r="F9" s="69">
        <f t="shared" si="0"/>
        <v>43893</v>
      </c>
      <c r="G9" s="68">
        <v>1715.97</v>
      </c>
      <c r="I9" s="69">
        <f t="shared" si="1"/>
        <v>43893</v>
      </c>
      <c r="J9" s="68">
        <v>2037.68</v>
      </c>
    </row>
    <row r="10" spans="2:10" x14ac:dyDescent="0.2">
      <c r="C10" s="69">
        <v>43894</v>
      </c>
      <c r="D10" s="68">
        <v>5712.8</v>
      </c>
      <c r="F10" s="69">
        <f t="shared" si="0"/>
        <v>43894</v>
      </c>
      <c r="G10" s="68">
        <v>1722.5</v>
      </c>
      <c r="I10" s="69">
        <f t="shared" si="1"/>
        <v>43894</v>
      </c>
      <c r="J10" s="68">
        <v>2008.48</v>
      </c>
    </row>
    <row r="11" spans="2:10" x14ac:dyDescent="0.2">
      <c r="C11" s="69">
        <v>43895</v>
      </c>
      <c r="D11" s="68">
        <v>5719.35</v>
      </c>
      <c r="F11" s="69">
        <f t="shared" si="0"/>
        <v>43895</v>
      </c>
      <c r="G11" s="68">
        <v>1727</v>
      </c>
      <c r="I11" s="69">
        <f t="shared" si="1"/>
        <v>43895</v>
      </c>
      <c r="J11" s="68">
        <v>2012.2</v>
      </c>
    </row>
    <row r="12" spans="2:10" x14ac:dyDescent="0.2">
      <c r="C12" s="69">
        <v>43896</v>
      </c>
      <c r="D12" s="68">
        <v>5650.41</v>
      </c>
      <c r="F12" s="69">
        <f t="shared" si="0"/>
        <v>43896</v>
      </c>
      <c r="G12" s="68">
        <v>1709</v>
      </c>
      <c r="I12" s="69">
        <f t="shared" si="1"/>
        <v>43896</v>
      </c>
      <c r="J12" s="68">
        <v>2007.52</v>
      </c>
    </row>
    <row r="13" spans="2:10" x14ac:dyDescent="0.2">
      <c r="C13" s="69">
        <v>43899</v>
      </c>
      <c r="D13" s="68">
        <v>5508.85</v>
      </c>
      <c r="F13" s="69">
        <f t="shared" si="0"/>
        <v>43899</v>
      </c>
      <c r="G13" s="68">
        <v>1662</v>
      </c>
      <c r="I13" s="69">
        <f t="shared" si="1"/>
        <v>43899</v>
      </c>
      <c r="J13" s="68">
        <v>1940.39</v>
      </c>
    </row>
    <row r="14" spans="2:10" x14ac:dyDescent="0.2">
      <c r="C14" s="69">
        <v>43900</v>
      </c>
      <c r="D14" s="68">
        <v>5622.66</v>
      </c>
      <c r="F14" s="69">
        <f t="shared" si="0"/>
        <v>43900</v>
      </c>
      <c r="G14" s="68">
        <v>1691.5</v>
      </c>
      <c r="I14" s="69">
        <f t="shared" si="1"/>
        <v>43900</v>
      </c>
      <c r="J14" s="68">
        <v>2015.53</v>
      </c>
    </row>
    <row r="15" spans="2:10" x14ac:dyDescent="0.2">
      <c r="C15" s="69">
        <v>43901</v>
      </c>
      <c r="D15" s="68">
        <v>5562.18</v>
      </c>
      <c r="F15" s="69">
        <f t="shared" si="0"/>
        <v>43901</v>
      </c>
      <c r="G15" s="68">
        <v>1687.54</v>
      </c>
      <c r="I15" s="69">
        <f t="shared" si="1"/>
        <v>43901</v>
      </c>
      <c r="J15" s="68">
        <v>2003.69</v>
      </c>
    </row>
    <row r="16" spans="2:10" x14ac:dyDescent="0.2">
      <c r="C16" s="69">
        <v>43902</v>
      </c>
      <c r="D16" s="68">
        <v>5432.75</v>
      </c>
      <c r="F16" s="69">
        <f t="shared" si="0"/>
        <v>43902</v>
      </c>
      <c r="G16" s="68">
        <v>1666.76</v>
      </c>
      <c r="I16" s="69">
        <f t="shared" si="1"/>
        <v>43902</v>
      </c>
      <c r="J16" s="68">
        <v>1967.03</v>
      </c>
    </row>
    <row r="17" spans="2:10" x14ac:dyDescent="0.2">
      <c r="C17" s="69">
        <v>43903</v>
      </c>
      <c r="D17" s="68">
        <v>5447.67</v>
      </c>
      <c r="F17" s="69">
        <f t="shared" si="0"/>
        <v>43903</v>
      </c>
      <c r="G17" s="68">
        <v>1667.39</v>
      </c>
      <c r="I17" s="69">
        <f t="shared" si="1"/>
        <v>43903</v>
      </c>
      <c r="J17" s="68">
        <v>1967.37</v>
      </c>
    </row>
    <row r="18" spans="2:10" x14ac:dyDescent="0.2">
      <c r="C18" s="69">
        <v>43906</v>
      </c>
      <c r="D18" s="68">
        <v>5330.46</v>
      </c>
      <c r="F18" s="69">
        <f t="shared" si="0"/>
        <v>43906</v>
      </c>
      <c r="G18" s="68">
        <v>1667.86</v>
      </c>
      <c r="I18" s="69">
        <f t="shared" si="1"/>
        <v>43906</v>
      </c>
      <c r="J18" s="68">
        <v>1951.02</v>
      </c>
    </row>
    <row r="19" spans="2:10" x14ac:dyDescent="0.2">
      <c r="C19" s="69">
        <v>43907</v>
      </c>
      <c r="D19" s="68">
        <v>5320.05</v>
      </c>
      <c r="F19" s="69">
        <f t="shared" si="0"/>
        <v>43907</v>
      </c>
      <c r="G19" s="68">
        <v>1665.91</v>
      </c>
      <c r="I19" s="69">
        <f t="shared" si="1"/>
        <v>43907</v>
      </c>
      <c r="J19" s="68">
        <v>1949.94</v>
      </c>
    </row>
    <row r="20" spans="2:10" x14ac:dyDescent="0.2">
      <c r="C20" s="69">
        <v>43908</v>
      </c>
      <c r="D20" s="68">
        <v>4893.9799999999996</v>
      </c>
      <c r="F20" s="69">
        <f t="shared" si="0"/>
        <v>43908</v>
      </c>
      <c r="G20" s="68">
        <v>1619.41</v>
      </c>
      <c r="I20" s="69">
        <f t="shared" si="1"/>
        <v>43908</v>
      </c>
      <c r="J20" s="68">
        <v>1844.75</v>
      </c>
    </row>
    <row r="21" spans="2:10" x14ac:dyDescent="0.2">
      <c r="C21" s="69">
        <v>43909</v>
      </c>
      <c r="D21" s="68">
        <v>4545</v>
      </c>
      <c r="F21" s="69">
        <f t="shared" si="0"/>
        <v>43909</v>
      </c>
      <c r="G21" s="68">
        <v>1582.12</v>
      </c>
      <c r="I21" s="69">
        <f t="shared" si="1"/>
        <v>43909</v>
      </c>
      <c r="J21" s="68">
        <v>1796.72</v>
      </c>
    </row>
    <row r="22" spans="2:10" x14ac:dyDescent="0.2">
      <c r="C22" s="69">
        <v>43910</v>
      </c>
      <c r="D22" s="68">
        <v>4806.72</v>
      </c>
      <c r="F22" s="69">
        <f t="shared" si="0"/>
        <v>43910</v>
      </c>
      <c r="G22" s="68">
        <v>1617.77</v>
      </c>
      <c r="I22" s="69">
        <f t="shared" si="1"/>
        <v>43910</v>
      </c>
      <c r="J22" s="68">
        <v>1874.96</v>
      </c>
    </row>
    <row r="23" spans="2:10" x14ac:dyDescent="0.2">
      <c r="C23" s="69">
        <v>43913</v>
      </c>
      <c r="D23" s="68">
        <v>4566.16</v>
      </c>
      <c r="F23" s="69">
        <f t="shared" si="0"/>
        <v>43913</v>
      </c>
      <c r="G23" s="68">
        <v>1543.88</v>
      </c>
      <c r="I23" s="69">
        <f t="shared" si="1"/>
        <v>43913</v>
      </c>
      <c r="J23" s="68">
        <v>1812.99</v>
      </c>
    </row>
    <row r="24" spans="2:10" x14ac:dyDescent="0.2">
      <c r="C24" s="69">
        <v>43914</v>
      </c>
      <c r="D24" s="68">
        <v>4724.6899999999996</v>
      </c>
      <c r="F24" s="69">
        <f t="shared" si="0"/>
        <v>43914</v>
      </c>
      <c r="G24" s="68">
        <v>1556.33</v>
      </c>
      <c r="I24" s="69">
        <f t="shared" si="1"/>
        <v>43914</v>
      </c>
      <c r="J24" s="68">
        <v>1842</v>
      </c>
    </row>
    <row r="25" spans="2:10" x14ac:dyDescent="0.2">
      <c r="C25" s="69">
        <v>43915</v>
      </c>
      <c r="D25" s="68">
        <v>4851.1899999999996</v>
      </c>
      <c r="F25" s="69">
        <f t="shared" si="0"/>
        <v>43915</v>
      </c>
      <c r="G25" s="68">
        <v>1566.21</v>
      </c>
      <c r="I25" s="69">
        <f t="shared" si="1"/>
        <v>43915</v>
      </c>
      <c r="J25" s="68">
        <v>1831.15</v>
      </c>
    </row>
    <row r="26" spans="2:10" x14ac:dyDescent="0.2">
      <c r="C26" s="69">
        <v>43916</v>
      </c>
      <c r="D26" s="68">
        <v>4793.22</v>
      </c>
      <c r="F26" s="69">
        <f t="shared" si="0"/>
        <v>43916</v>
      </c>
      <c r="G26" s="68">
        <v>1544</v>
      </c>
      <c r="I26" s="69">
        <f t="shared" si="1"/>
        <v>43916</v>
      </c>
      <c r="J26" s="68">
        <v>1826.22</v>
      </c>
    </row>
    <row r="27" spans="2:10" x14ac:dyDescent="0.2">
      <c r="C27" s="69">
        <v>43917</v>
      </c>
      <c r="D27" s="68">
        <v>4853.51</v>
      </c>
      <c r="F27" s="69">
        <f t="shared" si="0"/>
        <v>43917</v>
      </c>
      <c r="G27" s="68">
        <v>1551.41</v>
      </c>
      <c r="I27" s="69">
        <f t="shared" si="1"/>
        <v>43917</v>
      </c>
      <c r="J27" s="68">
        <v>1893.75</v>
      </c>
    </row>
    <row r="28" spans="2:10" x14ac:dyDescent="0.2">
      <c r="C28" s="69">
        <v>43920</v>
      </c>
      <c r="D28" s="68">
        <v>4774.1400000000003</v>
      </c>
      <c r="F28" s="69">
        <f t="shared" si="0"/>
        <v>43920</v>
      </c>
      <c r="G28" s="68">
        <v>1532.09</v>
      </c>
      <c r="I28" s="69">
        <f t="shared" si="1"/>
        <v>43920</v>
      </c>
      <c r="J28" s="68">
        <v>1850.71</v>
      </c>
    </row>
    <row r="29" spans="2:10" ht="13.5" thickBot="1" x14ac:dyDescent="0.25">
      <c r="C29" s="69">
        <v>43921</v>
      </c>
      <c r="D29" s="68">
        <v>4828.1499999999996</v>
      </c>
      <c r="F29" s="69">
        <f t="shared" si="0"/>
        <v>43921</v>
      </c>
      <c r="G29" s="68">
        <v>1531.21</v>
      </c>
      <c r="I29" s="69">
        <f t="shared" si="1"/>
        <v>43921</v>
      </c>
      <c r="J29" s="68">
        <v>1869.34</v>
      </c>
    </row>
    <row r="30" spans="2:10" x14ac:dyDescent="0.2">
      <c r="B30" s="5"/>
      <c r="C30" s="67" t="s">
        <v>11</v>
      </c>
      <c r="D30" s="66">
        <f>ROUND(AVERAGE(D8:D29),2)</f>
        <v>5197.75</v>
      </c>
      <c r="F30" s="67" t="s">
        <v>11</v>
      </c>
      <c r="G30" s="66">
        <f>ROUND(AVERAGE(G8:G29),2)</f>
        <v>1633.42</v>
      </c>
      <c r="I30" s="67" t="s">
        <v>11</v>
      </c>
      <c r="J30" s="66">
        <f>ROUND(AVERAGE(J8:J29),2)</f>
        <v>1924.7</v>
      </c>
    </row>
    <row r="31" spans="2:10" x14ac:dyDescent="0.2">
      <c r="B31" s="5"/>
      <c r="C31" s="65" t="s">
        <v>12</v>
      </c>
      <c r="D31" s="64">
        <f>MAX(D8:D29)</f>
        <v>5729.5</v>
      </c>
      <c r="F31" s="65" t="s">
        <v>12</v>
      </c>
      <c r="G31" s="64">
        <f>MAX(G8:G29)</f>
        <v>1727</v>
      </c>
      <c r="I31" s="65" t="s">
        <v>12</v>
      </c>
      <c r="J31" s="64">
        <f>MAX(J8:J29)</f>
        <v>2040.04</v>
      </c>
    </row>
    <row r="32" spans="2:10" x14ac:dyDescent="0.2">
      <c r="B32" s="5"/>
      <c r="C32" s="63" t="s">
        <v>13</v>
      </c>
      <c r="D32" s="62">
        <f>MIN(D8:D29)</f>
        <v>4545</v>
      </c>
      <c r="F32" s="63" t="s">
        <v>13</v>
      </c>
      <c r="G32" s="62">
        <f>MIN(G8:G29)</f>
        <v>1531.21</v>
      </c>
      <c r="I32" s="63" t="s">
        <v>13</v>
      </c>
      <c r="J32" s="62">
        <f>MIN(J8:J29)</f>
        <v>1796.72</v>
      </c>
    </row>
    <row r="35" spans="2:2" x14ac:dyDescent="0.2">
      <c r="B35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ABR!D30</f>
        <v>5197.75</v>
      </c>
      <c r="D11" s="155">
        <f>ABR!G30</f>
        <v>1633.42</v>
      </c>
      <c r="E11" s="155">
        <f>ABR!J30</f>
        <v>1924.7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1.2377</v>
      </c>
    </row>
    <row r="18" spans="2:9" x14ac:dyDescent="0.2">
      <c r="B18" s="151" t="s">
        <v>43</v>
      </c>
      <c r="C18" s="150">
        <f>'Averages Inc. Euro Eq'!F67</f>
        <v>107.51</v>
      </c>
    </row>
    <row r="19" spans="2:9" x14ac:dyDescent="0.2">
      <c r="B19" s="151" t="s">
        <v>41</v>
      </c>
      <c r="C19" s="149">
        <f>'Averages Inc. Euro Eq'!F68</f>
        <v>1.1060000000000001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1610.7</v>
      </c>
      <c r="D13" s="113">
        <v>1267.45</v>
      </c>
      <c r="E13" s="113">
        <v>5178.05</v>
      </c>
      <c r="F13" s="113">
        <v>1743.64</v>
      </c>
      <c r="G13" s="113">
        <v>11867.77</v>
      </c>
      <c r="H13" s="113">
        <v>15308.68</v>
      </c>
      <c r="I13" s="113">
        <v>1905.05</v>
      </c>
      <c r="J13" s="113">
        <v>1161.68</v>
      </c>
      <c r="K13" s="113">
        <v>0.5</v>
      </c>
      <c r="L13" s="113">
        <v>29568.18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1611.14</v>
      </c>
      <c r="D15" s="113">
        <v>1274.27</v>
      </c>
      <c r="E15" s="113">
        <v>5178.68</v>
      </c>
      <c r="F15" s="113">
        <v>1744.64</v>
      </c>
      <c r="G15" s="113">
        <v>11873</v>
      </c>
      <c r="H15" s="113">
        <v>15321.41</v>
      </c>
      <c r="I15" s="113">
        <v>1905.61</v>
      </c>
      <c r="J15" s="113">
        <v>1168.27</v>
      </c>
      <c r="K15" s="113">
        <v>1</v>
      </c>
      <c r="L15" s="113">
        <v>30613.64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1610.92</v>
      </c>
      <c r="D17" s="113">
        <v>1270.8599999999999</v>
      </c>
      <c r="E17" s="113">
        <v>5178.3599999999997</v>
      </c>
      <c r="F17" s="113">
        <v>1744.14</v>
      </c>
      <c r="G17" s="113">
        <v>11870.39</v>
      </c>
      <c r="H17" s="113">
        <v>15315.05</v>
      </c>
      <c r="I17" s="113">
        <v>1905.33</v>
      </c>
      <c r="J17" s="113">
        <v>1164.98</v>
      </c>
      <c r="K17" s="113">
        <v>0.75</v>
      </c>
      <c r="L17" s="113">
        <v>30090.91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1633.57</v>
      </c>
      <c r="D19" s="113">
        <v>1307.82</v>
      </c>
      <c r="E19" s="113">
        <v>5191.16</v>
      </c>
      <c r="F19" s="113">
        <v>1738.91</v>
      </c>
      <c r="G19" s="113">
        <v>11932.82</v>
      </c>
      <c r="H19" s="113">
        <v>15284.32</v>
      </c>
      <c r="I19" s="113">
        <v>1920.32</v>
      </c>
      <c r="J19" s="113">
        <v>1179.1400000000001</v>
      </c>
      <c r="K19" s="113">
        <v>0.5</v>
      </c>
      <c r="L19" s="113">
        <v>30304.55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1634.36</v>
      </c>
      <c r="D21" s="113">
        <v>1313.91</v>
      </c>
      <c r="E21" s="113">
        <v>5192.43</v>
      </c>
      <c r="F21" s="113">
        <v>1740.32</v>
      </c>
      <c r="G21" s="113">
        <v>11939.41</v>
      </c>
      <c r="H21" s="113">
        <v>15307.27</v>
      </c>
      <c r="I21" s="113">
        <v>1921.14</v>
      </c>
      <c r="J21" s="113">
        <v>1185.07</v>
      </c>
      <c r="K21" s="113">
        <v>1</v>
      </c>
      <c r="L21" s="113">
        <v>31440.91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1633.97</v>
      </c>
      <c r="D23" s="113">
        <v>1310.86</v>
      </c>
      <c r="E23" s="113">
        <v>5191.8</v>
      </c>
      <c r="F23" s="113">
        <v>1739.61</v>
      </c>
      <c r="G23" s="113">
        <v>11936.11</v>
      </c>
      <c r="H23" s="113">
        <v>15295.8</v>
      </c>
      <c r="I23" s="113">
        <v>1920.73</v>
      </c>
      <c r="J23" s="113">
        <v>1182.0999999999999</v>
      </c>
      <c r="K23" s="113">
        <v>0.75</v>
      </c>
      <c r="L23" s="113">
        <v>30872.73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1747.5</v>
      </c>
      <c r="D25" s="113">
        <v>1313.27</v>
      </c>
      <c r="E25" s="113">
        <v>5294.27</v>
      </c>
      <c r="F25" s="113">
        <v>1772.14</v>
      </c>
      <c r="G25" s="113">
        <v>12298.55</v>
      </c>
      <c r="H25" s="113"/>
      <c r="I25" s="113">
        <v>1975.09</v>
      </c>
      <c r="J25" s="113">
        <v>1189.6099999999999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1750.91</v>
      </c>
      <c r="D27" s="113">
        <v>1320.09</v>
      </c>
      <c r="E27" s="113">
        <v>5301.09</v>
      </c>
      <c r="F27" s="113">
        <v>1775.55</v>
      </c>
      <c r="G27" s="113">
        <v>12332.64</v>
      </c>
      <c r="H27" s="113"/>
      <c r="I27" s="113">
        <v>1978.5</v>
      </c>
      <c r="J27" s="113">
        <v>1196.43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1749.2</v>
      </c>
      <c r="D29" s="113">
        <v>1316.68</v>
      </c>
      <c r="E29" s="113">
        <v>5297.68</v>
      </c>
      <c r="F29" s="113">
        <v>1773.84</v>
      </c>
      <c r="G29" s="113">
        <v>12315.59</v>
      </c>
      <c r="H29" s="113"/>
      <c r="I29" s="113">
        <v>1976.8</v>
      </c>
      <c r="J29" s="113">
        <v>1193.02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1827.14</v>
      </c>
      <c r="D31" s="113"/>
      <c r="E31" s="113">
        <v>5351.86</v>
      </c>
      <c r="F31" s="113">
        <v>1789.82</v>
      </c>
      <c r="G31" s="113">
        <v>12550.68</v>
      </c>
      <c r="H31" s="113"/>
      <c r="I31" s="113">
        <v>2010.09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1830.55</v>
      </c>
      <c r="D33" s="113"/>
      <c r="E33" s="113">
        <v>5358.68</v>
      </c>
      <c r="F33" s="113">
        <v>1793.23</v>
      </c>
      <c r="G33" s="113">
        <v>12584.77</v>
      </c>
      <c r="H33" s="113"/>
      <c r="I33" s="113">
        <v>2013.5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1828.84</v>
      </c>
      <c r="D35" s="113"/>
      <c r="E35" s="113">
        <v>5355.27</v>
      </c>
      <c r="F35" s="113">
        <v>1791.52</v>
      </c>
      <c r="G35" s="113">
        <v>12567.73</v>
      </c>
      <c r="H35" s="113"/>
      <c r="I35" s="113">
        <v>2011.8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1909.18</v>
      </c>
      <c r="D37" s="113"/>
      <c r="E37" s="113">
        <v>5409.86</v>
      </c>
      <c r="F37" s="113">
        <v>1804.82</v>
      </c>
      <c r="G37" s="113">
        <v>12804.32</v>
      </c>
      <c r="H37" s="113"/>
      <c r="I37" s="113">
        <v>2018.27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1912.59</v>
      </c>
      <c r="D39" s="113"/>
      <c r="E39" s="113">
        <v>5416.68</v>
      </c>
      <c r="F39" s="113">
        <v>1808.23</v>
      </c>
      <c r="G39" s="113">
        <v>12838.41</v>
      </c>
      <c r="H39" s="113"/>
      <c r="I39" s="113">
        <v>2021.68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1910.89</v>
      </c>
      <c r="D41" s="113"/>
      <c r="E41" s="113">
        <v>5413.27</v>
      </c>
      <c r="F41" s="113">
        <v>1806.52</v>
      </c>
      <c r="G41" s="113">
        <v>12821.36</v>
      </c>
      <c r="H41" s="113"/>
      <c r="I41" s="113">
        <v>2019.98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15193.59</v>
      </c>
      <c r="I43" s="113"/>
      <c r="J43" s="113"/>
      <c r="K43" s="113">
        <v>0.5</v>
      </c>
      <c r="L43" s="113">
        <v>32341.14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15227.68</v>
      </c>
      <c r="I45" s="113"/>
      <c r="J45" s="113"/>
      <c r="K45" s="113">
        <v>1</v>
      </c>
      <c r="L45" s="113">
        <v>33022.949999999997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15210.64</v>
      </c>
      <c r="I47" s="110"/>
      <c r="J47" s="110"/>
      <c r="K47" s="110">
        <v>0.75</v>
      </c>
      <c r="L47" s="110">
        <v>32682.05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1456.38</v>
      </c>
    </row>
    <row r="55" spans="2:5" x14ac:dyDescent="0.2">
      <c r="B55" s="100" t="s">
        <v>56</v>
      </c>
      <c r="C55" s="101">
        <v>1151.17</v>
      </c>
    </row>
    <row r="56" spans="2:5" x14ac:dyDescent="0.2">
      <c r="B56" s="100" t="s">
        <v>55</v>
      </c>
      <c r="C56" s="101">
        <v>4678.72</v>
      </c>
    </row>
    <row r="57" spans="2:5" x14ac:dyDescent="0.2">
      <c r="B57" s="100" t="s">
        <v>54</v>
      </c>
      <c r="C57" s="101">
        <v>1576.65</v>
      </c>
    </row>
    <row r="58" spans="2:5" x14ac:dyDescent="0.2">
      <c r="B58" s="100" t="s">
        <v>53</v>
      </c>
      <c r="C58" s="101">
        <v>10730.17</v>
      </c>
    </row>
    <row r="59" spans="2:5" x14ac:dyDescent="0.2">
      <c r="B59" s="100" t="s">
        <v>52</v>
      </c>
      <c r="C59" s="101">
        <v>13839.57</v>
      </c>
    </row>
    <row r="60" spans="2:5" x14ac:dyDescent="0.2">
      <c r="B60" s="100" t="s">
        <v>51</v>
      </c>
      <c r="C60" s="101">
        <v>1722.66</v>
      </c>
    </row>
    <row r="61" spans="2:5" x14ac:dyDescent="0.2">
      <c r="B61" s="98" t="s">
        <v>50</v>
      </c>
      <c r="C61" s="97">
        <v>1055.68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4179.5</v>
      </c>
      <c r="E65" s="96" t="s">
        <v>46</v>
      </c>
    </row>
    <row r="66" spans="2:9" x14ac:dyDescent="0.2">
      <c r="B66" s="93" t="s">
        <v>45</v>
      </c>
      <c r="D66" s="92">
        <v>4184.67</v>
      </c>
      <c r="E66" s="95" t="s">
        <v>10</v>
      </c>
      <c r="F66" s="90">
        <v>1.2377</v>
      </c>
    </row>
    <row r="67" spans="2:9" x14ac:dyDescent="0.2">
      <c r="B67" s="93" t="s">
        <v>44</v>
      </c>
      <c r="D67" s="92">
        <v>1408.73</v>
      </c>
      <c r="E67" s="95" t="s">
        <v>43</v>
      </c>
      <c r="F67" s="94">
        <v>107.51</v>
      </c>
    </row>
    <row r="68" spans="2:9" x14ac:dyDescent="0.2">
      <c r="B68" s="93" t="s">
        <v>42</v>
      </c>
      <c r="D68" s="92">
        <v>1403.91</v>
      </c>
      <c r="E68" s="91" t="s">
        <v>41</v>
      </c>
      <c r="F68" s="90">
        <v>1.1060000000000001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61B6FE7AB6A743BFB9FA7054988A33" ma:contentTypeVersion="18" ma:contentTypeDescription="Crie um novo documento." ma:contentTypeScope="" ma:versionID="6263edbbfd1bd80e6ea529a0b5710fc8">
  <xsd:schema xmlns:xsd="http://www.w3.org/2001/XMLSchema" xmlns:xs="http://www.w3.org/2001/XMLSchema" xmlns:p="http://schemas.microsoft.com/office/2006/metadata/properties" xmlns:ns2="4160d293-b496-443f-82ff-e8e6bf2bd155" xmlns:ns3="37c17bdf-7700-4c68-a0c8-1d1dbe64770a" targetNamespace="http://schemas.microsoft.com/office/2006/metadata/properties" ma:root="true" ma:fieldsID="3419f427b6bd04d50006ab1290469591" ns2:_="" ns3:_="">
    <xsd:import namespace="4160d293-b496-443f-82ff-e8e6bf2bd155"/>
    <xsd:import namespace="37c17bdf-7700-4c68-a0c8-1d1dbe6477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0d293-b496-443f-82ff-e8e6bf2bd1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111c054-2865-494f-9895-b424cb2f1a9f}" ma:internalName="TaxCatchAll" ma:showField="CatchAllData" ma:web="4160d293-b496-443f-82ff-e8e6bf2bd1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17bdf-7700-4c68-a0c8-1d1dbe6477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64c6e0f0-bd16-4278-ba41-b855ac8fad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50543A-9A74-4A80-893B-ED08671FB336}"/>
</file>

<file path=customXml/itemProps2.xml><?xml version="1.0" encoding="utf-8"?>
<ds:datastoreItem xmlns:ds="http://schemas.openxmlformats.org/officeDocument/2006/customXml" ds:itemID="{EF9FF23E-FD5E-4152-894F-01DCD89415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Juliana</cp:lastModifiedBy>
  <cp:lastPrinted>2011-08-25T10:07:39Z</cp:lastPrinted>
  <dcterms:created xsi:type="dcterms:W3CDTF">2012-05-31T12:49:12Z</dcterms:created>
  <dcterms:modified xsi:type="dcterms:W3CDTF">2020-03-31T20:07:51Z</dcterms:modified>
</cp:coreProperties>
</file>