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D11" i="13"/>
  <c r="J31" i="12"/>
  <c r="G31" i="12"/>
  <c r="D31" i="12"/>
  <c r="J30" i="12"/>
  <c r="G30" i="12"/>
  <c r="D30" i="12"/>
  <c r="J29" i="12"/>
  <c r="E11" i="13" s="1"/>
  <c r="G29" i="12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H30" i="10"/>
  <c r="G30" i="10"/>
  <c r="F30" i="10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K32" i="10" s="1"/>
  <c r="H10" i="10"/>
  <c r="H31" i="10" s="1"/>
  <c r="E10" i="10"/>
  <c r="R9" i="10"/>
  <c r="R32" i="10" s="1"/>
  <c r="K9" i="10"/>
  <c r="K31" i="10" s="1"/>
  <c r="H9" i="10"/>
  <c r="H32" i="10" s="1"/>
  <c r="E9" i="10"/>
  <c r="E32" i="10" s="1"/>
  <c r="Y32" i="8"/>
  <c r="W32" i="8"/>
  <c r="V32" i="8"/>
  <c r="U32" i="8"/>
  <c r="T32" i="8"/>
  <c r="S32" i="8"/>
  <c r="R32" i="8"/>
  <c r="P32" i="8"/>
  <c r="O32" i="8"/>
  <c r="M32" i="8"/>
  <c r="L32" i="8"/>
  <c r="K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N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K30" i="8" s="1"/>
  <c r="H30" i="8"/>
  <c r="G30" i="8"/>
  <c r="F30" i="8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30" i="8" s="1"/>
  <c r="Q10" i="8"/>
  <c r="N10" i="8"/>
  <c r="K10" i="8"/>
  <c r="H10" i="8"/>
  <c r="E10" i="8"/>
  <c r="E32" i="8" s="1"/>
  <c r="X9" i="8"/>
  <c r="X31" i="8" s="1"/>
  <c r="Q9" i="8"/>
  <c r="Q32" i="8" s="1"/>
  <c r="N9" i="8"/>
  <c r="N32" i="8" s="1"/>
  <c r="K9" i="8"/>
  <c r="K31" i="8" s="1"/>
  <c r="H9" i="8"/>
  <c r="H31" i="8" s="1"/>
  <c r="E9" i="8"/>
  <c r="E31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G31" i="7"/>
  <c r="F31" i="7"/>
  <c r="E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E30" i="7"/>
  <c r="D30" i="7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H32" i="7" s="1"/>
  <c r="E11" i="7"/>
  <c r="R10" i="7"/>
  <c r="K10" i="7"/>
  <c r="H10" i="7"/>
  <c r="E10" i="7"/>
  <c r="R9" i="7"/>
  <c r="R31" i="7" s="1"/>
  <c r="K9" i="7"/>
  <c r="K32" i="7" s="1"/>
  <c r="H9" i="7"/>
  <c r="H31" i="7" s="1"/>
  <c r="E9" i="7"/>
  <c r="E32" i="7" s="1"/>
  <c r="Y32" i="6"/>
  <c r="W32" i="6"/>
  <c r="V32" i="6"/>
  <c r="U32" i="6"/>
  <c r="T32" i="6"/>
  <c r="S32" i="6"/>
  <c r="R32" i="6"/>
  <c r="P32" i="6"/>
  <c r="O32" i="6"/>
  <c r="M32" i="6"/>
  <c r="L32" i="6"/>
  <c r="K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H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Q30" i="6" s="1"/>
  <c r="N30" i="6"/>
  <c r="M30" i="6"/>
  <c r="L30" i="6"/>
  <c r="J30" i="6"/>
  <c r="I30" i="6"/>
  <c r="K30" i="6" s="1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Q32" i="6" s="1"/>
  <c r="N10" i="6"/>
  <c r="K10" i="6"/>
  <c r="H10" i="6"/>
  <c r="E10" i="6"/>
  <c r="X9" i="6"/>
  <c r="X31" i="6" s="1"/>
  <c r="Q9" i="6"/>
  <c r="Q31" i="6" s="1"/>
  <c r="N9" i="6"/>
  <c r="N31" i="6" s="1"/>
  <c r="K9" i="6"/>
  <c r="K31" i="6" s="1"/>
  <c r="H9" i="6"/>
  <c r="H32" i="6" s="1"/>
  <c r="E9" i="6"/>
  <c r="E31" i="6" s="1"/>
  <c r="Y32" i="5"/>
  <c r="X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X30" i="5"/>
  <c r="W30" i="5"/>
  <c r="V30" i="5"/>
  <c r="U30" i="5"/>
  <c r="T30" i="5"/>
  <c r="S30" i="5"/>
  <c r="R30" i="5"/>
  <c r="Q30" i="5"/>
  <c r="P30" i="5"/>
  <c r="O30" i="5"/>
  <c r="M30" i="5"/>
  <c r="L30" i="5"/>
  <c r="N30" i="5" s="1"/>
  <c r="J30" i="5"/>
  <c r="I30" i="5"/>
  <c r="K30" i="5" s="1"/>
  <c r="G30" i="5"/>
  <c r="F30" i="5"/>
  <c r="H30" i="5" s="1"/>
  <c r="E30" i="5"/>
  <c r="D30" i="5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1" i="5" s="1"/>
  <c r="N9" i="5"/>
  <c r="N32" i="5" s="1"/>
  <c r="K9" i="5"/>
  <c r="K32" i="5" s="1"/>
  <c r="H9" i="5"/>
  <c r="H31" i="5" s="1"/>
  <c r="E9" i="5"/>
  <c r="E31" i="5" s="1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N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H30" i="4"/>
  <c r="G30" i="4"/>
  <c r="F30" i="4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E32" i="4" s="1"/>
  <c r="X9" i="4"/>
  <c r="X30" i="4" s="1"/>
  <c r="Q9" i="4"/>
  <c r="Q31" i="4" s="1"/>
  <c r="N9" i="4"/>
  <c r="N32" i="4" s="1"/>
  <c r="K9" i="4"/>
  <c r="K31" i="4" s="1"/>
  <c r="H9" i="4"/>
  <c r="H31" i="4" s="1"/>
  <c r="E9" i="4"/>
  <c r="E31" i="4" s="1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E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E30" i="3"/>
  <c r="D30" i="3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H32" i="3" s="1"/>
  <c r="E11" i="3"/>
  <c r="R10" i="3"/>
  <c r="K10" i="3"/>
  <c r="H10" i="3"/>
  <c r="E10" i="3"/>
  <c r="R9" i="3"/>
  <c r="R31" i="3" s="1"/>
  <c r="K9" i="3"/>
  <c r="K32" i="3" s="1"/>
  <c r="H9" i="3"/>
  <c r="H31" i="3" s="1"/>
  <c r="E9" i="3"/>
  <c r="E32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H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H30" i="2"/>
  <c r="G30" i="2"/>
  <c r="F30" i="2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K32" i="2" s="1"/>
  <c r="H10" i="2"/>
  <c r="E10" i="2"/>
  <c r="R9" i="2"/>
  <c r="R32" i="2" s="1"/>
  <c r="K9" i="2"/>
  <c r="K31" i="2" s="1"/>
  <c r="H9" i="2"/>
  <c r="H32" i="2" s="1"/>
  <c r="E9" i="2"/>
  <c r="E32" i="2" s="1"/>
  <c r="Y32" i="1"/>
  <c r="X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K31" i="1"/>
  <c r="J31" i="1"/>
  <c r="I31" i="1"/>
  <c r="G31" i="1"/>
  <c r="F31" i="1"/>
  <c r="D31" i="1"/>
  <c r="C31" i="1"/>
  <c r="Y30" i="1"/>
  <c r="X30" i="1"/>
  <c r="W30" i="1"/>
  <c r="V30" i="1"/>
  <c r="U30" i="1"/>
  <c r="T30" i="1"/>
  <c r="S30" i="1"/>
  <c r="R30" i="1"/>
  <c r="Q30" i="1"/>
  <c r="P30" i="1"/>
  <c r="O30" i="1"/>
  <c r="M30" i="1"/>
  <c r="L30" i="1"/>
  <c r="N30" i="1" s="1"/>
  <c r="J30" i="1"/>
  <c r="I30" i="1"/>
  <c r="K30" i="1" s="1"/>
  <c r="G30" i="1"/>
  <c r="F30" i="1"/>
  <c r="H30" i="1" s="1"/>
  <c r="E30" i="1"/>
  <c r="D30" i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1" i="1" s="1"/>
  <c r="N9" i="1"/>
  <c r="N31" i="1" s="1"/>
  <c r="K9" i="1"/>
  <c r="K32" i="1" s="1"/>
  <c r="H9" i="1"/>
  <c r="H32" i="1" s="1"/>
  <c r="E9" i="1"/>
  <c r="E31" i="1" s="1"/>
  <c r="N32" i="1" l="1"/>
  <c r="Q32" i="4"/>
  <c r="E32" i="1"/>
  <c r="Q32" i="1"/>
  <c r="R30" i="2"/>
  <c r="H32" i="4"/>
  <c r="E32" i="5"/>
  <c r="Q32" i="5"/>
  <c r="X30" i="6"/>
  <c r="N32" i="6"/>
  <c r="H32" i="8"/>
  <c r="R30" i="10"/>
  <c r="K31" i="3"/>
  <c r="R32" i="3"/>
  <c r="K31" i="7"/>
  <c r="R32" i="7"/>
  <c r="H32" i="5"/>
  <c r="E32" i="6"/>
  <c r="R30" i="7"/>
  <c r="R30" i="3"/>
  <c r="H31" i="1"/>
  <c r="E31" i="2"/>
  <c r="X32" i="4"/>
  <c r="X32" i="8"/>
  <c r="E31" i="10"/>
  <c r="R31" i="2"/>
  <c r="X31" i="4"/>
  <c r="R31" i="10"/>
  <c r="N31" i="5"/>
  <c r="X32" i="6"/>
  <c r="Q31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<sst xmlns="http://schemas.openxmlformats.org/spreadsheetml/2006/main" count="429" uniqueCount="99">
  <si>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</si>
  <si>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</si>
  <si>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</si>
  <si>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</si>
  <si>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</si>
  <si>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</si>
  <si>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</si>
  <si>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</si>
  <si>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</si>
  <si>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</si>
  <si>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</si>
  <si>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</si>
  <si>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</si>
  <si>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</si>
  <si>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</si>
  <si>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</si>
  <si>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</si>
  <si>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</si>
  <si>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</si>
  <si>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</si>
  <si>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</si>
  <si>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</si>
  <si>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</si>
  <si>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</si>
  <si>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</si>
  <si>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</si>
  <si>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</si>
  <si>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</si>
  <si>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</si>
  <si>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</si>
  <si>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</si>
  <si>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</si>
  <si>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</si>
  <si>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</si>
  <si>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</si>
  <si>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</si>
  <si>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</si>
  <si>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</si>
  <si>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</si>
  <si>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</si>
  <si>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</si>
  <si>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</si>
  <si>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</si>
  <si>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</si>
  <si>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</si>
  <si>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</si>
  <si>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</si>
  <si>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</si>
  <si>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</si>
  <si>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</si>
  <si>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</si>
  <si>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</si>
  <si>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</si>
  <si>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</si>
  <si>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</si>
  <si>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</si>
  <si>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</si>
  <si>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</si>
  <si>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</si>
  <si>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</si>
  <si>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</si>
  <si>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</si>
  <si>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</si>
  <si>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</si>
  <si>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</si>
  <si>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</si>
  <si>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</si>
  <si>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</si>
  <si>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</si>
  <si>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</si>
  <si>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</si>
  <si>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</si>
  <si>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</si>
  <si>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</si>
  <si>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</si>
  <si>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</si>
  <si>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</si>
  <si>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</si>
  <si>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</si>
  <si>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</si>
  <si>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</si>
  <si>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</si>
  <si>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</si>
  <si>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</si>
  <si>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</si>
  <si>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</si>
  <si>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</si>
  <si>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</si>
  <si>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</si>
  <si>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</si>
  <si>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</si>
  <si>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</si>
  <si>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</si>
  <si>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</si>
  <si>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</si>
  <si>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MAY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</si>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</sst>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tabSelected="1" workbookViewId="0">
      <pane ySplit="8" topLeftCell="A9" activePane="bottomLeft" state="frozen"/>
      <selection activeCell="C46" sqref="C46"/>
      <selection pane="bottomLeft" activeCell="C26" sqref="C26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44684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44684</v>
      </c>
      <c r="C9" s="46">
        <v>9510</v>
      </c>
      <c r="D9" s="45">
        <v>9511</v>
      </c>
      <c r="E9" s="44">
        <f t="shared" ref="E9:E29" si="0">AVERAGE(C9:D9)</f>
        <v>9510.5</v>
      </c>
      <c r="F9" s="46">
        <v>9520</v>
      </c>
      <c r="G9" s="45">
        <v>9525</v>
      </c>
      <c r="H9" s="44">
        <f t="shared" ref="H9:H29" si="1">AVERAGE(F9:G9)</f>
        <v>9522.5</v>
      </c>
      <c r="I9" s="46">
        <v>9490</v>
      </c>
      <c r="J9" s="45">
        <v>9500</v>
      </c>
      <c r="K9" s="44">
        <f t="shared" ref="K9:K29" si="2">AVERAGE(I9:J9)</f>
        <v>9495</v>
      </c>
      <c r="L9" s="46">
        <v>9425</v>
      </c>
      <c r="M9" s="45">
        <v>9435</v>
      </c>
      <c r="N9" s="44">
        <f t="shared" ref="N9:N29" si="3">AVERAGE(L9:M9)</f>
        <v>9430</v>
      </c>
      <c r="O9" s="46">
        <v>9380</v>
      </c>
      <c r="P9" s="45">
        <v>9390</v>
      </c>
      <c r="Q9" s="44">
        <f t="shared" ref="Q9:Q29" si="4">AVERAGE(O9:P9)</f>
        <v>9385</v>
      </c>
      <c r="R9" s="52">
        <v>9511</v>
      </c>
      <c r="S9" s="51">
        <v>1.2532000000000001</v>
      </c>
      <c r="T9" s="53">
        <v>1.0538000000000001</v>
      </c>
      <c r="U9" s="50">
        <v>129.91999999999999</v>
      </c>
      <c r="V9" s="43">
        <v>7589.37</v>
      </c>
      <c r="W9" s="43">
        <v>7597.51</v>
      </c>
      <c r="X9" s="49">
        <f t="shared" ref="X9:X29" si="5">R9/T9</f>
        <v>9025.4317707344835</v>
      </c>
      <c r="Y9" s="48">
        <v>1.2537</v>
      </c>
    </row>
    <row r="10" spans="1:25" x14ac:dyDescent="0.2">
      <c r="B10" s="47">
        <v>44685</v>
      </c>
      <c r="C10" s="46">
        <v>9473</v>
      </c>
      <c r="D10" s="45">
        <v>9474</v>
      </c>
      <c r="E10" s="44">
        <f t="shared" si="0"/>
        <v>9473.5</v>
      </c>
      <c r="F10" s="46">
        <v>9480.5</v>
      </c>
      <c r="G10" s="45">
        <v>9481</v>
      </c>
      <c r="H10" s="44">
        <f t="shared" si="1"/>
        <v>9480.75</v>
      </c>
      <c r="I10" s="46">
        <v>9455</v>
      </c>
      <c r="J10" s="45">
        <v>9465</v>
      </c>
      <c r="K10" s="44">
        <f t="shared" si="2"/>
        <v>9460</v>
      </c>
      <c r="L10" s="46">
        <v>9390</v>
      </c>
      <c r="M10" s="45">
        <v>9400</v>
      </c>
      <c r="N10" s="44">
        <f t="shared" si="3"/>
        <v>9395</v>
      </c>
      <c r="O10" s="46">
        <v>9345</v>
      </c>
      <c r="P10" s="45">
        <v>9355</v>
      </c>
      <c r="Q10" s="44">
        <f t="shared" si="4"/>
        <v>9350</v>
      </c>
      <c r="R10" s="52">
        <v>9474</v>
      </c>
      <c r="S10" s="51">
        <v>1.2511000000000001</v>
      </c>
      <c r="T10" s="51">
        <v>1.0530999999999999</v>
      </c>
      <c r="U10" s="50">
        <v>129.96</v>
      </c>
      <c r="V10" s="43">
        <v>7572.54</v>
      </c>
      <c r="W10" s="43">
        <v>7573.89</v>
      </c>
      <c r="X10" s="49">
        <f t="shared" si="5"/>
        <v>8996.2966479916449</v>
      </c>
      <c r="Y10" s="48">
        <v>1.2518</v>
      </c>
    </row>
    <row r="11" spans="1:25" x14ac:dyDescent="0.2">
      <c r="B11" s="47">
        <v>44686</v>
      </c>
      <c r="C11" s="46">
        <v>9540</v>
      </c>
      <c r="D11" s="45">
        <v>9541</v>
      </c>
      <c r="E11" s="44">
        <f t="shared" si="0"/>
        <v>9540.5</v>
      </c>
      <c r="F11" s="46">
        <v>9539</v>
      </c>
      <c r="G11" s="45">
        <v>9541</v>
      </c>
      <c r="H11" s="44">
        <f t="shared" si="1"/>
        <v>9540</v>
      </c>
      <c r="I11" s="46">
        <v>9505</v>
      </c>
      <c r="J11" s="45">
        <v>9515</v>
      </c>
      <c r="K11" s="44">
        <f t="shared" si="2"/>
        <v>9510</v>
      </c>
      <c r="L11" s="46">
        <v>9435</v>
      </c>
      <c r="M11" s="45">
        <v>9445</v>
      </c>
      <c r="N11" s="44">
        <f t="shared" si="3"/>
        <v>9440</v>
      </c>
      <c r="O11" s="46">
        <v>9390</v>
      </c>
      <c r="P11" s="45">
        <v>9400</v>
      </c>
      <c r="Q11" s="44">
        <f t="shared" si="4"/>
        <v>9395</v>
      </c>
      <c r="R11" s="52">
        <v>9541</v>
      </c>
      <c r="S11" s="51">
        <v>1.2396</v>
      </c>
      <c r="T11" s="51">
        <v>1.0548</v>
      </c>
      <c r="U11" s="50">
        <v>130</v>
      </c>
      <c r="V11" s="43">
        <v>7696.84</v>
      </c>
      <c r="W11" s="43">
        <v>7691.87</v>
      </c>
      <c r="X11" s="49">
        <f t="shared" si="5"/>
        <v>9045.3166477057257</v>
      </c>
      <c r="Y11" s="48">
        <v>1.2403999999999999</v>
      </c>
    </row>
    <row r="12" spans="1:25" x14ac:dyDescent="0.2">
      <c r="B12" s="47">
        <v>44687</v>
      </c>
      <c r="C12" s="46">
        <v>9427.5</v>
      </c>
      <c r="D12" s="45">
        <v>9428</v>
      </c>
      <c r="E12" s="44">
        <f t="shared" si="0"/>
        <v>9427.75</v>
      </c>
      <c r="F12" s="46">
        <v>9424</v>
      </c>
      <c r="G12" s="45">
        <v>9425</v>
      </c>
      <c r="H12" s="44">
        <f t="shared" si="1"/>
        <v>9424.5</v>
      </c>
      <c r="I12" s="46">
        <v>9375</v>
      </c>
      <c r="J12" s="45">
        <v>9385</v>
      </c>
      <c r="K12" s="44">
        <f t="shared" si="2"/>
        <v>9380</v>
      </c>
      <c r="L12" s="46">
        <v>9315</v>
      </c>
      <c r="M12" s="45">
        <v>9325</v>
      </c>
      <c r="N12" s="44">
        <f t="shared" si="3"/>
        <v>9320</v>
      </c>
      <c r="O12" s="46">
        <v>9270</v>
      </c>
      <c r="P12" s="45">
        <v>9280</v>
      </c>
      <c r="Q12" s="44">
        <f t="shared" si="4"/>
        <v>9275</v>
      </c>
      <c r="R12" s="52">
        <v>9428</v>
      </c>
      <c r="S12" s="51">
        <v>1.2336</v>
      </c>
      <c r="T12" s="51">
        <v>1.0566</v>
      </c>
      <c r="U12" s="50">
        <v>130.43</v>
      </c>
      <c r="V12" s="43">
        <v>7642.67</v>
      </c>
      <c r="W12" s="43">
        <v>7635.91</v>
      </c>
      <c r="X12" s="49">
        <f t="shared" si="5"/>
        <v>8922.9604391444263</v>
      </c>
      <c r="Y12" s="48">
        <v>1.2343</v>
      </c>
    </row>
    <row r="13" spans="1:25" x14ac:dyDescent="0.2">
      <c r="B13" s="47">
        <v>44690</v>
      </c>
      <c r="C13" s="46">
        <v>9159</v>
      </c>
      <c r="D13" s="45">
        <v>9160</v>
      </c>
      <c r="E13" s="44">
        <f t="shared" si="0"/>
        <v>9159.5</v>
      </c>
      <c r="F13" s="46">
        <v>9160</v>
      </c>
      <c r="G13" s="45">
        <v>9162</v>
      </c>
      <c r="H13" s="44">
        <f t="shared" si="1"/>
        <v>9161</v>
      </c>
      <c r="I13" s="46">
        <v>9135</v>
      </c>
      <c r="J13" s="45">
        <v>9145</v>
      </c>
      <c r="K13" s="44">
        <f t="shared" si="2"/>
        <v>9140</v>
      </c>
      <c r="L13" s="46">
        <v>9095</v>
      </c>
      <c r="M13" s="45">
        <v>9105</v>
      </c>
      <c r="N13" s="44">
        <f t="shared" si="3"/>
        <v>9100</v>
      </c>
      <c r="O13" s="46">
        <v>9065</v>
      </c>
      <c r="P13" s="45">
        <v>9075</v>
      </c>
      <c r="Q13" s="44">
        <f t="shared" si="4"/>
        <v>9070</v>
      </c>
      <c r="R13" s="52">
        <v>9160</v>
      </c>
      <c r="S13" s="51">
        <v>1.2366999999999999</v>
      </c>
      <c r="T13" s="51">
        <v>1.0547</v>
      </c>
      <c r="U13" s="50">
        <v>131.03</v>
      </c>
      <c r="V13" s="43">
        <v>7406.81</v>
      </c>
      <c r="W13" s="43">
        <v>7404.23</v>
      </c>
      <c r="X13" s="49">
        <f t="shared" si="5"/>
        <v>8684.9341044846879</v>
      </c>
      <c r="Y13" s="48">
        <v>1.2374000000000001</v>
      </c>
    </row>
    <row r="14" spans="1:25" x14ac:dyDescent="0.2">
      <c r="B14" s="47">
        <v>44691</v>
      </c>
      <c r="C14" s="46">
        <v>9345</v>
      </c>
      <c r="D14" s="45">
        <v>9350</v>
      </c>
      <c r="E14" s="44">
        <f t="shared" si="0"/>
        <v>9347.5</v>
      </c>
      <c r="F14" s="46">
        <v>9340</v>
      </c>
      <c r="G14" s="45">
        <v>9341</v>
      </c>
      <c r="H14" s="44">
        <f t="shared" si="1"/>
        <v>9340.5</v>
      </c>
      <c r="I14" s="46">
        <v>9295</v>
      </c>
      <c r="J14" s="45">
        <v>9305</v>
      </c>
      <c r="K14" s="44">
        <f t="shared" si="2"/>
        <v>9300</v>
      </c>
      <c r="L14" s="46">
        <v>9265</v>
      </c>
      <c r="M14" s="45">
        <v>9275</v>
      </c>
      <c r="N14" s="44">
        <f t="shared" si="3"/>
        <v>9270</v>
      </c>
      <c r="O14" s="46">
        <v>9235</v>
      </c>
      <c r="P14" s="45">
        <v>9245</v>
      </c>
      <c r="Q14" s="44">
        <f t="shared" si="4"/>
        <v>9240</v>
      </c>
      <c r="R14" s="52">
        <v>9350</v>
      </c>
      <c r="S14" s="51">
        <v>1.2338</v>
      </c>
      <c r="T14" s="51">
        <v>1.0552999999999999</v>
      </c>
      <c r="U14" s="50">
        <v>130.08000000000001</v>
      </c>
      <c r="V14" s="43">
        <v>7578.21</v>
      </c>
      <c r="W14" s="43">
        <v>7566.63</v>
      </c>
      <c r="X14" s="49">
        <f t="shared" si="5"/>
        <v>8860.0397991092595</v>
      </c>
      <c r="Y14" s="48">
        <v>1.2344999999999999</v>
      </c>
    </row>
    <row r="15" spans="1:25" x14ac:dyDescent="0.2">
      <c r="B15" s="47">
        <v>44692</v>
      </c>
      <c r="C15" s="46">
        <v>9365</v>
      </c>
      <c r="D15" s="45">
        <v>9367</v>
      </c>
      <c r="E15" s="44">
        <f t="shared" si="0"/>
        <v>9366</v>
      </c>
      <c r="F15" s="46">
        <v>9355</v>
      </c>
      <c r="G15" s="45">
        <v>9356</v>
      </c>
      <c r="H15" s="44">
        <f t="shared" si="1"/>
        <v>9355.5</v>
      </c>
      <c r="I15" s="46">
        <v>9310</v>
      </c>
      <c r="J15" s="45">
        <v>9320</v>
      </c>
      <c r="K15" s="44">
        <f t="shared" si="2"/>
        <v>9315</v>
      </c>
      <c r="L15" s="46">
        <v>9230</v>
      </c>
      <c r="M15" s="45">
        <v>9240</v>
      </c>
      <c r="N15" s="44">
        <f t="shared" si="3"/>
        <v>9235</v>
      </c>
      <c r="O15" s="46">
        <v>9200</v>
      </c>
      <c r="P15" s="45">
        <v>9210</v>
      </c>
      <c r="Q15" s="44">
        <f t="shared" si="4"/>
        <v>9205</v>
      </c>
      <c r="R15" s="52">
        <v>9367</v>
      </c>
      <c r="S15" s="51">
        <v>1.2357</v>
      </c>
      <c r="T15" s="51">
        <v>1.0545</v>
      </c>
      <c r="U15" s="50">
        <v>129.82</v>
      </c>
      <c r="V15" s="43">
        <v>7580.32</v>
      </c>
      <c r="W15" s="43">
        <v>7566.52</v>
      </c>
      <c r="X15" s="49">
        <f t="shared" si="5"/>
        <v>8882.8828828828828</v>
      </c>
      <c r="Y15" s="48">
        <v>1.2364999999999999</v>
      </c>
    </row>
    <row r="16" spans="1:25" x14ac:dyDescent="0.2">
      <c r="B16" s="47">
        <v>44693</v>
      </c>
      <c r="C16" s="46">
        <v>9018</v>
      </c>
      <c r="D16" s="45">
        <v>9018.5</v>
      </c>
      <c r="E16" s="44">
        <f t="shared" si="0"/>
        <v>9018.25</v>
      </c>
      <c r="F16" s="46">
        <v>9000</v>
      </c>
      <c r="G16" s="45">
        <v>9005</v>
      </c>
      <c r="H16" s="44">
        <f t="shared" si="1"/>
        <v>9002.5</v>
      </c>
      <c r="I16" s="46">
        <v>8950</v>
      </c>
      <c r="J16" s="45">
        <v>8960</v>
      </c>
      <c r="K16" s="44">
        <f t="shared" si="2"/>
        <v>8955</v>
      </c>
      <c r="L16" s="46">
        <v>8900</v>
      </c>
      <c r="M16" s="45">
        <v>8910</v>
      </c>
      <c r="N16" s="44">
        <f t="shared" si="3"/>
        <v>8905</v>
      </c>
      <c r="O16" s="46">
        <v>8870</v>
      </c>
      <c r="P16" s="45">
        <v>8880</v>
      </c>
      <c r="Q16" s="44">
        <f t="shared" si="4"/>
        <v>8875</v>
      </c>
      <c r="R16" s="52">
        <v>9018.5</v>
      </c>
      <c r="S16" s="51">
        <v>1.2196</v>
      </c>
      <c r="T16" s="51">
        <v>1.04</v>
      </c>
      <c r="U16" s="50">
        <v>128.54</v>
      </c>
      <c r="V16" s="43">
        <v>7394.64</v>
      </c>
      <c r="W16" s="43">
        <v>7378.73</v>
      </c>
      <c r="X16" s="49">
        <f t="shared" si="5"/>
        <v>8671.6346153846152</v>
      </c>
      <c r="Y16" s="48">
        <v>1.2203999999999999</v>
      </c>
    </row>
    <row r="17" spans="2:25" x14ac:dyDescent="0.2">
      <c r="B17" s="47">
        <v>44694</v>
      </c>
      <c r="C17" s="46">
        <v>9063</v>
      </c>
      <c r="D17" s="45">
        <v>9064</v>
      </c>
      <c r="E17" s="44">
        <f t="shared" si="0"/>
        <v>9063.5</v>
      </c>
      <c r="F17" s="46">
        <v>9055</v>
      </c>
      <c r="G17" s="45">
        <v>9060</v>
      </c>
      <c r="H17" s="44">
        <f t="shared" si="1"/>
        <v>9057.5</v>
      </c>
      <c r="I17" s="46">
        <v>9010</v>
      </c>
      <c r="J17" s="45">
        <v>9020</v>
      </c>
      <c r="K17" s="44">
        <f t="shared" si="2"/>
        <v>9015</v>
      </c>
      <c r="L17" s="46">
        <v>8955</v>
      </c>
      <c r="M17" s="45">
        <v>8965</v>
      </c>
      <c r="N17" s="44">
        <f t="shared" si="3"/>
        <v>8960</v>
      </c>
      <c r="O17" s="46">
        <v>8925</v>
      </c>
      <c r="P17" s="45">
        <v>8935</v>
      </c>
      <c r="Q17" s="44">
        <f t="shared" si="4"/>
        <v>8930</v>
      </c>
      <c r="R17" s="52">
        <v>9064</v>
      </c>
      <c r="S17" s="51">
        <v>1.2192000000000001</v>
      </c>
      <c r="T17" s="51">
        <v>1.0383</v>
      </c>
      <c r="U17" s="50">
        <v>129.06</v>
      </c>
      <c r="V17" s="43">
        <v>7434.38</v>
      </c>
      <c r="W17" s="43">
        <v>7425.62</v>
      </c>
      <c r="X17" s="49">
        <f t="shared" si="5"/>
        <v>8729.6542425117987</v>
      </c>
      <c r="Y17" s="48">
        <v>1.2201</v>
      </c>
    </row>
    <row r="18" spans="2:25" x14ac:dyDescent="0.2">
      <c r="B18" s="47">
        <v>44697</v>
      </c>
      <c r="C18" s="46">
        <v>9265</v>
      </c>
      <c r="D18" s="45">
        <v>9270</v>
      </c>
      <c r="E18" s="44">
        <f t="shared" si="0"/>
        <v>9267.5</v>
      </c>
      <c r="F18" s="46">
        <v>9225</v>
      </c>
      <c r="G18" s="45">
        <v>9227</v>
      </c>
      <c r="H18" s="44">
        <f t="shared" si="1"/>
        <v>9226</v>
      </c>
      <c r="I18" s="46">
        <v>9175</v>
      </c>
      <c r="J18" s="45">
        <v>9185</v>
      </c>
      <c r="K18" s="44">
        <f t="shared" si="2"/>
        <v>9180</v>
      </c>
      <c r="L18" s="46">
        <v>9120</v>
      </c>
      <c r="M18" s="45">
        <v>9130</v>
      </c>
      <c r="N18" s="44">
        <f t="shared" si="3"/>
        <v>9125</v>
      </c>
      <c r="O18" s="46">
        <v>9090</v>
      </c>
      <c r="P18" s="45">
        <v>9100</v>
      </c>
      <c r="Q18" s="44">
        <f t="shared" si="4"/>
        <v>9095</v>
      </c>
      <c r="R18" s="52">
        <v>9270</v>
      </c>
      <c r="S18" s="51">
        <v>1.2259</v>
      </c>
      <c r="T18" s="51">
        <v>1.0419</v>
      </c>
      <c r="U18" s="50">
        <v>129.49</v>
      </c>
      <c r="V18" s="43">
        <v>7561.79</v>
      </c>
      <c r="W18" s="43">
        <v>7526.72</v>
      </c>
      <c r="X18" s="49">
        <f t="shared" si="5"/>
        <v>8897.2070256262596</v>
      </c>
      <c r="Y18" s="48">
        <v>1.2259</v>
      </c>
    </row>
    <row r="19" spans="2:25" x14ac:dyDescent="0.2">
      <c r="B19" s="47">
        <v>44698</v>
      </c>
      <c r="C19" s="46">
        <v>9394</v>
      </c>
      <c r="D19" s="45">
        <v>9396</v>
      </c>
      <c r="E19" s="44">
        <f t="shared" si="0"/>
        <v>9395</v>
      </c>
      <c r="F19" s="46">
        <v>9379</v>
      </c>
      <c r="G19" s="45">
        <v>9381</v>
      </c>
      <c r="H19" s="44">
        <f t="shared" si="1"/>
        <v>9380</v>
      </c>
      <c r="I19" s="46">
        <v>9335</v>
      </c>
      <c r="J19" s="45">
        <v>9345</v>
      </c>
      <c r="K19" s="44">
        <f t="shared" si="2"/>
        <v>9340</v>
      </c>
      <c r="L19" s="46">
        <v>9280</v>
      </c>
      <c r="M19" s="45">
        <v>9290</v>
      </c>
      <c r="N19" s="44">
        <f t="shared" si="3"/>
        <v>9285</v>
      </c>
      <c r="O19" s="46">
        <v>9250</v>
      </c>
      <c r="P19" s="45">
        <v>9260</v>
      </c>
      <c r="Q19" s="44">
        <f t="shared" si="4"/>
        <v>9255</v>
      </c>
      <c r="R19" s="52">
        <v>9396</v>
      </c>
      <c r="S19" s="51">
        <v>1.2484</v>
      </c>
      <c r="T19" s="51">
        <v>1.0539000000000001</v>
      </c>
      <c r="U19" s="50">
        <v>129.33000000000001</v>
      </c>
      <c r="V19" s="43">
        <v>7526.43</v>
      </c>
      <c r="W19" s="43">
        <v>7509.61</v>
      </c>
      <c r="X19" s="49">
        <f t="shared" si="5"/>
        <v>8915.4568744662683</v>
      </c>
      <c r="Y19" s="48">
        <v>1.2492000000000001</v>
      </c>
    </row>
    <row r="20" spans="2:25" x14ac:dyDescent="0.2">
      <c r="B20" s="47">
        <v>44699</v>
      </c>
      <c r="C20" s="46">
        <v>9264</v>
      </c>
      <c r="D20" s="45">
        <v>9264.5</v>
      </c>
      <c r="E20" s="44">
        <f t="shared" si="0"/>
        <v>9264.25</v>
      </c>
      <c r="F20" s="46">
        <v>9260</v>
      </c>
      <c r="G20" s="45">
        <v>9262</v>
      </c>
      <c r="H20" s="44">
        <f t="shared" si="1"/>
        <v>9261</v>
      </c>
      <c r="I20" s="46">
        <v>9210</v>
      </c>
      <c r="J20" s="45">
        <v>9220</v>
      </c>
      <c r="K20" s="44">
        <f t="shared" si="2"/>
        <v>9215</v>
      </c>
      <c r="L20" s="46">
        <v>9155</v>
      </c>
      <c r="M20" s="45">
        <v>9165</v>
      </c>
      <c r="N20" s="44">
        <f t="shared" si="3"/>
        <v>9160</v>
      </c>
      <c r="O20" s="46">
        <v>9125</v>
      </c>
      <c r="P20" s="45">
        <v>9135</v>
      </c>
      <c r="Q20" s="44">
        <f t="shared" si="4"/>
        <v>9130</v>
      </c>
      <c r="R20" s="52">
        <v>9264.5</v>
      </c>
      <c r="S20" s="51">
        <v>1.242</v>
      </c>
      <c r="T20" s="51">
        <v>1.0509999999999999</v>
      </c>
      <c r="U20" s="50">
        <v>129.11000000000001</v>
      </c>
      <c r="V20" s="43">
        <v>7459.34</v>
      </c>
      <c r="W20" s="43">
        <v>7453.13</v>
      </c>
      <c r="X20" s="49">
        <f t="shared" si="5"/>
        <v>8814.9381541389157</v>
      </c>
      <c r="Y20" s="48">
        <v>1.2426999999999999</v>
      </c>
    </row>
    <row r="21" spans="2:25" x14ac:dyDescent="0.2">
      <c r="B21" s="47">
        <v>44700</v>
      </c>
      <c r="C21" s="46">
        <v>9286</v>
      </c>
      <c r="D21" s="45">
        <v>9287</v>
      </c>
      <c r="E21" s="44">
        <f t="shared" si="0"/>
        <v>9286.5</v>
      </c>
      <c r="F21" s="46">
        <v>9273</v>
      </c>
      <c r="G21" s="45">
        <v>9278</v>
      </c>
      <c r="H21" s="44">
        <f t="shared" si="1"/>
        <v>9275.5</v>
      </c>
      <c r="I21" s="46">
        <v>9240</v>
      </c>
      <c r="J21" s="45">
        <v>9250</v>
      </c>
      <c r="K21" s="44">
        <f t="shared" si="2"/>
        <v>9245</v>
      </c>
      <c r="L21" s="46">
        <v>9190</v>
      </c>
      <c r="M21" s="45">
        <v>9200</v>
      </c>
      <c r="N21" s="44">
        <f t="shared" si="3"/>
        <v>9195</v>
      </c>
      <c r="O21" s="46">
        <v>9160</v>
      </c>
      <c r="P21" s="45">
        <v>9170</v>
      </c>
      <c r="Q21" s="44">
        <f t="shared" si="4"/>
        <v>9165</v>
      </c>
      <c r="R21" s="52">
        <v>9287</v>
      </c>
      <c r="S21" s="51">
        <v>1.2432000000000001</v>
      </c>
      <c r="T21" s="51">
        <v>1.0518000000000001</v>
      </c>
      <c r="U21" s="50">
        <v>127.94</v>
      </c>
      <c r="V21" s="43">
        <v>7470.24</v>
      </c>
      <c r="W21" s="43">
        <v>7458.2</v>
      </c>
      <c r="X21" s="49">
        <f t="shared" si="5"/>
        <v>8829.6254040692147</v>
      </c>
      <c r="Y21" s="48">
        <v>1.244</v>
      </c>
    </row>
    <row r="22" spans="2:25" x14ac:dyDescent="0.2">
      <c r="B22" s="47">
        <v>44701</v>
      </c>
      <c r="C22" s="46">
        <v>9475</v>
      </c>
      <c r="D22" s="45">
        <v>9477</v>
      </c>
      <c r="E22" s="44">
        <f t="shared" si="0"/>
        <v>9476</v>
      </c>
      <c r="F22" s="46">
        <v>9460</v>
      </c>
      <c r="G22" s="45">
        <v>9461</v>
      </c>
      <c r="H22" s="44">
        <f t="shared" si="1"/>
        <v>9460.5</v>
      </c>
      <c r="I22" s="46">
        <v>9405</v>
      </c>
      <c r="J22" s="45">
        <v>9415</v>
      </c>
      <c r="K22" s="44">
        <f t="shared" si="2"/>
        <v>9410</v>
      </c>
      <c r="L22" s="46">
        <v>9350</v>
      </c>
      <c r="M22" s="45">
        <v>9360</v>
      </c>
      <c r="N22" s="44">
        <f t="shared" si="3"/>
        <v>9355</v>
      </c>
      <c r="O22" s="46">
        <v>9320</v>
      </c>
      <c r="P22" s="45">
        <v>9330</v>
      </c>
      <c r="Q22" s="44">
        <f t="shared" si="4"/>
        <v>9325</v>
      </c>
      <c r="R22" s="52">
        <v>9477</v>
      </c>
      <c r="S22" s="51">
        <v>1.2468999999999999</v>
      </c>
      <c r="T22" s="51">
        <v>1.0567</v>
      </c>
      <c r="U22" s="50">
        <v>128.06</v>
      </c>
      <c r="V22" s="43">
        <v>7600.45</v>
      </c>
      <c r="W22" s="43">
        <v>7582.75</v>
      </c>
      <c r="X22" s="49">
        <f t="shared" si="5"/>
        <v>8968.486798523707</v>
      </c>
      <c r="Y22" s="48">
        <v>1.2477</v>
      </c>
    </row>
    <row r="23" spans="2:25" x14ac:dyDescent="0.2">
      <c r="B23" s="47">
        <v>44704</v>
      </c>
      <c r="C23" s="46">
        <v>9499.5</v>
      </c>
      <c r="D23" s="45">
        <v>9500.5</v>
      </c>
      <c r="E23" s="44">
        <f t="shared" si="0"/>
        <v>9500</v>
      </c>
      <c r="F23" s="46">
        <v>9480</v>
      </c>
      <c r="G23" s="45">
        <v>9485</v>
      </c>
      <c r="H23" s="44">
        <f t="shared" si="1"/>
        <v>9482.5</v>
      </c>
      <c r="I23" s="46">
        <v>9430</v>
      </c>
      <c r="J23" s="45">
        <v>9440</v>
      </c>
      <c r="K23" s="44">
        <f t="shared" si="2"/>
        <v>9435</v>
      </c>
      <c r="L23" s="46">
        <v>9370</v>
      </c>
      <c r="M23" s="45">
        <v>9380</v>
      </c>
      <c r="N23" s="44">
        <f t="shared" si="3"/>
        <v>9375</v>
      </c>
      <c r="O23" s="46">
        <v>9340</v>
      </c>
      <c r="P23" s="45">
        <v>9350</v>
      </c>
      <c r="Q23" s="44">
        <f t="shared" si="4"/>
        <v>9345</v>
      </c>
      <c r="R23" s="52">
        <v>9500.5</v>
      </c>
      <c r="S23" s="51">
        <v>1.2576000000000001</v>
      </c>
      <c r="T23" s="51">
        <v>1.0657000000000001</v>
      </c>
      <c r="U23" s="50">
        <v>127.62</v>
      </c>
      <c r="V23" s="43">
        <v>7554.47</v>
      </c>
      <c r="W23" s="43">
        <v>7537.35</v>
      </c>
      <c r="X23" s="49">
        <f t="shared" si="5"/>
        <v>8914.7977854931032</v>
      </c>
      <c r="Y23" s="48">
        <v>1.2584</v>
      </c>
    </row>
    <row r="24" spans="2:25" x14ac:dyDescent="0.2">
      <c r="B24" s="47">
        <v>44705</v>
      </c>
      <c r="C24" s="46">
        <v>9459.5</v>
      </c>
      <c r="D24" s="45">
        <v>9460.5</v>
      </c>
      <c r="E24" s="44">
        <f t="shared" si="0"/>
        <v>9460</v>
      </c>
      <c r="F24" s="46">
        <v>9435</v>
      </c>
      <c r="G24" s="45">
        <v>9437</v>
      </c>
      <c r="H24" s="44">
        <f t="shared" si="1"/>
        <v>9436</v>
      </c>
      <c r="I24" s="46">
        <v>9395</v>
      </c>
      <c r="J24" s="45">
        <v>9405</v>
      </c>
      <c r="K24" s="44">
        <f t="shared" si="2"/>
        <v>9400</v>
      </c>
      <c r="L24" s="46">
        <v>9330</v>
      </c>
      <c r="M24" s="45">
        <v>9340</v>
      </c>
      <c r="N24" s="44">
        <f t="shared" si="3"/>
        <v>9335</v>
      </c>
      <c r="O24" s="46">
        <v>9300</v>
      </c>
      <c r="P24" s="45">
        <v>9310</v>
      </c>
      <c r="Q24" s="44">
        <f t="shared" si="4"/>
        <v>9305</v>
      </c>
      <c r="R24" s="52">
        <v>9460.5</v>
      </c>
      <c r="S24" s="51">
        <v>1.2499</v>
      </c>
      <c r="T24" s="51">
        <v>1.0714999999999999</v>
      </c>
      <c r="U24" s="50">
        <v>127.4</v>
      </c>
      <c r="V24" s="43">
        <v>7569.01</v>
      </c>
      <c r="W24" s="43">
        <v>7544.17</v>
      </c>
      <c r="X24" s="49">
        <f t="shared" si="5"/>
        <v>8829.2113859076071</v>
      </c>
      <c r="Y24" s="48">
        <v>1.2508999999999999</v>
      </c>
    </row>
    <row r="25" spans="2:25" x14ac:dyDescent="0.2">
      <c r="B25" s="47">
        <v>44706</v>
      </c>
      <c r="C25" s="46">
        <v>9285</v>
      </c>
      <c r="D25" s="45">
        <v>9287</v>
      </c>
      <c r="E25" s="44">
        <f t="shared" si="0"/>
        <v>9286</v>
      </c>
      <c r="F25" s="46">
        <v>9314</v>
      </c>
      <c r="G25" s="45">
        <v>9315</v>
      </c>
      <c r="H25" s="44">
        <f t="shared" si="1"/>
        <v>9314.5</v>
      </c>
      <c r="I25" s="46">
        <v>9290</v>
      </c>
      <c r="J25" s="45">
        <v>9300</v>
      </c>
      <c r="K25" s="44">
        <f t="shared" si="2"/>
        <v>9295</v>
      </c>
      <c r="L25" s="46">
        <v>9235</v>
      </c>
      <c r="M25" s="45">
        <v>9245</v>
      </c>
      <c r="N25" s="44">
        <f t="shared" si="3"/>
        <v>9240</v>
      </c>
      <c r="O25" s="46">
        <v>9215</v>
      </c>
      <c r="P25" s="45">
        <v>9225</v>
      </c>
      <c r="Q25" s="44">
        <f t="shared" si="4"/>
        <v>9220</v>
      </c>
      <c r="R25" s="52">
        <v>9287</v>
      </c>
      <c r="S25" s="51">
        <v>1.2492000000000001</v>
      </c>
      <c r="T25" s="51">
        <v>1.0660000000000001</v>
      </c>
      <c r="U25" s="50">
        <v>126.98</v>
      </c>
      <c r="V25" s="43">
        <v>7434.36</v>
      </c>
      <c r="W25" s="43">
        <v>7450.81</v>
      </c>
      <c r="X25" s="49">
        <f t="shared" si="5"/>
        <v>8712.0075046904312</v>
      </c>
      <c r="Y25" s="48">
        <v>1.2502</v>
      </c>
    </row>
    <row r="26" spans="2:25" x14ac:dyDescent="0.2">
      <c r="B26" s="47">
        <v>44707</v>
      </c>
      <c r="C26" s="46">
        <v>9358</v>
      </c>
      <c r="D26" s="45">
        <v>9359</v>
      </c>
      <c r="E26" s="44">
        <f t="shared" si="0"/>
        <v>9358.5</v>
      </c>
      <c r="F26" s="46">
        <v>9360</v>
      </c>
      <c r="G26" s="45">
        <v>9365</v>
      </c>
      <c r="H26" s="44">
        <f t="shared" si="1"/>
        <v>9362.5</v>
      </c>
      <c r="I26" s="46">
        <v>9365</v>
      </c>
      <c r="J26" s="45">
        <v>9375</v>
      </c>
      <c r="K26" s="44">
        <f t="shared" si="2"/>
        <v>9370</v>
      </c>
      <c r="L26" s="46">
        <v>9345</v>
      </c>
      <c r="M26" s="45">
        <v>9355</v>
      </c>
      <c r="N26" s="44">
        <f t="shared" si="3"/>
        <v>9350</v>
      </c>
      <c r="O26" s="46">
        <v>9325</v>
      </c>
      <c r="P26" s="45">
        <v>9335</v>
      </c>
      <c r="Q26" s="44">
        <f t="shared" si="4"/>
        <v>9330</v>
      </c>
      <c r="R26" s="52">
        <v>9359</v>
      </c>
      <c r="S26" s="51">
        <v>1.2596000000000001</v>
      </c>
      <c r="T26" s="51">
        <v>1.0706</v>
      </c>
      <c r="U26" s="50">
        <v>127.04</v>
      </c>
      <c r="V26" s="43">
        <v>7430.14</v>
      </c>
      <c r="W26" s="43">
        <v>7429</v>
      </c>
      <c r="X26" s="49">
        <f t="shared" si="5"/>
        <v>8741.8270128899676</v>
      </c>
      <c r="Y26" s="48">
        <v>1.2605999999999999</v>
      </c>
    </row>
    <row r="27" spans="2:25" x14ac:dyDescent="0.2">
      <c r="B27" s="47">
        <v>44708</v>
      </c>
      <c r="C27" s="46">
        <v>9382</v>
      </c>
      <c r="D27" s="45">
        <v>9383</v>
      </c>
      <c r="E27" s="44">
        <f t="shared" si="0"/>
        <v>9382.5</v>
      </c>
      <c r="F27" s="46">
        <v>9390</v>
      </c>
      <c r="G27" s="45">
        <v>9395</v>
      </c>
      <c r="H27" s="44">
        <f t="shared" si="1"/>
        <v>9392.5</v>
      </c>
      <c r="I27" s="46">
        <v>9390</v>
      </c>
      <c r="J27" s="45">
        <v>9400</v>
      </c>
      <c r="K27" s="44">
        <f t="shared" si="2"/>
        <v>9395</v>
      </c>
      <c r="L27" s="46">
        <v>9355</v>
      </c>
      <c r="M27" s="45">
        <v>9365</v>
      </c>
      <c r="N27" s="44">
        <f t="shared" si="3"/>
        <v>9360</v>
      </c>
      <c r="O27" s="46">
        <v>9335</v>
      </c>
      <c r="P27" s="45">
        <v>9345</v>
      </c>
      <c r="Q27" s="44">
        <f t="shared" si="4"/>
        <v>9340</v>
      </c>
      <c r="R27" s="52">
        <v>9383</v>
      </c>
      <c r="S27" s="51">
        <v>1.2618</v>
      </c>
      <c r="T27" s="51">
        <v>1.0707</v>
      </c>
      <c r="U27" s="50">
        <v>126.92</v>
      </c>
      <c r="V27" s="43">
        <v>7436.2</v>
      </c>
      <c r="W27" s="43">
        <v>7440.41</v>
      </c>
      <c r="X27" s="49">
        <f t="shared" si="5"/>
        <v>8763.4257962080883</v>
      </c>
      <c r="Y27" s="48">
        <v>1.2626999999999999</v>
      </c>
    </row>
    <row r="28" spans="2:25" x14ac:dyDescent="0.2">
      <c r="B28" s="47">
        <v>44711</v>
      </c>
      <c r="C28" s="46">
        <v>9520</v>
      </c>
      <c r="D28" s="45">
        <v>9520.5</v>
      </c>
      <c r="E28" s="44">
        <f t="shared" si="0"/>
        <v>9520.25</v>
      </c>
      <c r="F28" s="46">
        <v>9530</v>
      </c>
      <c r="G28" s="45">
        <v>9531</v>
      </c>
      <c r="H28" s="44">
        <f t="shared" si="1"/>
        <v>9530.5</v>
      </c>
      <c r="I28" s="46">
        <v>9515</v>
      </c>
      <c r="J28" s="45">
        <v>9525</v>
      </c>
      <c r="K28" s="44">
        <f t="shared" si="2"/>
        <v>9520</v>
      </c>
      <c r="L28" s="46">
        <v>9485</v>
      </c>
      <c r="M28" s="45">
        <v>9495</v>
      </c>
      <c r="N28" s="44">
        <f t="shared" si="3"/>
        <v>9490</v>
      </c>
      <c r="O28" s="46">
        <v>9465</v>
      </c>
      <c r="P28" s="45">
        <v>9475</v>
      </c>
      <c r="Q28" s="44">
        <f t="shared" si="4"/>
        <v>9470</v>
      </c>
      <c r="R28" s="52">
        <v>9520.5</v>
      </c>
      <c r="S28" s="51">
        <v>1.264</v>
      </c>
      <c r="T28" s="51">
        <v>1.0767</v>
      </c>
      <c r="U28" s="50">
        <v>127.43</v>
      </c>
      <c r="V28" s="43">
        <v>7532.04</v>
      </c>
      <c r="W28" s="43">
        <v>7535.58</v>
      </c>
      <c r="X28" s="49">
        <f t="shared" si="5"/>
        <v>8842.2959041515751</v>
      </c>
      <c r="Y28" s="48">
        <v>1.2647999999999999</v>
      </c>
    </row>
    <row r="29" spans="2:25" x14ac:dyDescent="0.2">
      <c r="B29" s="47">
        <v>44712</v>
      </c>
      <c r="C29" s="46">
        <v>9500</v>
      </c>
      <c r="D29" s="45">
        <v>9500.5</v>
      </c>
      <c r="E29" s="44">
        <f t="shared" si="0"/>
        <v>9500.25</v>
      </c>
      <c r="F29" s="46">
        <v>9505</v>
      </c>
      <c r="G29" s="45">
        <v>9510</v>
      </c>
      <c r="H29" s="44">
        <f t="shared" si="1"/>
        <v>9507.5</v>
      </c>
      <c r="I29" s="46">
        <v>9485</v>
      </c>
      <c r="J29" s="45">
        <v>9495</v>
      </c>
      <c r="K29" s="44">
        <f t="shared" si="2"/>
        <v>9490</v>
      </c>
      <c r="L29" s="46">
        <v>9455</v>
      </c>
      <c r="M29" s="45">
        <v>9465</v>
      </c>
      <c r="N29" s="44">
        <f t="shared" si="3"/>
        <v>9460</v>
      </c>
      <c r="O29" s="46">
        <v>9435</v>
      </c>
      <c r="P29" s="45">
        <v>9445</v>
      </c>
      <c r="Q29" s="44">
        <f t="shared" si="4"/>
        <v>9440</v>
      </c>
      <c r="R29" s="52">
        <v>9500.5</v>
      </c>
      <c r="S29" s="51">
        <v>1.2588999999999999</v>
      </c>
      <c r="T29" s="51">
        <v>1.0712999999999999</v>
      </c>
      <c r="U29" s="50">
        <v>128.19</v>
      </c>
      <c r="V29" s="43">
        <v>7546.67</v>
      </c>
      <c r="W29" s="43">
        <v>7548.82</v>
      </c>
      <c r="X29" s="49">
        <f t="shared" si="5"/>
        <v>8868.197517035378</v>
      </c>
      <c r="Y29" s="48">
        <v>1.2598</v>
      </c>
    </row>
    <row r="30" spans="2:25" s="10" customFormat="1" x14ac:dyDescent="0.2">
      <c r="B30" s="42" t="s">
        <v>11</v>
      </c>
      <c r="C30" s="41">
        <f>ROUND(AVERAGE(C9:C29),2)</f>
        <v>9361.36</v>
      </c>
      <c r="D30" s="40">
        <f>ROUND(AVERAGE(D9:D29),2)</f>
        <v>9362.81</v>
      </c>
      <c r="E30" s="39">
        <f>ROUND(AVERAGE(C30:D30),2)</f>
        <v>9362.09</v>
      </c>
      <c r="F30" s="41">
        <f>ROUND(AVERAGE(F9:F29),2)</f>
        <v>9356.4</v>
      </c>
      <c r="G30" s="40">
        <f>ROUND(AVERAGE(G9:G29),2)</f>
        <v>9359.19</v>
      </c>
      <c r="H30" s="39">
        <f>ROUND(AVERAGE(F30:G30),2)</f>
        <v>9357.7999999999993</v>
      </c>
      <c r="I30" s="41">
        <f>ROUND(AVERAGE(I9:I29),2)</f>
        <v>9321.9</v>
      </c>
      <c r="J30" s="40">
        <f>ROUND(AVERAGE(J9:J29),2)</f>
        <v>9331.9</v>
      </c>
      <c r="K30" s="39">
        <f>ROUND(AVERAGE(I30:J30),2)</f>
        <v>9326.9</v>
      </c>
      <c r="L30" s="41">
        <f>ROUND(AVERAGE(L9:L29),2)</f>
        <v>9270.48</v>
      </c>
      <c r="M30" s="40">
        <f>ROUND(AVERAGE(M9:M29),2)</f>
        <v>9280.48</v>
      </c>
      <c r="N30" s="39">
        <f>ROUND(AVERAGE(L30:M30),2)</f>
        <v>9275.48</v>
      </c>
      <c r="O30" s="41">
        <f>ROUND(AVERAGE(O9:O29),2)</f>
        <v>9240</v>
      </c>
      <c r="P30" s="40">
        <f>ROUND(AVERAGE(P9:P29),2)</f>
        <v>9250</v>
      </c>
      <c r="Q30" s="39">
        <f>ROUND(AVERAGE(O30:P30),2)</f>
        <v>9245</v>
      </c>
      <c r="R30" s="38">
        <f>ROUND(AVERAGE(R9:R29),2)</f>
        <v>9362.81</v>
      </c>
      <c r="S30" s="37">
        <f>ROUND(AVERAGE(S9:S29),4)</f>
        <v>1.2443</v>
      </c>
      <c r="T30" s="36">
        <f>ROUND(AVERAGE(T9:T29),4)</f>
        <v>1.0576000000000001</v>
      </c>
      <c r="U30" s="175">
        <f>ROUND(AVERAGE(U9:U29),2)</f>
        <v>128.78</v>
      </c>
      <c r="V30" s="35">
        <f>AVERAGE(V9:V29)</f>
        <v>7524.6152380952399</v>
      </c>
      <c r="W30" s="35">
        <f>AVERAGE(W9:W29)</f>
        <v>7517.0219047619048</v>
      </c>
      <c r="X30" s="35">
        <f>AVERAGE(X9:X29)</f>
        <v>8853.1727768166693</v>
      </c>
      <c r="Y30" s="34">
        <f>AVERAGE(Y9:Y29)</f>
        <v>1.2450476190476192</v>
      </c>
    </row>
    <row r="31" spans="2:25" s="5" customFormat="1" x14ac:dyDescent="0.2">
      <c r="B31" s="33" t="s">
        <v>12</v>
      </c>
      <c r="C31" s="32">
        <f t="shared" ref="C31:Y31" si="6">MAX(C9:C29)</f>
        <v>9540</v>
      </c>
      <c r="D31" s="31">
        <f t="shared" si="6"/>
        <v>9541</v>
      </c>
      <c r="E31" s="30">
        <f t="shared" si="6"/>
        <v>9540.5</v>
      </c>
      <c r="F31" s="32">
        <f t="shared" si="6"/>
        <v>9539</v>
      </c>
      <c r="G31" s="31">
        <f t="shared" si="6"/>
        <v>9541</v>
      </c>
      <c r="H31" s="30">
        <f t="shared" si="6"/>
        <v>9540</v>
      </c>
      <c r="I31" s="32">
        <f t="shared" si="6"/>
        <v>9515</v>
      </c>
      <c r="J31" s="31">
        <f t="shared" si="6"/>
        <v>9525</v>
      </c>
      <c r="K31" s="30">
        <f t="shared" si="6"/>
        <v>9520</v>
      </c>
      <c r="L31" s="32">
        <f t="shared" si="6"/>
        <v>9485</v>
      </c>
      <c r="M31" s="31">
        <f t="shared" si="6"/>
        <v>9495</v>
      </c>
      <c r="N31" s="30">
        <f t="shared" si="6"/>
        <v>9490</v>
      </c>
      <c r="O31" s="32">
        <f t="shared" si="6"/>
        <v>9465</v>
      </c>
      <c r="P31" s="31">
        <f t="shared" si="6"/>
        <v>9475</v>
      </c>
      <c r="Q31" s="30">
        <f t="shared" si="6"/>
        <v>9470</v>
      </c>
      <c r="R31" s="29">
        <f t="shared" si="6"/>
        <v>9541</v>
      </c>
      <c r="S31" s="28">
        <f t="shared" si="6"/>
        <v>1.264</v>
      </c>
      <c r="T31" s="27">
        <f t="shared" si="6"/>
        <v>1.0767</v>
      </c>
      <c r="U31" s="26">
        <f t="shared" si="6"/>
        <v>131.03</v>
      </c>
      <c r="V31" s="25">
        <f t="shared" si="6"/>
        <v>7696.84</v>
      </c>
      <c r="W31" s="25">
        <f t="shared" si="6"/>
        <v>7691.87</v>
      </c>
      <c r="X31" s="25">
        <f t="shared" si="6"/>
        <v>9045.3166477057257</v>
      </c>
      <c r="Y31" s="24">
        <f t="shared" si="6"/>
        <v>1.2647999999999999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9018</v>
      </c>
      <c r="D32" s="21">
        <f t="shared" si="7"/>
        <v>9018.5</v>
      </c>
      <c r="E32" s="20">
        <f t="shared" si="7"/>
        <v>9018.25</v>
      </c>
      <c r="F32" s="22">
        <f t="shared" si="7"/>
        <v>9000</v>
      </c>
      <c r="G32" s="21">
        <f t="shared" si="7"/>
        <v>9005</v>
      </c>
      <c r="H32" s="20">
        <f t="shared" si="7"/>
        <v>9002.5</v>
      </c>
      <c r="I32" s="22">
        <f t="shared" si="7"/>
        <v>8950</v>
      </c>
      <c r="J32" s="21">
        <f t="shared" si="7"/>
        <v>8960</v>
      </c>
      <c r="K32" s="20">
        <f t="shared" si="7"/>
        <v>8955</v>
      </c>
      <c r="L32" s="22">
        <f t="shared" si="7"/>
        <v>8900</v>
      </c>
      <c r="M32" s="21">
        <f t="shared" si="7"/>
        <v>8910</v>
      </c>
      <c r="N32" s="20">
        <f t="shared" si="7"/>
        <v>8905</v>
      </c>
      <c r="O32" s="22">
        <f t="shared" si="7"/>
        <v>8870</v>
      </c>
      <c r="P32" s="21">
        <f t="shared" si="7"/>
        <v>8880</v>
      </c>
      <c r="Q32" s="20">
        <f t="shared" si="7"/>
        <v>8875</v>
      </c>
      <c r="R32" s="19">
        <f t="shared" si="7"/>
        <v>9018.5</v>
      </c>
      <c r="S32" s="18">
        <f t="shared" si="7"/>
        <v>1.2192000000000001</v>
      </c>
      <c r="T32" s="17">
        <f t="shared" si="7"/>
        <v>1.0383</v>
      </c>
      <c r="U32" s="16">
        <f t="shared" si="7"/>
        <v>126.92</v>
      </c>
      <c r="V32" s="15">
        <f t="shared" si="7"/>
        <v>7394.64</v>
      </c>
      <c r="W32" s="15">
        <f t="shared" si="7"/>
        <v>7378.73</v>
      </c>
      <c r="X32" s="15">
        <f t="shared" si="7"/>
        <v>8671.6346153846152</v>
      </c>
      <c r="Y32" s="14">
        <f t="shared" si="7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44684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44684</v>
      </c>
      <c r="C9" s="46">
        <v>2175</v>
      </c>
      <c r="D9" s="45">
        <v>2185</v>
      </c>
      <c r="E9" s="44">
        <f t="shared" ref="E9:E29" si="0">AVERAGE(C9:D9)</f>
        <v>2180</v>
      </c>
      <c r="F9" s="46">
        <v>2175</v>
      </c>
      <c r="G9" s="45">
        <v>2185</v>
      </c>
      <c r="H9" s="44">
        <f t="shared" ref="H9:H29" si="1">AVERAGE(F9:G9)</f>
        <v>2180</v>
      </c>
      <c r="I9" s="46">
        <v>2175</v>
      </c>
      <c r="J9" s="45">
        <v>2185</v>
      </c>
      <c r="K9" s="44">
        <f t="shared" ref="K9:K29" si="2">AVERAGE(I9:J9)</f>
        <v>2180</v>
      </c>
      <c r="L9" s="52">
        <v>2185</v>
      </c>
      <c r="M9" s="51">
        <v>1.2532000000000001</v>
      </c>
      <c r="N9" s="53">
        <v>1.0538000000000001</v>
      </c>
      <c r="O9" s="50">
        <v>129.91999999999999</v>
      </c>
      <c r="P9" s="43">
        <v>1743.54</v>
      </c>
      <c r="Q9" s="43">
        <v>1742.84</v>
      </c>
      <c r="R9" s="49">
        <f t="shared" ref="R9:R29" si="3">L9/N9</f>
        <v>2073.4484721958625</v>
      </c>
      <c r="S9" s="48">
        <v>1.2537</v>
      </c>
    </row>
    <row r="10" spans="1:19" x14ac:dyDescent="0.2">
      <c r="B10" s="47">
        <v>44685</v>
      </c>
      <c r="C10" s="46">
        <v>2175</v>
      </c>
      <c r="D10" s="45">
        <v>2185</v>
      </c>
      <c r="E10" s="44">
        <f t="shared" si="0"/>
        <v>2180</v>
      </c>
      <c r="F10" s="46">
        <v>2175</v>
      </c>
      <c r="G10" s="45">
        <v>2185</v>
      </c>
      <c r="H10" s="44">
        <f t="shared" si="1"/>
        <v>2180</v>
      </c>
      <c r="I10" s="46">
        <v>2175</v>
      </c>
      <c r="J10" s="45">
        <v>2185</v>
      </c>
      <c r="K10" s="44">
        <f t="shared" si="2"/>
        <v>2180</v>
      </c>
      <c r="L10" s="52">
        <v>2185</v>
      </c>
      <c r="M10" s="51">
        <v>1.2511000000000001</v>
      </c>
      <c r="N10" s="51">
        <v>1.0530999999999999</v>
      </c>
      <c r="O10" s="50">
        <v>129.96</v>
      </c>
      <c r="P10" s="43">
        <v>1746.46</v>
      </c>
      <c r="Q10" s="43">
        <v>1745.49</v>
      </c>
      <c r="R10" s="49">
        <f t="shared" si="3"/>
        <v>2074.8267021175579</v>
      </c>
      <c r="S10" s="48">
        <v>1.2518</v>
      </c>
    </row>
    <row r="11" spans="1:19" x14ac:dyDescent="0.2">
      <c r="B11" s="47">
        <v>44686</v>
      </c>
      <c r="C11" s="46">
        <v>2175</v>
      </c>
      <c r="D11" s="45">
        <v>2185</v>
      </c>
      <c r="E11" s="44">
        <f t="shared" si="0"/>
        <v>2180</v>
      </c>
      <c r="F11" s="46">
        <v>2175</v>
      </c>
      <c r="G11" s="45">
        <v>2185</v>
      </c>
      <c r="H11" s="44">
        <f t="shared" si="1"/>
        <v>2180</v>
      </c>
      <c r="I11" s="46">
        <v>2175</v>
      </c>
      <c r="J11" s="45">
        <v>2185</v>
      </c>
      <c r="K11" s="44">
        <f t="shared" si="2"/>
        <v>2180</v>
      </c>
      <c r="L11" s="52">
        <v>2185</v>
      </c>
      <c r="M11" s="51">
        <v>1.2396</v>
      </c>
      <c r="N11" s="51">
        <v>1.0548</v>
      </c>
      <c r="O11" s="50">
        <v>130</v>
      </c>
      <c r="P11" s="43">
        <v>1762.67</v>
      </c>
      <c r="Q11" s="43">
        <v>1761.53</v>
      </c>
      <c r="R11" s="49">
        <f t="shared" si="3"/>
        <v>2071.4827455441791</v>
      </c>
      <c r="S11" s="48">
        <v>1.2403999999999999</v>
      </c>
    </row>
    <row r="12" spans="1:19" x14ac:dyDescent="0.2">
      <c r="B12" s="47">
        <v>44687</v>
      </c>
      <c r="C12" s="46">
        <v>2175</v>
      </c>
      <c r="D12" s="45">
        <v>2185</v>
      </c>
      <c r="E12" s="44">
        <f t="shared" si="0"/>
        <v>2180</v>
      </c>
      <c r="F12" s="46">
        <v>2175</v>
      </c>
      <c r="G12" s="45">
        <v>2185</v>
      </c>
      <c r="H12" s="44">
        <f t="shared" si="1"/>
        <v>2180</v>
      </c>
      <c r="I12" s="46">
        <v>2175</v>
      </c>
      <c r="J12" s="45">
        <v>2185</v>
      </c>
      <c r="K12" s="44">
        <f t="shared" si="2"/>
        <v>2180</v>
      </c>
      <c r="L12" s="52">
        <v>2185</v>
      </c>
      <c r="M12" s="51">
        <v>1.2336</v>
      </c>
      <c r="N12" s="51">
        <v>1.0566</v>
      </c>
      <c r="O12" s="50">
        <v>130.43</v>
      </c>
      <c r="P12" s="43">
        <v>1771.24</v>
      </c>
      <c r="Q12" s="43">
        <v>1770.23</v>
      </c>
      <c r="R12" s="49">
        <f t="shared" si="3"/>
        <v>2067.9538141207649</v>
      </c>
      <c r="S12" s="48">
        <v>1.2343</v>
      </c>
    </row>
    <row r="13" spans="1:19" x14ac:dyDescent="0.2">
      <c r="B13" s="47">
        <v>44690</v>
      </c>
      <c r="C13" s="46">
        <v>2140</v>
      </c>
      <c r="D13" s="45">
        <v>2150</v>
      </c>
      <c r="E13" s="44">
        <f t="shared" si="0"/>
        <v>2145</v>
      </c>
      <c r="F13" s="46">
        <v>2140</v>
      </c>
      <c r="G13" s="45">
        <v>2150</v>
      </c>
      <c r="H13" s="44">
        <f t="shared" si="1"/>
        <v>2145</v>
      </c>
      <c r="I13" s="46">
        <v>2140</v>
      </c>
      <c r="J13" s="45">
        <v>2150</v>
      </c>
      <c r="K13" s="44">
        <f t="shared" si="2"/>
        <v>2145</v>
      </c>
      <c r="L13" s="52">
        <v>2150</v>
      </c>
      <c r="M13" s="51">
        <v>1.2366999999999999</v>
      </c>
      <c r="N13" s="51">
        <v>1.0547</v>
      </c>
      <c r="O13" s="50">
        <v>131.03</v>
      </c>
      <c r="P13" s="43">
        <v>1738.5</v>
      </c>
      <c r="Q13" s="43">
        <v>1737.51</v>
      </c>
      <c r="R13" s="49">
        <f t="shared" si="3"/>
        <v>2038.4943585853798</v>
      </c>
      <c r="S13" s="48">
        <v>1.2374000000000001</v>
      </c>
    </row>
    <row r="14" spans="1:19" x14ac:dyDescent="0.2">
      <c r="B14" s="47">
        <v>44691</v>
      </c>
      <c r="C14" s="46">
        <v>2090</v>
      </c>
      <c r="D14" s="45">
        <v>2100</v>
      </c>
      <c r="E14" s="44">
        <f t="shared" si="0"/>
        <v>2095</v>
      </c>
      <c r="F14" s="46">
        <v>2090</v>
      </c>
      <c r="G14" s="45">
        <v>2100</v>
      </c>
      <c r="H14" s="44">
        <f t="shared" si="1"/>
        <v>2095</v>
      </c>
      <c r="I14" s="46">
        <v>2090</v>
      </c>
      <c r="J14" s="45">
        <v>2100</v>
      </c>
      <c r="K14" s="44">
        <f t="shared" si="2"/>
        <v>2095</v>
      </c>
      <c r="L14" s="52">
        <v>2100</v>
      </c>
      <c r="M14" s="51">
        <v>1.2338</v>
      </c>
      <c r="N14" s="51">
        <v>1.0552999999999999</v>
      </c>
      <c r="O14" s="50">
        <v>130.08000000000001</v>
      </c>
      <c r="P14" s="43">
        <v>1702.06</v>
      </c>
      <c r="Q14" s="43">
        <v>1701.09</v>
      </c>
      <c r="R14" s="49">
        <f t="shared" si="3"/>
        <v>1989.9554629015447</v>
      </c>
      <c r="S14" s="48">
        <v>1.2344999999999999</v>
      </c>
    </row>
    <row r="15" spans="1:19" x14ac:dyDescent="0.2">
      <c r="B15" s="47">
        <v>44692</v>
      </c>
      <c r="C15" s="46">
        <v>2040</v>
      </c>
      <c r="D15" s="45">
        <v>2050</v>
      </c>
      <c r="E15" s="44">
        <f t="shared" si="0"/>
        <v>2045</v>
      </c>
      <c r="F15" s="46">
        <v>2040</v>
      </c>
      <c r="G15" s="45">
        <v>2050</v>
      </c>
      <c r="H15" s="44">
        <f t="shared" si="1"/>
        <v>2045</v>
      </c>
      <c r="I15" s="46">
        <v>2040</v>
      </c>
      <c r="J15" s="45">
        <v>2050</v>
      </c>
      <c r="K15" s="44">
        <f t="shared" si="2"/>
        <v>2045</v>
      </c>
      <c r="L15" s="52">
        <v>2050</v>
      </c>
      <c r="M15" s="51">
        <v>1.2357</v>
      </c>
      <c r="N15" s="51">
        <v>1.0545</v>
      </c>
      <c r="O15" s="50">
        <v>129.82</v>
      </c>
      <c r="P15" s="43">
        <v>1658.98</v>
      </c>
      <c r="Q15" s="43">
        <v>1657.91</v>
      </c>
      <c r="R15" s="49">
        <f t="shared" si="3"/>
        <v>1944.0493124703651</v>
      </c>
      <c r="S15" s="48">
        <v>1.2364999999999999</v>
      </c>
    </row>
    <row r="16" spans="1:19" x14ac:dyDescent="0.2">
      <c r="B16" s="47">
        <v>44693</v>
      </c>
      <c r="C16" s="46">
        <v>1990</v>
      </c>
      <c r="D16" s="45">
        <v>2000</v>
      </c>
      <c r="E16" s="44">
        <f t="shared" si="0"/>
        <v>1995</v>
      </c>
      <c r="F16" s="46">
        <v>1990</v>
      </c>
      <c r="G16" s="45">
        <v>2000</v>
      </c>
      <c r="H16" s="44">
        <f t="shared" si="1"/>
        <v>1995</v>
      </c>
      <c r="I16" s="46">
        <v>1990</v>
      </c>
      <c r="J16" s="45">
        <v>2000</v>
      </c>
      <c r="K16" s="44">
        <f t="shared" si="2"/>
        <v>1995</v>
      </c>
      <c r="L16" s="52">
        <v>2000</v>
      </c>
      <c r="M16" s="51">
        <v>1.2196</v>
      </c>
      <c r="N16" s="51">
        <v>1.04</v>
      </c>
      <c r="O16" s="50">
        <v>128.54</v>
      </c>
      <c r="P16" s="43">
        <v>1639.88</v>
      </c>
      <c r="Q16" s="43">
        <v>1638.81</v>
      </c>
      <c r="R16" s="49">
        <f t="shared" si="3"/>
        <v>1923.0769230769231</v>
      </c>
      <c r="S16" s="48">
        <v>1.2203999999999999</v>
      </c>
    </row>
    <row r="17" spans="2:19" x14ac:dyDescent="0.2">
      <c r="B17" s="47">
        <v>44694</v>
      </c>
      <c r="C17" s="46">
        <v>1990</v>
      </c>
      <c r="D17" s="45">
        <v>2000</v>
      </c>
      <c r="E17" s="44">
        <f t="shared" si="0"/>
        <v>1995</v>
      </c>
      <c r="F17" s="46">
        <v>1990</v>
      </c>
      <c r="G17" s="45">
        <v>2000</v>
      </c>
      <c r="H17" s="44">
        <f t="shared" si="1"/>
        <v>1995</v>
      </c>
      <c r="I17" s="46">
        <v>1990</v>
      </c>
      <c r="J17" s="45">
        <v>2000</v>
      </c>
      <c r="K17" s="44">
        <f t="shared" si="2"/>
        <v>1995</v>
      </c>
      <c r="L17" s="52">
        <v>2000</v>
      </c>
      <c r="M17" s="51">
        <v>1.2192000000000001</v>
      </c>
      <c r="N17" s="51">
        <v>1.0383</v>
      </c>
      <c r="O17" s="50">
        <v>129.06</v>
      </c>
      <c r="P17" s="43">
        <v>1640.42</v>
      </c>
      <c r="Q17" s="43">
        <v>1639.21</v>
      </c>
      <c r="R17" s="49">
        <f t="shared" si="3"/>
        <v>1926.2255610131947</v>
      </c>
      <c r="S17" s="48">
        <v>1.2201</v>
      </c>
    </row>
    <row r="18" spans="2:19" x14ac:dyDescent="0.2">
      <c r="B18" s="47">
        <v>44697</v>
      </c>
      <c r="C18" s="46">
        <v>1740</v>
      </c>
      <c r="D18" s="45">
        <v>1750</v>
      </c>
      <c r="E18" s="44">
        <f t="shared" si="0"/>
        <v>1745</v>
      </c>
      <c r="F18" s="46">
        <v>1740</v>
      </c>
      <c r="G18" s="45">
        <v>1750</v>
      </c>
      <c r="H18" s="44">
        <f t="shared" si="1"/>
        <v>1745</v>
      </c>
      <c r="I18" s="46">
        <v>1740</v>
      </c>
      <c r="J18" s="45">
        <v>1750</v>
      </c>
      <c r="K18" s="44">
        <f t="shared" si="2"/>
        <v>1745</v>
      </c>
      <c r="L18" s="52">
        <v>1750</v>
      </c>
      <c r="M18" s="51">
        <v>1.2259</v>
      </c>
      <c r="N18" s="51">
        <v>1.0419</v>
      </c>
      <c r="O18" s="50">
        <v>129.49</v>
      </c>
      <c r="P18" s="43">
        <v>1427.52</v>
      </c>
      <c r="Q18" s="43">
        <v>1427.52</v>
      </c>
      <c r="R18" s="49">
        <f t="shared" si="3"/>
        <v>1679.6237642768019</v>
      </c>
      <c r="S18" s="48">
        <v>1.2259</v>
      </c>
    </row>
    <row r="19" spans="2:19" x14ac:dyDescent="0.2">
      <c r="B19" s="47">
        <v>44698</v>
      </c>
      <c r="C19" s="46">
        <v>1590</v>
      </c>
      <c r="D19" s="45">
        <v>1600</v>
      </c>
      <c r="E19" s="44">
        <f t="shared" si="0"/>
        <v>1595</v>
      </c>
      <c r="F19" s="46">
        <v>1590</v>
      </c>
      <c r="G19" s="45">
        <v>1600</v>
      </c>
      <c r="H19" s="44">
        <f t="shared" si="1"/>
        <v>1595</v>
      </c>
      <c r="I19" s="46">
        <v>1590</v>
      </c>
      <c r="J19" s="45">
        <v>1600</v>
      </c>
      <c r="K19" s="44">
        <f t="shared" si="2"/>
        <v>1595</v>
      </c>
      <c r="L19" s="52">
        <v>1600</v>
      </c>
      <c r="M19" s="51">
        <v>1.2484</v>
      </c>
      <c r="N19" s="51">
        <v>1.0539000000000001</v>
      </c>
      <c r="O19" s="50">
        <v>129.33000000000001</v>
      </c>
      <c r="P19" s="43">
        <v>1281.6400000000001</v>
      </c>
      <c r="Q19" s="43">
        <v>1280.82</v>
      </c>
      <c r="R19" s="49">
        <f t="shared" si="3"/>
        <v>1518.1706044216719</v>
      </c>
      <c r="S19" s="48">
        <v>1.2492000000000001</v>
      </c>
    </row>
    <row r="20" spans="2:19" x14ac:dyDescent="0.2">
      <c r="B20" s="47">
        <v>44699</v>
      </c>
      <c r="C20" s="46">
        <v>1800</v>
      </c>
      <c r="D20" s="45">
        <v>1810</v>
      </c>
      <c r="E20" s="44">
        <f t="shared" si="0"/>
        <v>1805</v>
      </c>
      <c r="F20" s="46">
        <v>1800</v>
      </c>
      <c r="G20" s="45">
        <v>1810</v>
      </c>
      <c r="H20" s="44">
        <f t="shared" si="1"/>
        <v>1805</v>
      </c>
      <c r="I20" s="46">
        <v>1800</v>
      </c>
      <c r="J20" s="45">
        <v>1810</v>
      </c>
      <c r="K20" s="44">
        <f t="shared" si="2"/>
        <v>1805</v>
      </c>
      <c r="L20" s="52">
        <v>1810</v>
      </c>
      <c r="M20" s="51">
        <v>1.242</v>
      </c>
      <c r="N20" s="51">
        <v>1.0509999999999999</v>
      </c>
      <c r="O20" s="50">
        <v>129.11000000000001</v>
      </c>
      <c r="P20" s="43">
        <v>1457.33</v>
      </c>
      <c r="Q20" s="43">
        <v>1456.51</v>
      </c>
      <c r="R20" s="49">
        <f t="shared" si="3"/>
        <v>1722.1693625118935</v>
      </c>
      <c r="S20" s="48">
        <v>1.2426999999999999</v>
      </c>
    </row>
    <row r="21" spans="2:19" x14ac:dyDescent="0.2">
      <c r="B21" s="47">
        <v>44700</v>
      </c>
      <c r="C21" s="46">
        <v>1800</v>
      </c>
      <c r="D21" s="45">
        <v>1810</v>
      </c>
      <c r="E21" s="44">
        <f t="shared" si="0"/>
        <v>1805</v>
      </c>
      <c r="F21" s="46">
        <v>1800</v>
      </c>
      <c r="G21" s="45">
        <v>1810</v>
      </c>
      <c r="H21" s="44">
        <f t="shared" si="1"/>
        <v>1805</v>
      </c>
      <c r="I21" s="46">
        <v>1800</v>
      </c>
      <c r="J21" s="45">
        <v>1810</v>
      </c>
      <c r="K21" s="44">
        <f t="shared" si="2"/>
        <v>1805</v>
      </c>
      <c r="L21" s="52">
        <v>1810</v>
      </c>
      <c r="M21" s="51">
        <v>1.2432000000000001</v>
      </c>
      <c r="N21" s="51">
        <v>1.0518000000000001</v>
      </c>
      <c r="O21" s="50">
        <v>127.94</v>
      </c>
      <c r="P21" s="43">
        <v>1455.92</v>
      </c>
      <c r="Q21" s="43">
        <v>1454.98</v>
      </c>
      <c r="R21" s="49">
        <f t="shared" si="3"/>
        <v>1720.8594789884007</v>
      </c>
      <c r="S21" s="48">
        <v>1.244</v>
      </c>
    </row>
    <row r="22" spans="2:19" x14ac:dyDescent="0.2">
      <c r="B22" s="47">
        <v>44701</v>
      </c>
      <c r="C22" s="46">
        <v>1850</v>
      </c>
      <c r="D22" s="45">
        <v>1860</v>
      </c>
      <c r="E22" s="44">
        <f t="shared" si="0"/>
        <v>1855</v>
      </c>
      <c r="F22" s="46">
        <v>1850</v>
      </c>
      <c r="G22" s="45">
        <v>1860</v>
      </c>
      <c r="H22" s="44">
        <f t="shared" si="1"/>
        <v>1855</v>
      </c>
      <c r="I22" s="46">
        <v>1850</v>
      </c>
      <c r="J22" s="45">
        <v>1860</v>
      </c>
      <c r="K22" s="44">
        <f t="shared" si="2"/>
        <v>1855</v>
      </c>
      <c r="L22" s="52">
        <v>1860</v>
      </c>
      <c r="M22" s="51">
        <v>1.2468999999999999</v>
      </c>
      <c r="N22" s="51">
        <v>1.0567</v>
      </c>
      <c r="O22" s="50">
        <v>128.06</v>
      </c>
      <c r="P22" s="43">
        <v>1491.7</v>
      </c>
      <c r="Q22" s="43">
        <v>1490.74</v>
      </c>
      <c r="R22" s="49">
        <f t="shared" si="3"/>
        <v>1760.1968392164285</v>
      </c>
      <c r="S22" s="48">
        <v>1.2477</v>
      </c>
    </row>
    <row r="23" spans="2:19" x14ac:dyDescent="0.2">
      <c r="B23" s="47">
        <v>44704</v>
      </c>
      <c r="C23" s="46">
        <v>1850</v>
      </c>
      <c r="D23" s="45">
        <v>1860</v>
      </c>
      <c r="E23" s="44">
        <f t="shared" si="0"/>
        <v>1855</v>
      </c>
      <c r="F23" s="46">
        <v>1850</v>
      </c>
      <c r="G23" s="45">
        <v>1860</v>
      </c>
      <c r="H23" s="44">
        <f t="shared" si="1"/>
        <v>1855</v>
      </c>
      <c r="I23" s="46">
        <v>1850</v>
      </c>
      <c r="J23" s="45">
        <v>1860</v>
      </c>
      <c r="K23" s="44">
        <f t="shared" si="2"/>
        <v>1855</v>
      </c>
      <c r="L23" s="52">
        <v>1860</v>
      </c>
      <c r="M23" s="51">
        <v>1.2576000000000001</v>
      </c>
      <c r="N23" s="51">
        <v>1.0657000000000001</v>
      </c>
      <c r="O23" s="50">
        <v>127.62</v>
      </c>
      <c r="P23" s="43">
        <v>1479.01</v>
      </c>
      <c r="Q23" s="43">
        <v>1478.07</v>
      </c>
      <c r="R23" s="49">
        <f t="shared" si="3"/>
        <v>1745.3317068593412</v>
      </c>
      <c r="S23" s="48">
        <v>1.2584</v>
      </c>
    </row>
    <row r="24" spans="2:19" x14ac:dyDescent="0.2">
      <c r="B24" s="47">
        <v>44705</v>
      </c>
      <c r="C24" s="46">
        <v>1850</v>
      </c>
      <c r="D24" s="45">
        <v>1860</v>
      </c>
      <c r="E24" s="44">
        <f t="shared" si="0"/>
        <v>1855</v>
      </c>
      <c r="F24" s="46">
        <v>1850</v>
      </c>
      <c r="G24" s="45">
        <v>1860</v>
      </c>
      <c r="H24" s="44">
        <f t="shared" si="1"/>
        <v>1855</v>
      </c>
      <c r="I24" s="46">
        <v>1850</v>
      </c>
      <c r="J24" s="45">
        <v>1860</v>
      </c>
      <c r="K24" s="44">
        <f t="shared" si="2"/>
        <v>1855</v>
      </c>
      <c r="L24" s="52">
        <v>1860</v>
      </c>
      <c r="M24" s="51">
        <v>1.2499</v>
      </c>
      <c r="N24" s="51">
        <v>1.0714999999999999</v>
      </c>
      <c r="O24" s="50">
        <v>127.4</v>
      </c>
      <c r="P24" s="43">
        <v>1488.12</v>
      </c>
      <c r="Q24" s="43">
        <v>1486.93</v>
      </c>
      <c r="R24" s="49">
        <f t="shared" si="3"/>
        <v>1735.8842743817081</v>
      </c>
      <c r="S24" s="48">
        <v>1.2508999999999999</v>
      </c>
    </row>
    <row r="25" spans="2:19" x14ac:dyDescent="0.2">
      <c r="B25" s="47">
        <v>44706</v>
      </c>
      <c r="C25" s="46">
        <v>1900</v>
      </c>
      <c r="D25" s="45">
        <v>1910</v>
      </c>
      <c r="E25" s="44">
        <f t="shared" si="0"/>
        <v>1905</v>
      </c>
      <c r="F25" s="46">
        <v>1900</v>
      </c>
      <c r="G25" s="45">
        <v>1910</v>
      </c>
      <c r="H25" s="44">
        <f t="shared" si="1"/>
        <v>1905</v>
      </c>
      <c r="I25" s="46">
        <v>1900</v>
      </c>
      <c r="J25" s="45">
        <v>1910</v>
      </c>
      <c r="K25" s="44">
        <f t="shared" si="2"/>
        <v>1905</v>
      </c>
      <c r="L25" s="52">
        <v>1910</v>
      </c>
      <c r="M25" s="51">
        <v>1.2492000000000001</v>
      </c>
      <c r="N25" s="51">
        <v>1.0660000000000001</v>
      </c>
      <c r="O25" s="50">
        <v>126.98</v>
      </c>
      <c r="P25" s="43">
        <v>1528.98</v>
      </c>
      <c r="Q25" s="43">
        <v>1527.76</v>
      </c>
      <c r="R25" s="49">
        <f t="shared" si="3"/>
        <v>1791.7448405253283</v>
      </c>
      <c r="S25" s="48">
        <v>1.2502</v>
      </c>
    </row>
    <row r="26" spans="2:19" x14ac:dyDescent="0.2">
      <c r="B26" s="47">
        <v>44707</v>
      </c>
      <c r="C26" s="46">
        <v>1890</v>
      </c>
      <c r="D26" s="45">
        <v>1900</v>
      </c>
      <c r="E26" s="44">
        <f t="shared" si="0"/>
        <v>1895</v>
      </c>
      <c r="F26" s="46">
        <v>1890</v>
      </c>
      <c r="G26" s="45">
        <v>1900</v>
      </c>
      <c r="H26" s="44">
        <f t="shared" si="1"/>
        <v>1895</v>
      </c>
      <c r="I26" s="46">
        <v>1890</v>
      </c>
      <c r="J26" s="45">
        <v>1900</v>
      </c>
      <c r="K26" s="44">
        <f t="shared" si="2"/>
        <v>1895</v>
      </c>
      <c r="L26" s="52">
        <v>1900</v>
      </c>
      <c r="M26" s="51">
        <v>1.2596000000000001</v>
      </c>
      <c r="N26" s="51">
        <v>1.0706</v>
      </c>
      <c r="O26" s="50">
        <v>127.04</v>
      </c>
      <c r="P26" s="43">
        <v>1508.42</v>
      </c>
      <c r="Q26" s="43">
        <v>1507.22</v>
      </c>
      <c r="R26" s="49">
        <f t="shared" si="3"/>
        <v>1774.7057724640388</v>
      </c>
      <c r="S26" s="48">
        <v>1.2605999999999999</v>
      </c>
    </row>
    <row r="27" spans="2:19" x14ac:dyDescent="0.2">
      <c r="B27" s="47">
        <v>44708</v>
      </c>
      <c r="C27" s="46">
        <v>1890</v>
      </c>
      <c r="D27" s="45">
        <v>1900</v>
      </c>
      <c r="E27" s="44">
        <f t="shared" si="0"/>
        <v>1895</v>
      </c>
      <c r="F27" s="46">
        <v>1890</v>
      </c>
      <c r="G27" s="45">
        <v>1900</v>
      </c>
      <c r="H27" s="44">
        <f t="shared" si="1"/>
        <v>1895</v>
      </c>
      <c r="I27" s="46">
        <v>1890</v>
      </c>
      <c r="J27" s="45">
        <v>1900</v>
      </c>
      <c r="K27" s="44">
        <f t="shared" si="2"/>
        <v>1895</v>
      </c>
      <c r="L27" s="52">
        <v>1900</v>
      </c>
      <c r="M27" s="51">
        <v>1.2618</v>
      </c>
      <c r="N27" s="51">
        <v>1.0707</v>
      </c>
      <c r="O27" s="50">
        <v>126.92</v>
      </c>
      <c r="P27" s="43">
        <v>1505.79</v>
      </c>
      <c r="Q27" s="43">
        <v>1504.71</v>
      </c>
      <c r="R27" s="49">
        <f t="shared" si="3"/>
        <v>1774.5400205473056</v>
      </c>
      <c r="S27" s="48">
        <v>1.2626999999999999</v>
      </c>
    </row>
    <row r="28" spans="2:19" x14ac:dyDescent="0.2">
      <c r="B28" s="47">
        <v>44711</v>
      </c>
      <c r="C28" s="46">
        <v>1900</v>
      </c>
      <c r="D28" s="45">
        <v>1910</v>
      </c>
      <c r="E28" s="44">
        <f t="shared" si="0"/>
        <v>1905</v>
      </c>
      <c r="F28" s="46">
        <v>1900</v>
      </c>
      <c r="G28" s="45">
        <v>1910</v>
      </c>
      <c r="H28" s="44">
        <f t="shared" si="1"/>
        <v>1905</v>
      </c>
      <c r="I28" s="46">
        <v>1900</v>
      </c>
      <c r="J28" s="45">
        <v>1910</v>
      </c>
      <c r="K28" s="44">
        <f t="shared" si="2"/>
        <v>1905</v>
      </c>
      <c r="L28" s="52">
        <v>1910</v>
      </c>
      <c r="M28" s="51">
        <v>1.264</v>
      </c>
      <c r="N28" s="51">
        <v>1.0767</v>
      </c>
      <c r="O28" s="50">
        <v>127.43</v>
      </c>
      <c r="P28" s="43">
        <v>1511.08</v>
      </c>
      <c r="Q28" s="43">
        <v>1510.12</v>
      </c>
      <c r="R28" s="49">
        <f t="shared" si="3"/>
        <v>1773.9388873409491</v>
      </c>
      <c r="S28" s="48">
        <v>1.2647999999999999</v>
      </c>
    </row>
    <row r="29" spans="2:19" x14ac:dyDescent="0.2">
      <c r="B29" s="47">
        <v>44712</v>
      </c>
      <c r="C29" s="46">
        <v>1950</v>
      </c>
      <c r="D29" s="45">
        <v>1960</v>
      </c>
      <c r="E29" s="44">
        <f t="shared" si="0"/>
        <v>1955</v>
      </c>
      <c r="F29" s="46">
        <v>1950</v>
      </c>
      <c r="G29" s="45">
        <v>1960</v>
      </c>
      <c r="H29" s="44">
        <f t="shared" si="1"/>
        <v>1955</v>
      </c>
      <c r="I29" s="46">
        <v>1950</v>
      </c>
      <c r="J29" s="45">
        <v>1960</v>
      </c>
      <c r="K29" s="44">
        <f t="shared" si="2"/>
        <v>1955</v>
      </c>
      <c r="L29" s="52">
        <v>1960</v>
      </c>
      <c r="M29" s="51">
        <v>1.2588999999999999</v>
      </c>
      <c r="N29" s="51">
        <v>1.0712999999999999</v>
      </c>
      <c r="O29" s="50">
        <v>128.19</v>
      </c>
      <c r="P29" s="43">
        <v>1556.91</v>
      </c>
      <c r="Q29" s="43">
        <v>1555.8</v>
      </c>
      <c r="R29" s="49">
        <f t="shared" si="3"/>
        <v>1829.5528796788949</v>
      </c>
      <c r="S29" s="48">
        <v>1.2598</v>
      </c>
    </row>
    <row r="30" spans="2:19" s="10" customFormat="1" x14ac:dyDescent="0.2">
      <c r="B30" s="42" t="s">
        <v>11</v>
      </c>
      <c r="C30" s="41">
        <f>ROUND(AVERAGE(C9:C29),2)</f>
        <v>1950.48</v>
      </c>
      <c r="D30" s="40">
        <f>ROUND(AVERAGE(D9:D29),2)</f>
        <v>1960.48</v>
      </c>
      <c r="E30" s="39">
        <f>ROUND(AVERAGE(C30:D30),2)</f>
        <v>1955.48</v>
      </c>
      <c r="F30" s="41">
        <f>ROUND(AVERAGE(F9:F29),2)</f>
        <v>1950.48</v>
      </c>
      <c r="G30" s="40">
        <f>ROUND(AVERAGE(G9:G29),2)</f>
        <v>1960.48</v>
      </c>
      <c r="H30" s="39">
        <f>ROUND(AVERAGE(F30:G30),2)</f>
        <v>1955.48</v>
      </c>
      <c r="I30" s="41">
        <f>ROUND(AVERAGE(I9:I29),2)</f>
        <v>1950.48</v>
      </c>
      <c r="J30" s="40">
        <f>ROUND(AVERAGE(J9:J29),2)</f>
        <v>1960.48</v>
      </c>
      <c r="K30" s="39">
        <f>ROUND(AVERAGE(I30:J30),2)</f>
        <v>1955.48</v>
      </c>
      <c r="L30" s="38">
        <f>ROUND(AVERAGE(L9:L29),2)</f>
        <v>1960.48</v>
      </c>
      <c r="M30" s="37">
        <f>ROUND(AVERAGE(M9:M29),4)</f>
        <v>1.2443</v>
      </c>
      <c r="N30" s="36">
        <f>ROUND(AVERAGE(N9:N29),4)</f>
        <v>1.0576000000000001</v>
      </c>
      <c r="O30" s="175">
        <f>ROUND(AVERAGE(O9:O29),2)</f>
        <v>128.78</v>
      </c>
      <c r="P30" s="35">
        <f>AVERAGE(P9:P29)</f>
        <v>1576.0080952380952</v>
      </c>
      <c r="Q30" s="35">
        <f>AVERAGE(Q9:Q29)</f>
        <v>1575.0380952380951</v>
      </c>
      <c r="R30" s="35">
        <f>AVERAGE(R9:R29)</f>
        <v>1854.1062753923111</v>
      </c>
      <c r="S30" s="34">
        <f>AVERAGE(S9:S29)</f>
        <v>1.2450476190476192</v>
      </c>
    </row>
    <row r="31" spans="2:19" s="5" customFormat="1" x14ac:dyDescent="0.2">
      <c r="B31" s="33" t="s">
        <v>12</v>
      </c>
      <c r="C31" s="32">
        <f t="shared" ref="C31:S31" si="4">MAX(C9:C29)</f>
        <v>2175</v>
      </c>
      <c r="D31" s="31">
        <f t="shared" si="4"/>
        <v>2185</v>
      </c>
      <c r="E31" s="30">
        <f t="shared" si="4"/>
        <v>2180</v>
      </c>
      <c r="F31" s="32">
        <f t="shared" si="4"/>
        <v>2175</v>
      </c>
      <c r="G31" s="31">
        <f t="shared" si="4"/>
        <v>2185</v>
      </c>
      <c r="H31" s="30">
        <f t="shared" si="4"/>
        <v>2180</v>
      </c>
      <c r="I31" s="32">
        <f t="shared" si="4"/>
        <v>2175</v>
      </c>
      <c r="J31" s="31">
        <f t="shared" si="4"/>
        <v>2185</v>
      </c>
      <c r="K31" s="30">
        <f t="shared" si="4"/>
        <v>2180</v>
      </c>
      <c r="L31" s="29">
        <f t="shared" si="4"/>
        <v>2185</v>
      </c>
      <c r="M31" s="28">
        <f t="shared" si="4"/>
        <v>1.264</v>
      </c>
      <c r="N31" s="27">
        <f t="shared" si="4"/>
        <v>1.0767</v>
      </c>
      <c r="O31" s="26">
        <f t="shared" si="4"/>
        <v>131.03</v>
      </c>
      <c r="P31" s="25">
        <f t="shared" si="4"/>
        <v>1771.24</v>
      </c>
      <c r="Q31" s="25">
        <f t="shared" si="4"/>
        <v>1770.23</v>
      </c>
      <c r="R31" s="25">
        <f t="shared" si="4"/>
        <v>2074.8267021175579</v>
      </c>
      <c r="S31" s="24">
        <f t="shared" si="4"/>
        <v>1.2647999999999999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1590</v>
      </c>
      <c r="D32" s="21">
        <f t="shared" si="5"/>
        <v>1600</v>
      </c>
      <c r="E32" s="20">
        <f t="shared" si="5"/>
        <v>1595</v>
      </c>
      <c r="F32" s="22">
        <f t="shared" si="5"/>
        <v>1590</v>
      </c>
      <c r="G32" s="21">
        <f t="shared" si="5"/>
        <v>1600</v>
      </c>
      <c r="H32" s="20">
        <f t="shared" si="5"/>
        <v>1595</v>
      </c>
      <c r="I32" s="22">
        <f t="shared" si="5"/>
        <v>1590</v>
      </c>
      <c r="J32" s="21">
        <f t="shared" si="5"/>
        <v>1600</v>
      </c>
      <c r="K32" s="20">
        <f t="shared" si="5"/>
        <v>1595</v>
      </c>
      <c r="L32" s="19">
        <f t="shared" si="5"/>
        <v>1600</v>
      </c>
      <c r="M32" s="18">
        <f t="shared" si="5"/>
        <v>1.2192000000000001</v>
      </c>
      <c r="N32" s="17">
        <f t="shared" si="5"/>
        <v>1.0383</v>
      </c>
      <c r="O32" s="16">
        <f t="shared" si="5"/>
        <v>126.92</v>
      </c>
      <c r="P32" s="15">
        <f t="shared" si="5"/>
        <v>1281.6400000000001</v>
      </c>
      <c r="Q32" s="15">
        <f t="shared" si="5"/>
        <v>1280.82</v>
      </c>
      <c r="R32" s="15">
        <f t="shared" si="5"/>
        <v>1518.1706044216719</v>
      </c>
      <c r="S32" s="14">
        <f t="shared" si="5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44684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44684</v>
      </c>
      <c r="C9" s="46">
        <v>2989</v>
      </c>
      <c r="D9" s="45">
        <v>2999</v>
      </c>
      <c r="E9" s="44">
        <f t="shared" ref="E9:E29" si="0">AVERAGE(C9:D9)</f>
        <v>2994</v>
      </c>
      <c r="F9" s="46">
        <v>2980</v>
      </c>
      <c r="G9" s="45">
        <v>2990</v>
      </c>
      <c r="H9" s="44">
        <f t="shared" ref="H9:H29" si="1">AVERAGE(F9:G9)</f>
        <v>2985</v>
      </c>
      <c r="I9" s="46">
        <v>2980</v>
      </c>
      <c r="J9" s="45">
        <v>2990</v>
      </c>
      <c r="K9" s="44">
        <f t="shared" ref="K9:K29" si="2">AVERAGE(I9:J9)</f>
        <v>2985</v>
      </c>
      <c r="L9" s="52">
        <v>2999</v>
      </c>
      <c r="M9" s="51">
        <v>1.2532000000000001</v>
      </c>
      <c r="N9" s="53">
        <v>1.0538000000000001</v>
      </c>
      <c r="O9" s="50">
        <v>129.91999999999999</v>
      </c>
      <c r="P9" s="43">
        <v>2393.0700000000002</v>
      </c>
      <c r="Q9" s="43">
        <v>2384.94</v>
      </c>
      <c r="R9" s="49">
        <f t="shared" ref="R9:R29" si="3">L9/N9</f>
        <v>2845.8910609223758</v>
      </c>
      <c r="S9" s="48">
        <v>1.2537</v>
      </c>
    </row>
    <row r="10" spans="1:19" x14ac:dyDescent="0.2">
      <c r="B10" s="47">
        <v>44685</v>
      </c>
      <c r="C10" s="46">
        <v>2970</v>
      </c>
      <c r="D10" s="45">
        <v>2980</v>
      </c>
      <c r="E10" s="44">
        <f t="shared" si="0"/>
        <v>2975</v>
      </c>
      <c r="F10" s="46">
        <v>2962</v>
      </c>
      <c r="G10" s="45">
        <v>2972</v>
      </c>
      <c r="H10" s="44">
        <f t="shared" si="1"/>
        <v>2967</v>
      </c>
      <c r="I10" s="46">
        <v>2960</v>
      </c>
      <c r="J10" s="45">
        <v>2970</v>
      </c>
      <c r="K10" s="44">
        <f t="shared" si="2"/>
        <v>2965</v>
      </c>
      <c r="L10" s="52">
        <v>2980</v>
      </c>
      <c r="M10" s="51">
        <v>1.2511000000000001</v>
      </c>
      <c r="N10" s="51">
        <v>1.0530999999999999</v>
      </c>
      <c r="O10" s="50">
        <v>129.96</v>
      </c>
      <c r="P10" s="43">
        <v>2381.9</v>
      </c>
      <c r="Q10" s="43">
        <v>2374.1799999999998</v>
      </c>
      <c r="R10" s="49">
        <f t="shared" si="3"/>
        <v>2829.740765359415</v>
      </c>
      <c r="S10" s="48">
        <v>1.2518</v>
      </c>
    </row>
    <row r="11" spans="1:19" x14ac:dyDescent="0.2">
      <c r="B11" s="47">
        <v>44686</v>
      </c>
      <c r="C11" s="46">
        <v>2960</v>
      </c>
      <c r="D11" s="45">
        <v>2970</v>
      </c>
      <c r="E11" s="44">
        <f t="shared" si="0"/>
        <v>2965</v>
      </c>
      <c r="F11" s="46">
        <v>2953</v>
      </c>
      <c r="G11" s="45">
        <v>2963</v>
      </c>
      <c r="H11" s="44">
        <f t="shared" si="1"/>
        <v>2958</v>
      </c>
      <c r="I11" s="46">
        <v>2955</v>
      </c>
      <c r="J11" s="45">
        <v>2965</v>
      </c>
      <c r="K11" s="44">
        <f t="shared" si="2"/>
        <v>2960</v>
      </c>
      <c r="L11" s="52">
        <v>2970</v>
      </c>
      <c r="M11" s="51">
        <v>1.2396</v>
      </c>
      <c r="N11" s="51">
        <v>1.0548</v>
      </c>
      <c r="O11" s="50">
        <v>130</v>
      </c>
      <c r="P11" s="43">
        <v>2395.9299999999998</v>
      </c>
      <c r="Q11" s="43">
        <v>2388.75</v>
      </c>
      <c r="R11" s="49">
        <f t="shared" si="3"/>
        <v>2815.6996587030717</v>
      </c>
      <c r="S11" s="48">
        <v>1.2403999999999999</v>
      </c>
    </row>
    <row r="12" spans="1:19" x14ac:dyDescent="0.2">
      <c r="B12" s="47">
        <v>44687</v>
      </c>
      <c r="C12" s="46">
        <v>2939</v>
      </c>
      <c r="D12" s="45">
        <v>2949</v>
      </c>
      <c r="E12" s="44">
        <f t="shared" si="0"/>
        <v>2944</v>
      </c>
      <c r="F12" s="46">
        <v>2933</v>
      </c>
      <c r="G12" s="45">
        <v>2943</v>
      </c>
      <c r="H12" s="44">
        <f t="shared" si="1"/>
        <v>2938</v>
      </c>
      <c r="I12" s="46">
        <v>2935</v>
      </c>
      <c r="J12" s="45">
        <v>2945</v>
      </c>
      <c r="K12" s="44">
        <f t="shared" si="2"/>
        <v>2940</v>
      </c>
      <c r="L12" s="52">
        <v>2949</v>
      </c>
      <c r="M12" s="51">
        <v>1.2336</v>
      </c>
      <c r="N12" s="51">
        <v>1.0566</v>
      </c>
      <c r="O12" s="50">
        <v>130.43</v>
      </c>
      <c r="P12" s="43">
        <v>2390.56</v>
      </c>
      <c r="Q12" s="43">
        <v>2384.35</v>
      </c>
      <c r="R12" s="49">
        <f t="shared" si="3"/>
        <v>2791.0278250993756</v>
      </c>
      <c r="S12" s="48">
        <v>1.2343</v>
      </c>
    </row>
    <row r="13" spans="1:19" x14ac:dyDescent="0.2">
      <c r="B13" s="47">
        <v>44690</v>
      </c>
      <c r="C13" s="46">
        <v>2940</v>
      </c>
      <c r="D13" s="45">
        <v>2950</v>
      </c>
      <c r="E13" s="44">
        <f t="shared" si="0"/>
        <v>2945</v>
      </c>
      <c r="F13" s="46">
        <v>2933</v>
      </c>
      <c r="G13" s="45">
        <v>2943</v>
      </c>
      <c r="H13" s="44">
        <f t="shared" si="1"/>
        <v>2938</v>
      </c>
      <c r="I13" s="46">
        <v>2935</v>
      </c>
      <c r="J13" s="45">
        <v>2945</v>
      </c>
      <c r="K13" s="44">
        <f t="shared" si="2"/>
        <v>2940</v>
      </c>
      <c r="L13" s="52">
        <v>2950</v>
      </c>
      <c r="M13" s="51">
        <v>1.2366999999999999</v>
      </c>
      <c r="N13" s="51">
        <v>1.0547</v>
      </c>
      <c r="O13" s="50">
        <v>131.03</v>
      </c>
      <c r="P13" s="43">
        <v>2385.38</v>
      </c>
      <c r="Q13" s="43">
        <v>2378.37</v>
      </c>
      <c r="R13" s="49">
        <f t="shared" si="3"/>
        <v>2797.0038873613353</v>
      </c>
      <c r="S13" s="48">
        <v>1.2374000000000001</v>
      </c>
    </row>
    <row r="14" spans="1:19" x14ac:dyDescent="0.2">
      <c r="B14" s="47">
        <v>44691</v>
      </c>
      <c r="C14" s="46">
        <v>2890</v>
      </c>
      <c r="D14" s="45">
        <v>2900</v>
      </c>
      <c r="E14" s="44">
        <f t="shared" si="0"/>
        <v>2895</v>
      </c>
      <c r="F14" s="46">
        <v>2884</v>
      </c>
      <c r="G14" s="45">
        <v>2894</v>
      </c>
      <c r="H14" s="44">
        <f t="shared" si="1"/>
        <v>2889</v>
      </c>
      <c r="I14" s="46">
        <v>2885</v>
      </c>
      <c r="J14" s="45">
        <v>2895</v>
      </c>
      <c r="K14" s="44">
        <f t="shared" si="2"/>
        <v>2890</v>
      </c>
      <c r="L14" s="52">
        <v>2900</v>
      </c>
      <c r="M14" s="51">
        <v>1.2338</v>
      </c>
      <c r="N14" s="51">
        <v>1.0552999999999999</v>
      </c>
      <c r="O14" s="50">
        <v>130.08000000000001</v>
      </c>
      <c r="P14" s="43">
        <v>2350.46</v>
      </c>
      <c r="Q14" s="43">
        <v>2344.27</v>
      </c>
      <c r="R14" s="49">
        <f t="shared" si="3"/>
        <v>2748.0337344830855</v>
      </c>
      <c r="S14" s="48">
        <v>1.2344999999999999</v>
      </c>
    </row>
    <row r="15" spans="1:19" x14ac:dyDescent="0.2">
      <c r="B15" s="47">
        <v>44692</v>
      </c>
      <c r="C15" s="46">
        <v>2845</v>
      </c>
      <c r="D15" s="45">
        <v>2855</v>
      </c>
      <c r="E15" s="44">
        <f t="shared" si="0"/>
        <v>2850</v>
      </c>
      <c r="F15" s="46">
        <v>2840</v>
      </c>
      <c r="G15" s="45">
        <v>2850</v>
      </c>
      <c r="H15" s="44">
        <f t="shared" si="1"/>
        <v>2845</v>
      </c>
      <c r="I15" s="46">
        <v>2840</v>
      </c>
      <c r="J15" s="45">
        <v>2850</v>
      </c>
      <c r="K15" s="44">
        <f t="shared" si="2"/>
        <v>2845</v>
      </c>
      <c r="L15" s="52">
        <v>2855</v>
      </c>
      <c r="M15" s="51">
        <v>1.2357</v>
      </c>
      <c r="N15" s="51">
        <v>1.0545</v>
      </c>
      <c r="O15" s="50">
        <v>129.82</v>
      </c>
      <c r="P15" s="43">
        <v>2310.4299999999998</v>
      </c>
      <c r="Q15" s="43">
        <v>2304.89</v>
      </c>
      <c r="R15" s="49">
        <f t="shared" si="3"/>
        <v>2707.4442863916547</v>
      </c>
      <c r="S15" s="48">
        <v>1.2364999999999999</v>
      </c>
    </row>
    <row r="16" spans="1:19" x14ac:dyDescent="0.2">
      <c r="B16" s="47">
        <v>44693</v>
      </c>
      <c r="C16" s="46">
        <v>2794</v>
      </c>
      <c r="D16" s="45">
        <v>2804</v>
      </c>
      <c r="E16" s="44">
        <f t="shared" si="0"/>
        <v>2799</v>
      </c>
      <c r="F16" s="46">
        <v>2790</v>
      </c>
      <c r="G16" s="45">
        <v>2800</v>
      </c>
      <c r="H16" s="44">
        <f t="shared" si="1"/>
        <v>2795</v>
      </c>
      <c r="I16" s="46">
        <v>2790</v>
      </c>
      <c r="J16" s="45">
        <v>2800</v>
      </c>
      <c r="K16" s="44">
        <f t="shared" si="2"/>
        <v>2795</v>
      </c>
      <c r="L16" s="52">
        <v>2804</v>
      </c>
      <c r="M16" s="51">
        <v>1.2196</v>
      </c>
      <c r="N16" s="51">
        <v>1.04</v>
      </c>
      <c r="O16" s="50">
        <v>128.54</v>
      </c>
      <c r="P16" s="43">
        <v>2299.11</v>
      </c>
      <c r="Q16" s="43">
        <v>2294.33</v>
      </c>
      <c r="R16" s="49">
        <f t="shared" si="3"/>
        <v>2696.1538461538462</v>
      </c>
      <c r="S16" s="48">
        <v>1.2203999999999999</v>
      </c>
    </row>
    <row r="17" spans="2:19" x14ac:dyDescent="0.2">
      <c r="B17" s="47">
        <v>44694</v>
      </c>
      <c r="C17" s="46">
        <v>2803</v>
      </c>
      <c r="D17" s="45">
        <v>2813</v>
      </c>
      <c r="E17" s="44">
        <f t="shared" si="0"/>
        <v>2808</v>
      </c>
      <c r="F17" s="46">
        <v>2790</v>
      </c>
      <c r="G17" s="45">
        <v>2800</v>
      </c>
      <c r="H17" s="44">
        <f t="shared" si="1"/>
        <v>2795</v>
      </c>
      <c r="I17" s="46">
        <v>2790</v>
      </c>
      <c r="J17" s="45">
        <v>2800</v>
      </c>
      <c r="K17" s="44">
        <f t="shared" si="2"/>
        <v>2795</v>
      </c>
      <c r="L17" s="52">
        <v>2813</v>
      </c>
      <c r="M17" s="51">
        <v>1.2192000000000001</v>
      </c>
      <c r="N17" s="51">
        <v>1.0383</v>
      </c>
      <c r="O17" s="50">
        <v>129.06</v>
      </c>
      <c r="P17" s="43">
        <v>2307.25</v>
      </c>
      <c r="Q17" s="43">
        <v>2294.89</v>
      </c>
      <c r="R17" s="49">
        <f t="shared" si="3"/>
        <v>2709.2362515650584</v>
      </c>
      <c r="S17" s="48">
        <v>1.2201</v>
      </c>
    </row>
    <row r="18" spans="2:19" x14ac:dyDescent="0.2">
      <c r="B18" s="47">
        <v>44697</v>
      </c>
      <c r="C18" s="46">
        <v>2798</v>
      </c>
      <c r="D18" s="45">
        <v>2808</v>
      </c>
      <c r="E18" s="44">
        <f t="shared" si="0"/>
        <v>2803</v>
      </c>
      <c r="F18" s="46">
        <v>2790</v>
      </c>
      <c r="G18" s="45">
        <v>2800</v>
      </c>
      <c r="H18" s="44">
        <f t="shared" si="1"/>
        <v>2795</v>
      </c>
      <c r="I18" s="46">
        <v>2790</v>
      </c>
      <c r="J18" s="45">
        <v>2800</v>
      </c>
      <c r="K18" s="44">
        <f t="shared" si="2"/>
        <v>2795</v>
      </c>
      <c r="L18" s="52">
        <v>2808</v>
      </c>
      <c r="M18" s="51">
        <v>1.2259</v>
      </c>
      <c r="N18" s="51">
        <v>1.0419</v>
      </c>
      <c r="O18" s="50">
        <v>129.49</v>
      </c>
      <c r="P18" s="43">
        <v>2290.56</v>
      </c>
      <c r="Q18" s="43">
        <v>2284.04</v>
      </c>
      <c r="R18" s="49">
        <f t="shared" si="3"/>
        <v>2695.0763029081486</v>
      </c>
      <c r="S18" s="48">
        <v>1.2259</v>
      </c>
    </row>
    <row r="19" spans="2:19" x14ac:dyDescent="0.2">
      <c r="B19" s="47">
        <v>44698</v>
      </c>
      <c r="C19" s="46">
        <v>2900</v>
      </c>
      <c r="D19" s="45">
        <v>2910</v>
      </c>
      <c r="E19" s="44">
        <f t="shared" si="0"/>
        <v>2905</v>
      </c>
      <c r="F19" s="46">
        <v>2892</v>
      </c>
      <c r="G19" s="45">
        <v>2902</v>
      </c>
      <c r="H19" s="44">
        <f t="shared" si="1"/>
        <v>2897</v>
      </c>
      <c r="I19" s="46">
        <v>2890</v>
      </c>
      <c r="J19" s="45">
        <v>2900</v>
      </c>
      <c r="K19" s="44">
        <f t="shared" si="2"/>
        <v>2895</v>
      </c>
      <c r="L19" s="52">
        <v>2910</v>
      </c>
      <c r="M19" s="51">
        <v>1.2484</v>
      </c>
      <c r="N19" s="51">
        <v>1.0539000000000001</v>
      </c>
      <c r="O19" s="50">
        <v>129.33000000000001</v>
      </c>
      <c r="P19" s="43">
        <v>2330.98</v>
      </c>
      <c r="Q19" s="43">
        <v>2323.09</v>
      </c>
      <c r="R19" s="49">
        <f t="shared" si="3"/>
        <v>2761.1727867919158</v>
      </c>
      <c r="S19" s="48">
        <v>1.2492000000000001</v>
      </c>
    </row>
    <row r="20" spans="2:19" x14ac:dyDescent="0.2">
      <c r="B20" s="47">
        <v>44699</v>
      </c>
      <c r="C20" s="46">
        <v>2877</v>
      </c>
      <c r="D20" s="45">
        <v>2887</v>
      </c>
      <c r="E20" s="44">
        <f t="shared" si="0"/>
        <v>2882</v>
      </c>
      <c r="F20" s="46">
        <v>2870</v>
      </c>
      <c r="G20" s="45">
        <v>2880</v>
      </c>
      <c r="H20" s="44">
        <f t="shared" si="1"/>
        <v>2875</v>
      </c>
      <c r="I20" s="46">
        <v>2870</v>
      </c>
      <c r="J20" s="45">
        <v>2880</v>
      </c>
      <c r="K20" s="44">
        <f t="shared" si="2"/>
        <v>2875</v>
      </c>
      <c r="L20" s="52">
        <v>2887</v>
      </c>
      <c r="M20" s="51">
        <v>1.242</v>
      </c>
      <c r="N20" s="51">
        <v>1.0509999999999999</v>
      </c>
      <c r="O20" s="50">
        <v>129.11000000000001</v>
      </c>
      <c r="P20" s="43">
        <v>2324.48</v>
      </c>
      <c r="Q20" s="43">
        <v>2317.5300000000002</v>
      </c>
      <c r="R20" s="49">
        <f t="shared" si="3"/>
        <v>2746.9077069457662</v>
      </c>
      <c r="S20" s="48">
        <v>1.2426999999999999</v>
      </c>
    </row>
    <row r="21" spans="2:19" x14ac:dyDescent="0.2">
      <c r="B21" s="47">
        <v>44700</v>
      </c>
      <c r="C21" s="46">
        <v>2882</v>
      </c>
      <c r="D21" s="45">
        <v>2892</v>
      </c>
      <c r="E21" s="44">
        <f t="shared" si="0"/>
        <v>2887</v>
      </c>
      <c r="F21" s="46">
        <v>2870</v>
      </c>
      <c r="G21" s="45">
        <v>2880</v>
      </c>
      <c r="H21" s="44">
        <f t="shared" si="1"/>
        <v>2875</v>
      </c>
      <c r="I21" s="46">
        <v>2870</v>
      </c>
      <c r="J21" s="45">
        <v>2880</v>
      </c>
      <c r="K21" s="44">
        <f t="shared" si="2"/>
        <v>2875</v>
      </c>
      <c r="L21" s="52">
        <v>2892</v>
      </c>
      <c r="M21" s="51">
        <v>1.2432000000000001</v>
      </c>
      <c r="N21" s="51">
        <v>1.0518000000000001</v>
      </c>
      <c r="O21" s="50">
        <v>127.94</v>
      </c>
      <c r="P21" s="43">
        <v>2326.25</v>
      </c>
      <c r="Q21" s="43">
        <v>2315.11</v>
      </c>
      <c r="R21" s="49">
        <f t="shared" si="3"/>
        <v>2749.5721620079862</v>
      </c>
      <c r="S21" s="48">
        <v>1.244</v>
      </c>
    </row>
    <row r="22" spans="2:19" x14ac:dyDescent="0.2">
      <c r="B22" s="47">
        <v>44701</v>
      </c>
      <c r="C22" s="46">
        <v>2880</v>
      </c>
      <c r="D22" s="45">
        <v>2890</v>
      </c>
      <c r="E22" s="44">
        <f t="shared" si="0"/>
        <v>2885</v>
      </c>
      <c r="F22" s="46">
        <v>2870</v>
      </c>
      <c r="G22" s="45">
        <v>2880</v>
      </c>
      <c r="H22" s="44">
        <f t="shared" si="1"/>
        <v>2875</v>
      </c>
      <c r="I22" s="46">
        <v>2870</v>
      </c>
      <c r="J22" s="45">
        <v>2880</v>
      </c>
      <c r="K22" s="44">
        <f t="shared" si="2"/>
        <v>2875</v>
      </c>
      <c r="L22" s="52">
        <v>2890</v>
      </c>
      <c r="M22" s="51">
        <v>1.2468999999999999</v>
      </c>
      <c r="N22" s="51">
        <v>1.0567</v>
      </c>
      <c r="O22" s="50">
        <v>128.06</v>
      </c>
      <c r="P22" s="43">
        <v>2317.75</v>
      </c>
      <c r="Q22" s="43">
        <v>2308.25</v>
      </c>
      <c r="R22" s="49">
        <f t="shared" si="3"/>
        <v>2734.9294974921927</v>
      </c>
      <c r="S22" s="48">
        <v>1.2477</v>
      </c>
    </row>
    <row r="23" spans="2:19" x14ac:dyDescent="0.2">
      <c r="B23" s="47">
        <v>44704</v>
      </c>
      <c r="C23" s="46">
        <v>2884</v>
      </c>
      <c r="D23" s="45">
        <v>2894</v>
      </c>
      <c r="E23" s="44">
        <f t="shared" si="0"/>
        <v>2889</v>
      </c>
      <c r="F23" s="46">
        <v>2875</v>
      </c>
      <c r="G23" s="45">
        <v>2885</v>
      </c>
      <c r="H23" s="44">
        <f t="shared" si="1"/>
        <v>2880</v>
      </c>
      <c r="I23" s="46">
        <v>2875</v>
      </c>
      <c r="J23" s="45">
        <v>2885</v>
      </c>
      <c r="K23" s="44">
        <f t="shared" si="2"/>
        <v>2880</v>
      </c>
      <c r="L23" s="52">
        <v>2894</v>
      </c>
      <c r="M23" s="51">
        <v>1.2576000000000001</v>
      </c>
      <c r="N23" s="51">
        <v>1.0657000000000001</v>
      </c>
      <c r="O23" s="50">
        <v>127.62</v>
      </c>
      <c r="P23" s="43">
        <v>2301.21</v>
      </c>
      <c r="Q23" s="43">
        <v>2292.59</v>
      </c>
      <c r="R23" s="49">
        <f t="shared" si="3"/>
        <v>2715.5859998123296</v>
      </c>
      <c r="S23" s="48">
        <v>1.2584</v>
      </c>
    </row>
    <row r="24" spans="2:19" x14ac:dyDescent="0.2">
      <c r="B24" s="47">
        <v>44705</v>
      </c>
      <c r="C24" s="46">
        <v>2882</v>
      </c>
      <c r="D24" s="45">
        <v>2892</v>
      </c>
      <c r="E24" s="44">
        <f t="shared" si="0"/>
        <v>2887</v>
      </c>
      <c r="F24" s="46">
        <v>2875</v>
      </c>
      <c r="G24" s="45">
        <v>2885</v>
      </c>
      <c r="H24" s="44">
        <f t="shared" si="1"/>
        <v>2880</v>
      </c>
      <c r="I24" s="46">
        <v>2875</v>
      </c>
      <c r="J24" s="45">
        <v>2885</v>
      </c>
      <c r="K24" s="44">
        <f t="shared" si="2"/>
        <v>2880</v>
      </c>
      <c r="L24" s="52">
        <v>2892</v>
      </c>
      <c r="M24" s="51">
        <v>1.2499</v>
      </c>
      <c r="N24" s="51">
        <v>1.0714999999999999</v>
      </c>
      <c r="O24" s="50">
        <v>127.4</v>
      </c>
      <c r="P24" s="43">
        <v>2313.79</v>
      </c>
      <c r="Q24" s="43">
        <v>2306.34</v>
      </c>
      <c r="R24" s="49">
        <f t="shared" si="3"/>
        <v>2699.0200653289785</v>
      </c>
      <c r="S24" s="48">
        <v>1.2508999999999999</v>
      </c>
    </row>
    <row r="25" spans="2:19" x14ac:dyDescent="0.2">
      <c r="B25" s="47">
        <v>44706</v>
      </c>
      <c r="C25" s="46">
        <v>2904</v>
      </c>
      <c r="D25" s="45">
        <v>2914</v>
      </c>
      <c r="E25" s="44">
        <f t="shared" si="0"/>
        <v>2909</v>
      </c>
      <c r="F25" s="46">
        <v>2900</v>
      </c>
      <c r="G25" s="45">
        <v>2910</v>
      </c>
      <c r="H25" s="44">
        <f t="shared" si="1"/>
        <v>2905</v>
      </c>
      <c r="I25" s="46">
        <v>2900</v>
      </c>
      <c r="J25" s="45">
        <v>2910</v>
      </c>
      <c r="K25" s="44">
        <f t="shared" si="2"/>
        <v>2905</v>
      </c>
      <c r="L25" s="52">
        <v>2914</v>
      </c>
      <c r="M25" s="51">
        <v>1.2492000000000001</v>
      </c>
      <c r="N25" s="51">
        <v>1.0660000000000001</v>
      </c>
      <c r="O25" s="50">
        <v>126.98</v>
      </c>
      <c r="P25" s="43">
        <v>2332.69</v>
      </c>
      <c r="Q25" s="43">
        <v>2327.63</v>
      </c>
      <c r="R25" s="49">
        <f t="shared" si="3"/>
        <v>2733.5834896810507</v>
      </c>
      <c r="S25" s="48">
        <v>1.2502</v>
      </c>
    </row>
    <row r="26" spans="2:19" x14ac:dyDescent="0.2">
      <c r="B26" s="47">
        <v>44707</v>
      </c>
      <c r="C26" s="46">
        <v>2865</v>
      </c>
      <c r="D26" s="45">
        <v>2875</v>
      </c>
      <c r="E26" s="44">
        <f t="shared" si="0"/>
        <v>2870</v>
      </c>
      <c r="F26" s="46">
        <v>2861</v>
      </c>
      <c r="G26" s="45">
        <v>2871</v>
      </c>
      <c r="H26" s="44">
        <f t="shared" si="1"/>
        <v>2866</v>
      </c>
      <c r="I26" s="46">
        <v>2860</v>
      </c>
      <c r="J26" s="45">
        <v>2870</v>
      </c>
      <c r="K26" s="44">
        <f t="shared" si="2"/>
        <v>2865</v>
      </c>
      <c r="L26" s="52">
        <v>2875</v>
      </c>
      <c r="M26" s="51">
        <v>1.2596000000000001</v>
      </c>
      <c r="N26" s="51">
        <v>1.0706</v>
      </c>
      <c r="O26" s="50">
        <v>127.04</v>
      </c>
      <c r="P26" s="43">
        <v>2282.4699999999998</v>
      </c>
      <c r="Q26" s="43">
        <v>2277.4899999999998</v>
      </c>
      <c r="R26" s="49">
        <f t="shared" si="3"/>
        <v>2685.4100504390062</v>
      </c>
      <c r="S26" s="48">
        <v>1.2605999999999999</v>
      </c>
    </row>
    <row r="27" spans="2:19" x14ac:dyDescent="0.2">
      <c r="B27" s="47">
        <v>44708</v>
      </c>
      <c r="C27" s="46">
        <v>2865</v>
      </c>
      <c r="D27" s="45">
        <v>2875</v>
      </c>
      <c r="E27" s="44">
        <f t="shared" si="0"/>
        <v>2870</v>
      </c>
      <c r="F27" s="46">
        <v>2861</v>
      </c>
      <c r="G27" s="45">
        <v>2871</v>
      </c>
      <c r="H27" s="44">
        <f t="shared" si="1"/>
        <v>2866</v>
      </c>
      <c r="I27" s="46">
        <v>2860</v>
      </c>
      <c r="J27" s="45">
        <v>2870</v>
      </c>
      <c r="K27" s="44">
        <f t="shared" si="2"/>
        <v>2865</v>
      </c>
      <c r="L27" s="52">
        <v>2875</v>
      </c>
      <c r="M27" s="51">
        <v>1.2618</v>
      </c>
      <c r="N27" s="51">
        <v>1.0707</v>
      </c>
      <c r="O27" s="50">
        <v>126.92</v>
      </c>
      <c r="P27" s="43">
        <v>2278.4899999999998</v>
      </c>
      <c r="Q27" s="43">
        <v>2273.6999999999998</v>
      </c>
      <c r="R27" s="49">
        <f t="shared" si="3"/>
        <v>2685.1592416176331</v>
      </c>
      <c r="S27" s="48">
        <v>1.2626999999999999</v>
      </c>
    </row>
    <row r="28" spans="2:19" x14ac:dyDescent="0.2">
      <c r="B28" s="47">
        <v>44711</v>
      </c>
      <c r="C28" s="46">
        <v>2914</v>
      </c>
      <c r="D28" s="45">
        <v>2924</v>
      </c>
      <c r="E28" s="44">
        <f t="shared" si="0"/>
        <v>2919</v>
      </c>
      <c r="F28" s="46">
        <v>2900</v>
      </c>
      <c r="G28" s="45">
        <v>2910</v>
      </c>
      <c r="H28" s="44">
        <f t="shared" si="1"/>
        <v>2905</v>
      </c>
      <c r="I28" s="46">
        <v>2900</v>
      </c>
      <c r="J28" s="45">
        <v>2910</v>
      </c>
      <c r="K28" s="44">
        <f t="shared" si="2"/>
        <v>2905</v>
      </c>
      <c r="L28" s="52">
        <v>2924</v>
      </c>
      <c r="M28" s="51">
        <v>1.264</v>
      </c>
      <c r="N28" s="51">
        <v>1.0767</v>
      </c>
      <c r="O28" s="50">
        <v>127.43</v>
      </c>
      <c r="P28" s="43">
        <v>2313.29</v>
      </c>
      <c r="Q28" s="43">
        <v>2300.7600000000002</v>
      </c>
      <c r="R28" s="49">
        <f t="shared" si="3"/>
        <v>2715.7053961177671</v>
      </c>
      <c r="S28" s="48">
        <v>1.2647999999999999</v>
      </c>
    </row>
    <row r="29" spans="2:19" x14ac:dyDescent="0.2">
      <c r="B29" s="47">
        <v>44712</v>
      </c>
      <c r="C29" s="46">
        <v>2907</v>
      </c>
      <c r="D29" s="45">
        <v>2917</v>
      </c>
      <c r="E29" s="44">
        <f t="shared" si="0"/>
        <v>2912</v>
      </c>
      <c r="F29" s="46">
        <v>2900</v>
      </c>
      <c r="G29" s="45">
        <v>2910</v>
      </c>
      <c r="H29" s="44">
        <f t="shared" si="1"/>
        <v>2905</v>
      </c>
      <c r="I29" s="46">
        <v>2900</v>
      </c>
      <c r="J29" s="45">
        <v>2910</v>
      </c>
      <c r="K29" s="44">
        <f t="shared" si="2"/>
        <v>2905</v>
      </c>
      <c r="L29" s="52">
        <v>2917</v>
      </c>
      <c r="M29" s="51">
        <v>1.2588999999999999</v>
      </c>
      <c r="N29" s="51">
        <v>1.0712999999999999</v>
      </c>
      <c r="O29" s="50">
        <v>128.19</v>
      </c>
      <c r="P29" s="43">
        <v>2317.1</v>
      </c>
      <c r="Q29" s="43">
        <v>2309.89</v>
      </c>
      <c r="R29" s="49">
        <f t="shared" si="3"/>
        <v>2722.8600765425185</v>
      </c>
      <c r="S29" s="48">
        <v>1.2598</v>
      </c>
    </row>
    <row r="30" spans="2:19" s="10" customFormat="1" x14ac:dyDescent="0.2">
      <c r="B30" s="42" t="s">
        <v>11</v>
      </c>
      <c r="C30" s="41">
        <f>ROUND(AVERAGE(C9:C29),2)</f>
        <v>2889.9</v>
      </c>
      <c r="D30" s="40">
        <f>ROUND(AVERAGE(D9:D29),2)</f>
        <v>2899.9</v>
      </c>
      <c r="E30" s="39">
        <f>ROUND(AVERAGE(C30:D30),2)</f>
        <v>2894.9</v>
      </c>
      <c r="F30" s="41">
        <f>ROUND(AVERAGE(F9:F29),2)</f>
        <v>2882.33</v>
      </c>
      <c r="G30" s="40">
        <f>ROUND(AVERAGE(G9:G29),2)</f>
        <v>2892.33</v>
      </c>
      <c r="H30" s="39">
        <f>ROUND(AVERAGE(F30:G30),2)</f>
        <v>2887.33</v>
      </c>
      <c r="I30" s="41">
        <f>ROUND(AVERAGE(I9:I29),2)</f>
        <v>2882.38</v>
      </c>
      <c r="J30" s="40">
        <f>ROUND(AVERAGE(J9:J29),2)</f>
        <v>2892.38</v>
      </c>
      <c r="K30" s="39">
        <f>ROUND(AVERAGE(I30:J30),2)</f>
        <v>2887.38</v>
      </c>
      <c r="L30" s="38">
        <f>ROUND(AVERAGE(L9:L29),2)</f>
        <v>2899.9</v>
      </c>
      <c r="M30" s="37">
        <f>ROUND(AVERAGE(M9:M29),4)</f>
        <v>1.2443</v>
      </c>
      <c r="N30" s="36">
        <f>ROUND(AVERAGE(N9:N29),4)</f>
        <v>1.0576000000000001</v>
      </c>
      <c r="O30" s="175">
        <f>ROUND(AVERAGE(O9:O29),2)</f>
        <v>128.78</v>
      </c>
      <c r="P30" s="35">
        <f>AVERAGE(P9:P29)</f>
        <v>2330.6261904761905</v>
      </c>
      <c r="Q30" s="35">
        <f>AVERAGE(Q9:Q29)</f>
        <v>2323.1138095238093</v>
      </c>
      <c r="R30" s="35">
        <f>AVERAGE(R9:R29)</f>
        <v>2742.153051986882</v>
      </c>
      <c r="S30" s="34">
        <f>AVERAGE(S9:S29)</f>
        <v>1.2450476190476192</v>
      </c>
    </row>
    <row r="31" spans="2:19" s="5" customFormat="1" x14ac:dyDescent="0.2">
      <c r="B31" s="33" t="s">
        <v>12</v>
      </c>
      <c r="C31" s="32">
        <f t="shared" ref="C31:S31" si="4">MAX(C9:C29)</f>
        <v>2989</v>
      </c>
      <c r="D31" s="31">
        <f t="shared" si="4"/>
        <v>2999</v>
      </c>
      <c r="E31" s="30">
        <f t="shared" si="4"/>
        <v>2994</v>
      </c>
      <c r="F31" s="32">
        <f t="shared" si="4"/>
        <v>2980</v>
      </c>
      <c r="G31" s="31">
        <f t="shared" si="4"/>
        <v>2990</v>
      </c>
      <c r="H31" s="30">
        <f t="shared" si="4"/>
        <v>2985</v>
      </c>
      <c r="I31" s="32">
        <f t="shared" si="4"/>
        <v>2980</v>
      </c>
      <c r="J31" s="31">
        <f t="shared" si="4"/>
        <v>2990</v>
      </c>
      <c r="K31" s="30">
        <f t="shared" si="4"/>
        <v>2985</v>
      </c>
      <c r="L31" s="29">
        <f t="shared" si="4"/>
        <v>2999</v>
      </c>
      <c r="M31" s="28">
        <f t="shared" si="4"/>
        <v>1.264</v>
      </c>
      <c r="N31" s="27">
        <f t="shared" si="4"/>
        <v>1.0767</v>
      </c>
      <c r="O31" s="26">
        <f t="shared" si="4"/>
        <v>131.03</v>
      </c>
      <c r="P31" s="25">
        <f t="shared" si="4"/>
        <v>2395.9299999999998</v>
      </c>
      <c r="Q31" s="25">
        <f t="shared" si="4"/>
        <v>2388.75</v>
      </c>
      <c r="R31" s="25">
        <f t="shared" si="4"/>
        <v>2845.8910609223758</v>
      </c>
      <c r="S31" s="24">
        <f t="shared" si="4"/>
        <v>1.2647999999999999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2794</v>
      </c>
      <c r="D32" s="21">
        <f t="shared" si="5"/>
        <v>2804</v>
      </c>
      <c r="E32" s="20">
        <f t="shared" si="5"/>
        <v>2799</v>
      </c>
      <c r="F32" s="22">
        <f t="shared" si="5"/>
        <v>2790</v>
      </c>
      <c r="G32" s="21">
        <f t="shared" si="5"/>
        <v>2800</v>
      </c>
      <c r="H32" s="20">
        <f t="shared" si="5"/>
        <v>2795</v>
      </c>
      <c r="I32" s="22">
        <f t="shared" si="5"/>
        <v>2790</v>
      </c>
      <c r="J32" s="21">
        <f t="shared" si="5"/>
        <v>2800</v>
      </c>
      <c r="K32" s="20">
        <f t="shared" si="5"/>
        <v>2795</v>
      </c>
      <c r="L32" s="19">
        <f t="shared" si="5"/>
        <v>2804</v>
      </c>
      <c r="M32" s="18">
        <f t="shared" si="5"/>
        <v>1.2192000000000001</v>
      </c>
      <c r="N32" s="17">
        <f t="shared" si="5"/>
        <v>1.0383</v>
      </c>
      <c r="O32" s="16">
        <f t="shared" si="5"/>
        <v>126.92</v>
      </c>
      <c r="P32" s="15">
        <f t="shared" si="5"/>
        <v>2278.4899999999998</v>
      </c>
      <c r="Q32" s="15">
        <f t="shared" si="5"/>
        <v>2273.6999999999998</v>
      </c>
      <c r="R32" s="15">
        <f t="shared" si="5"/>
        <v>2685.1592416176331</v>
      </c>
      <c r="S32" s="14">
        <f t="shared" si="5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44684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44684</v>
      </c>
      <c r="C9" s="46">
        <v>2911</v>
      </c>
      <c r="D9" s="45">
        <v>2911.5</v>
      </c>
      <c r="E9" s="44">
        <f t="shared" ref="E9:E29" si="0">AVERAGE(C9:D9)</f>
        <v>2911.25</v>
      </c>
      <c r="F9" s="46">
        <v>2944</v>
      </c>
      <c r="G9" s="45">
        <v>2945</v>
      </c>
      <c r="H9" s="44">
        <f t="shared" ref="H9:H29" si="1">AVERAGE(F9:G9)</f>
        <v>2944.5</v>
      </c>
      <c r="I9" s="46">
        <v>2842</v>
      </c>
      <c r="J9" s="45">
        <v>2847</v>
      </c>
      <c r="K9" s="44">
        <f t="shared" ref="K9:K29" si="2">AVERAGE(I9:J9)</f>
        <v>2844.5</v>
      </c>
      <c r="L9" s="46">
        <v>2762</v>
      </c>
      <c r="M9" s="45">
        <v>2767</v>
      </c>
      <c r="N9" s="44">
        <f t="shared" ref="N9:N29" si="3">AVERAGE(L9:M9)</f>
        <v>2764.5</v>
      </c>
      <c r="O9" s="46">
        <v>2662</v>
      </c>
      <c r="P9" s="45">
        <v>2667</v>
      </c>
      <c r="Q9" s="44">
        <f t="shared" ref="Q9:Q29" si="4">AVERAGE(O9:P9)</f>
        <v>2664.5</v>
      </c>
      <c r="R9" s="52">
        <v>2911.5</v>
      </c>
      <c r="S9" s="51">
        <v>1.2532000000000001</v>
      </c>
      <c r="T9" s="53">
        <v>1.0538000000000001</v>
      </c>
      <c r="U9" s="50">
        <v>129.91999999999999</v>
      </c>
      <c r="V9" s="43">
        <v>2323.25</v>
      </c>
      <c r="W9" s="43">
        <v>2349.0500000000002</v>
      </c>
      <c r="X9" s="49">
        <f t="shared" ref="X9:X29" si="5">R9/T9</f>
        <v>2762.8582273676216</v>
      </c>
      <c r="Y9" s="48">
        <v>1.2537</v>
      </c>
    </row>
    <row r="10" spans="1:25" x14ac:dyDescent="0.2">
      <c r="B10" s="47">
        <v>44685</v>
      </c>
      <c r="C10" s="46">
        <v>2928.5</v>
      </c>
      <c r="D10" s="45">
        <v>2929</v>
      </c>
      <c r="E10" s="44">
        <f t="shared" si="0"/>
        <v>2928.75</v>
      </c>
      <c r="F10" s="46">
        <v>2961.5</v>
      </c>
      <c r="G10" s="45">
        <v>2962.5</v>
      </c>
      <c r="H10" s="44">
        <f t="shared" si="1"/>
        <v>2962</v>
      </c>
      <c r="I10" s="46">
        <v>2875</v>
      </c>
      <c r="J10" s="45">
        <v>2880</v>
      </c>
      <c r="K10" s="44">
        <f t="shared" si="2"/>
        <v>2877.5</v>
      </c>
      <c r="L10" s="46">
        <v>2798</v>
      </c>
      <c r="M10" s="45">
        <v>2803</v>
      </c>
      <c r="N10" s="44">
        <f t="shared" si="3"/>
        <v>2800.5</v>
      </c>
      <c r="O10" s="46">
        <v>2703</v>
      </c>
      <c r="P10" s="45">
        <v>2708</v>
      </c>
      <c r="Q10" s="44">
        <f t="shared" si="4"/>
        <v>2705.5</v>
      </c>
      <c r="R10" s="52">
        <v>2929</v>
      </c>
      <c r="S10" s="51">
        <v>1.2511000000000001</v>
      </c>
      <c r="T10" s="51">
        <v>1.0530999999999999</v>
      </c>
      <c r="U10" s="50">
        <v>129.96</v>
      </c>
      <c r="V10" s="43">
        <v>2341.14</v>
      </c>
      <c r="W10" s="43">
        <v>2366.59</v>
      </c>
      <c r="X10" s="49">
        <f t="shared" si="5"/>
        <v>2781.3123160193718</v>
      </c>
      <c r="Y10" s="48">
        <v>1.2518</v>
      </c>
    </row>
    <row r="11" spans="1:25" x14ac:dyDescent="0.2">
      <c r="B11" s="47">
        <v>44686</v>
      </c>
      <c r="C11" s="46">
        <v>2916.5</v>
      </c>
      <c r="D11" s="45">
        <v>2917</v>
      </c>
      <c r="E11" s="44">
        <f t="shared" si="0"/>
        <v>2916.75</v>
      </c>
      <c r="F11" s="46">
        <v>2945</v>
      </c>
      <c r="G11" s="45">
        <v>2947</v>
      </c>
      <c r="H11" s="44">
        <f t="shared" si="1"/>
        <v>2946</v>
      </c>
      <c r="I11" s="46">
        <v>2873</v>
      </c>
      <c r="J11" s="45">
        <v>2878</v>
      </c>
      <c r="K11" s="44">
        <f t="shared" si="2"/>
        <v>2875.5</v>
      </c>
      <c r="L11" s="46">
        <v>2790</v>
      </c>
      <c r="M11" s="45">
        <v>2795</v>
      </c>
      <c r="N11" s="44">
        <f t="shared" si="3"/>
        <v>2792.5</v>
      </c>
      <c r="O11" s="46">
        <v>2697</v>
      </c>
      <c r="P11" s="45">
        <v>2702</v>
      </c>
      <c r="Q11" s="44">
        <f t="shared" si="4"/>
        <v>2699.5</v>
      </c>
      <c r="R11" s="52">
        <v>2917</v>
      </c>
      <c r="S11" s="51">
        <v>1.2396</v>
      </c>
      <c r="T11" s="51">
        <v>1.0548</v>
      </c>
      <c r="U11" s="50">
        <v>130</v>
      </c>
      <c r="V11" s="43">
        <v>2353.1799999999998</v>
      </c>
      <c r="W11" s="43">
        <v>2375.85</v>
      </c>
      <c r="X11" s="49">
        <f t="shared" si="5"/>
        <v>2765.4531664770575</v>
      </c>
      <c r="Y11" s="48">
        <v>1.2403999999999999</v>
      </c>
    </row>
    <row r="12" spans="1:25" x14ac:dyDescent="0.2">
      <c r="B12" s="47">
        <v>44687</v>
      </c>
      <c r="C12" s="46">
        <v>2832</v>
      </c>
      <c r="D12" s="45">
        <v>2832.5</v>
      </c>
      <c r="E12" s="44">
        <f t="shared" si="0"/>
        <v>2832.25</v>
      </c>
      <c r="F12" s="46">
        <v>2868</v>
      </c>
      <c r="G12" s="45">
        <v>2870</v>
      </c>
      <c r="H12" s="44">
        <f t="shared" si="1"/>
        <v>2869</v>
      </c>
      <c r="I12" s="46">
        <v>2813</v>
      </c>
      <c r="J12" s="45">
        <v>2818</v>
      </c>
      <c r="K12" s="44">
        <f t="shared" si="2"/>
        <v>2815.5</v>
      </c>
      <c r="L12" s="46">
        <v>2743</v>
      </c>
      <c r="M12" s="45">
        <v>2748</v>
      </c>
      <c r="N12" s="44">
        <f t="shared" si="3"/>
        <v>2745.5</v>
      </c>
      <c r="O12" s="46">
        <v>2653</v>
      </c>
      <c r="P12" s="45">
        <v>2658</v>
      </c>
      <c r="Q12" s="44">
        <f t="shared" si="4"/>
        <v>2655.5</v>
      </c>
      <c r="R12" s="52">
        <v>2832.5</v>
      </c>
      <c r="S12" s="51">
        <v>1.2336</v>
      </c>
      <c r="T12" s="51">
        <v>1.0566</v>
      </c>
      <c r="U12" s="50">
        <v>130.43</v>
      </c>
      <c r="V12" s="43">
        <v>2296.13</v>
      </c>
      <c r="W12" s="43">
        <v>2325.1999999999998</v>
      </c>
      <c r="X12" s="49">
        <f t="shared" si="5"/>
        <v>2680.7685027446528</v>
      </c>
      <c r="Y12" s="48">
        <v>1.2343</v>
      </c>
    </row>
    <row r="13" spans="1:25" x14ac:dyDescent="0.2">
      <c r="B13" s="47">
        <v>44690</v>
      </c>
      <c r="C13" s="46">
        <v>2707</v>
      </c>
      <c r="D13" s="45">
        <v>2708</v>
      </c>
      <c r="E13" s="44">
        <f t="shared" si="0"/>
        <v>2707.5</v>
      </c>
      <c r="F13" s="46">
        <v>2748</v>
      </c>
      <c r="G13" s="45">
        <v>2750</v>
      </c>
      <c r="H13" s="44">
        <f t="shared" si="1"/>
        <v>2749</v>
      </c>
      <c r="I13" s="46">
        <v>2715</v>
      </c>
      <c r="J13" s="45">
        <v>2720</v>
      </c>
      <c r="K13" s="44">
        <f t="shared" si="2"/>
        <v>2717.5</v>
      </c>
      <c r="L13" s="46">
        <v>2655</v>
      </c>
      <c r="M13" s="45">
        <v>2660</v>
      </c>
      <c r="N13" s="44">
        <f t="shared" si="3"/>
        <v>2657.5</v>
      </c>
      <c r="O13" s="46">
        <v>2605</v>
      </c>
      <c r="P13" s="45">
        <v>2610</v>
      </c>
      <c r="Q13" s="44">
        <f t="shared" si="4"/>
        <v>2607.5</v>
      </c>
      <c r="R13" s="52">
        <v>2708</v>
      </c>
      <c r="S13" s="51">
        <v>1.2366999999999999</v>
      </c>
      <c r="T13" s="51">
        <v>1.0547</v>
      </c>
      <c r="U13" s="50">
        <v>131.03</v>
      </c>
      <c r="V13" s="43">
        <v>2189.6999999999998</v>
      </c>
      <c r="W13" s="43">
        <v>2222.4</v>
      </c>
      <c r="X13" s="49">
        <f t="shared" si="5"/>
        <v>2567.5547549066087</v>
      </c>
      <c r="Y13" s="48">
        <v>1.2374000000000001</v>
      </c>
    </row>
    <row r="14" spans="1:25" x14ac:dyDescent="0.2">
      <c r="B14" s="47">
        <v>44691</v>
      </c>
      <c r="C14" s="46">
        <v>2676</v>
      </c>
      <c r="D14" s="45">
        <v>2677</v>
      </c>
      <c r="E14" s="44">
        <f t="shared" si="0"/>
        <v>2676.5</v>
      </c>
      <c r="F14" s="46">
        <v>2713</v>
      </c>
      <c r="G14" s="45">
        <v>2715</v>
      </c>
      <c r="H14" s="44">
        <f t="shared" si="1"/>
        <v>2714</v>
      </c>
      <c r="I14" s="46">
        <v>2695</v>
      </c>
      <c r="J14" s="45">
        <v>2700</v>
      </c>
      <c r="K14" s="44">
        <f t="shared" si="2"/>
        <v>2697.5</v>
      </c>
      <c r="L14" s="46">
        <v>2650</v>
      </c>
      <c r="M14" s="45">
        <v>2655</v>
      </c>
      <c r="N14" s="44">
        <f t="shared" si="3"/>
        <v>2652.5</v>
      </c>
      <c r="O14" s="46">
        <v>2600</v>
      </c>
      <c r="P14" s="45">
        <v>2605</v>
      </c>
      <c r="Q14" s="44">
        <f t="shared" si="4"/>
        <v>2602.5</v>
      </c>
      <c r="R14" s="52">
        <v>2677</v>
      </c>
      <c r="S14" s="51">
        <v>1.2338</v>
      </c>
      <c r="T14" s="51">
        <v>1.0552999999999999</v>
      </c>
      <c r="U14" s="50">
        <v>130.08000000000001</v>
      </c>
      <c r="V14" s="43">
        <v>2169.7199999999998</v>
      </c>
      <c r="W14" s="43">
        <v>2199.27</v>
      </c>
      <c r="X14" s="49">
        <f t="shared" si="5"/>
        <v>2536.7194162797309</v>
      </c>
      <c r="Y14" s="48">
        <v>1.2344999999999999</v>
      </c>
    </row>
    <row r="15" spans="1:25" x14ac:dyDescent="0.2">
      <c r="B15" s="47">
        <v>44692</v>
      </c>
      <c r="C15" s="46">
        <v>2736</v>
      </c>
      <c r="D15" s="45">
        <v>2737</v>
      </c>
      <c r="E15" s="44">
        <f t="shared" si="0"/>
        <v>2736.5</v>
      </c>
      <c r="F15" s="46">
        <v>2770</v>
      </c>
      <c r="G15" s="45">
        <v>2772</v>
      </c>
      <c r="H15" s="44">
        <f t="shared" si="1"/>
        <v>2771</v>
      </c>
      <c r="I15" s="46">
        <v>2745</v>
      </c>
      <c r="J15" s="45">
        <v>2750</v>
      </c>
      <c r="K15" s="44">
        <f t="shared" si="2"/>
        <v>2747.5</v>
      </c>
      <c r="L15" s="46">
        <v>2680</v>
      </c>
      <c r="M15" s="45">
        <v>2685</v>
      </c>
      <c r="N15" s="44">
        <f t="shared" si="3"/>
        <v>2682.5</v>
      </c>
      <c r="O15" s="46">
        <v>2615</v>
      </c>
      <c r="P15" s="45">
        <v>2620</v>
      </c>
      <c r="Q15" s="44">
        <f t="shared" si="4"/>
        <v>2617.5</v>
      </c>
      <c r="R15" s="52">
        <v>2737</v>
      </c>
      <c r="S15" s="51">
        <v>1.2357</v>
      </c>
      <c r="T15" s="51">
        <v>1.0545</v>
      </c>
      <c r="U15" s="50">
        <v>129.82</v>
      </c>
      <c r="V15" s="43">
        <v>2214.94</v>
      </c>
      <c r="W15" s="43">
        <v>2241.81</v>
      </c>
      <c r="X15" s="49">
        <f t="shared" si="5"/>
        <v>2595.5429113323848</v>
      </c>
      <c r="Y15" s="48">
        <v>1.2364999999999999</v>
      </c>
    </row>
    <row r="16" spans="1:25" x14ac:dyDescent="0.2">
      <c r="B16" s="47">
        <v>44693</v>
      </c>
      <c r="C16" s="46">
        <v>2686</v>
      </c>
      <c r="D16" s="45">
        <v>2688</v>
      </c>
      <c r="E16" s="44">
        <f t="shared" si="0"/>
        <v>2687</v>
      </c>
      <c r="F16" s="46">
        <v>2722</v>
      </c>
      <c r="G16" s="45">
        <v>2723</v>
      </c>
      <c r="H16" s="44">
        <f t="shared" si="1"/>
        <v>2722.5</v>
      </c>
      <c r="I16" s="46">
        <v>2698</v>
      </c>
      <c r="J16" s="45">
        <v>2703</v>
      </c>
      <c r="K16" s="44">
        <f t="shared" si="2"/>
        <v>2700.5</v>
      </c>
      <c r="L16" s="46">
        <v>2628</v>
      </c>
      <c r="M16" s="45">
        <v>2633</v>
      </c>
      <c r="N16" s="44">
        <f t="shared" si="3"/>
        <v>2630.5</v>
      </c>
      <c r="O16" s="46">
        <v>2568</v>
      </c>
      <c r="P16" s="45">
        <v>2573</v>
      </c>
      <c r="Q16" s="44">
        <f t="shared" si="4"/>
        <v>2570.5</v>
      </c>
      <c r="R16" s="52">
        <v>2688</v>
      </c>
      <c r="S16" s="51">
        <v>1.2196</v>
      </c>
      <c r="T16" s="51">
        <v>1.04</v>
      </c>
      <c r="U16" s="50">
        <v>128.54</v>
      </c>
      <c r="V16" s="43">
        <v>2204</v>
      </c>
      <c r="W16" s="43">
        <v>2231.2399999999998</v>
      </c>
      <c r="X16" s="49">
        <f t="shared" si="5"/>
        <v>2584.6153846153843</v>
      </c>
      <c r="Y16" s="48">
        <v>1.2203999999999999</v>
      </c>
    </row>
    <row r="17" spans="2:25" x14ac:dyDescent="0.2">
      <c r="B17" s="47">
        <v>44694</v>
      </c>
      <c r="C17" s="46">
        <v>2721</v>
      </c>
      <c r="D17" s="45">
        <v>2723</v>
      </c>
      <c r="E17" s="44">
        <f t="shared" si="0"/>
        <v>2722</v>
      </c>
      <c r="F17" s="46">
        <v>2748</v>
      </c>
      <c r="G17" s="45">
        <v>2750</v>
      </c>
      <c r="H17" s="44">
        <f t="shared" si="1"/>
        <v>2749</v>
      </c>
      <c r="I17" s="46">
        <v>2723</v>
      </c>
      <c r="J17" s="45">
        <v>2728</v>
      </c>
      <c r="K17" s="44">
        <f t="shared" si="2"/>
        <v>2725.5</v>
      </c>
      <c r="L17" s="46">
        <v>2687</v>
      </c>
      <c r="M17" s="45">
        <v>2692</v>
      </c>
      <c r="N17" s="44">
        <f t="shared" si="3"/>
        <v>2689.5</v>
      </c>
      <c r="O17" s="46">
        <v>2647</v>
      </c>
      <c r="P17" s="45">
        <v>2652</v>
      </c>
      <c r="Q17" s="44">
        <f t="shared" si="4"/>
        <v>2649.5</v>
      </c>
      <c r="R17" s="52">
        <v>2723</v>
      </c>
      <c r="S17" s="51">
        <v>1.2192000000000001</v>
      </c>
      <c r="T17" s="51">
        <v>1.0383</v>
      </c>
      <c r="U17" s="50">
        <v>129.06</v>
      </c>
      <c r="V17" s="43">
        <v>2233.4299999999998</v>
      </c>
      <c r="W17" s="43">
        <v>2253.91</v>
      </c>
      <c r="X17" s="49">
        <f t="shared" si="5"/>
        <v>2622.5561013194647</v>
      </c>
      <c r="Y17" s="48">
        <v>1.2201</v>
      </c>
    </row>
    <row r="18" spans="2:25" x14ac:dyDescent="0.2">
      <c r="B18" s="47">
        <v>44697</v>
      </c>
      <c r="C18" s="46">
        <v>2790</v>
      </c>
      <c r="D18" s="45">
        <v>2791</v>
      </c>
      <c r="E18" s="44">
        <f t="shared" si="0"/>
        <v>2790.5</v>
      </c>
      <c r="F18" s="46">
        <v>2820</v>
      </c>
      <c r="G18" s="45">
        <v>2822</v>
      </c>
      <c r="H18" s="44">
        <f t="shared" si="1"/>
        <v>2821</v>
      </c>
      <c r="I18" s="46">
        <v>2775</v>
      </c>
      <c r="J18" s="45">
        <v>2780</v>
      </c>
      <c r="K18" s="44">
        <f t="shared" si="2"/>
        <v>2777.5</v>
      </c>
      <c r="L18" s="46">
        <v>2715</v>
      </c>
      <c r="M18" s="45">
        <v>2720</v>
      </c>
      <c r="N18" s="44">
        <f t="shared" si="3"/>
        <v>2717.5</v>
      </c>
      <c r="O18" s="46">
        <v>2673</v>
      </c>
      <c r="P18" s="45">
        <v>2678</v>
      </c>
      <c r="Q18" s="44">
        <f t="shared" si="4"/>
        <v>2675.5</v>
      </c>
      <c r="R18" s="52">
        <v>2791</v>
      </c>
      <c r="S18" s="51">
        <v>1.2259</v>
      </c>
      <c r="T18" s="51">
        <v>1.0419</v>
      </c>
      <c r="U18" s="50">
        <v>129.49</v>
      </c>
      <c r="V18" s="43">
        <v>2276.69</v>
      </c>
      <c r="W18" s="43">
        <v>2301.98</v>
      </c>
      <c r="X18" s="49">
        <f t="shared" si="5"/>
        <v>2678.7599577694596</v>
      </c>
      <c r="Y18" s="48">
        <v>1.2259</v>
      </c>
    </row>
    <row r="19" spans="2:25" x14ac:dyDescent="0.2">
      <c r="B19" s="47">
        <v>44698</v>
      </c>
      <c r="C19" s="46">
        <v>2835</v>
      </c>
      <c r="D19" s="45">
        <v>2836</v>
      </c>
      <c r="E19" s="44">
        <f t="shared" si="0"/>
        <v>2835.5</v>
      </c>
      <c r="F19" s="46">
        <v>2856</v>
      </c>
      <c r="G19" s="45">
        <v>2858</v>
      </c>
      <c r="H19" s="44">
        <f t="shared" si="1"/>
        <v>2857</v>
      </c>
      <c r="I19" s="46">
        <v>2808</v>
      </c>
      <c r="J19" s="45">
        <v>2813</v>
      </c>
      <c r="K19" s="44">
        <f t="shared" si="2"/>
        <v>2810.5</v>
      </c>
      <c r="L19" s="46">
        <v>2748</v>
      </c>
      <c r="M19" s="45">
        <v>2753</v>
      </c>
      <c r="N19" s="44">
        <f t="shared" si="3"/>
        <v>2750.5</v>
      </c>
      <c r="O19" s="46">
        <v>2678</v>
      </c>
      <c r="P19" s="45">
        <v>2683</v>
      </c>
      <c r="Q19" s="44">
        <f t="shared" si="4"/>
        <v>2680.5</v>
      </c>
      <c r="R19" s="52">
        <v>2836</v>
      </c>
      <c r="S19" s="51">
        <v>1.2484</v>
      </c>
      <c r="T19" s="51">
        <v>1.0539000000000001</v>
      </c>
      <c r="U19" s="50">
        <v>129.33000000000001</v>
      </c>
      <c r="V19" s="43">
        <v>2271.71</v>
      </c>
      <c r="W19" s="43">
        <v>2287.86</v>
      </c>
      <c r="X19" s="49">
        <f t="shared" si="5"/>
        <v>2690.9573963374132</v>
      </c>
      <c r="Y19" s="48">
        <v>1.2492000000000001</v>
      </c>
    </row>
    <row r="20" spans="2:25" x14ac:dyDescent="0.2">
      <c r="B20" s="47">
        <v>44699</v>
      </c>
      <c r="C20" s="46">
        <v>2844.5</v>
      </c>
      <c r="D20" s="45">
        <v>2845</v>
      </c>
      <c r="E20" s="44">
        <f t="shared" si="0"/>
        <v>2844.75</v>
      </c>
      <c r="F20" s="46">
        <v>2873</v>
      </c>
      <c r="G20" s="45">
        <v>2875</v>
      </c>
      <c r="H20" s="44">
        <f t="shared" si="1"/>
        <v>2874</v>
      </c>
      <c r="I20" s="46">
        <v>2813</v>
      </c>
      <c r="J20" s="45">
        <v>2818</v>
      </c>
      <c r="K20" s="44">
        <f t="shared" si="2"/>
        <v>2815.5</v>
      </c>
      <c r="L20" s="46">
        <v>2743</v>
      </c>
      <c r="M20" s="45">
        <v>2748</v>
      </c>
      <c r="N20" s="44">
        <f t="shared" si="3"/>
        <v>2745.5</v>
      </c>
      <c r="O20" s="46">
        <v>2673</v>
      </c>
      <c r="P20" s="45">
        <v>2678</v>
      </c>
      <c r="Q20" s="44">
        <f t="shared" si="4"/>
        <v>2675.5</v>
      </c>
      <c r="R20" s="52">
        <v>2845</v>
      </c>
      <c r="S20" s="51">
        <v>1.242</v>
      </c>
      <c r="T20" s="51">
        <v>1.0509999999999999</v>
      </c>
      <c r="U20" s="50">
        <v>129.11000000000001</v>
      </c>
      <c r="V20" s="43">
        <v>2290.66</v>
      </c>
      <c r="W20" s="43">
        <v>2313.5100000000002</v>
      </c>
      <c r="X20" s="49">
        <f t="shared" si="5"/>
        <v>2706.9457659372029</v>
      </c>
      <c r="Y20" s="48">
        <v>1.2426999999999999</v>
      </c>
    </row>
    <row r="21" spans="2:25" x14ac:dyDescent="0.2">
      <c r="B21" s="47">
        <v>44700</v>
      </c>
      <c r="C21" s="46">
        <v>2825.5</v>
      </c>
      <c r="D21" s="45">
        <v>2826</v>
      </c>
      <c r="E21" s="44">
        <f t="shared" si="0"/>
        <v>2825.75</v>
      </c>
      <c r="F21" s="46">
        <v>2839.5</v>
      </c>
      <c r="G21" s="45">
        <v>2840</v>
      </c>
      <c r="H21" s="44">
        <f t="shared" si="1"/>
        <v>2839.75</v>
      </c>
      <c r="I21" s="46">
        <v>2785</v>
      </c>
      <c r="J21" s="45">
        <v>2790</v>
      </c>
      <c r="K21" s="44">
        <f t="shared" si="2"/>
        <v>2787.5</v>
      </c>
      <c r="L21" s="46">
        <v>2720</v>
      </c>
      <c r="M21" s="45">
        <v>2725</v>
      </c>
      <c r="N21" s="44">
        <f t="shared" si="3"/>
        <v>2722.5</v>
      </c>
      <c r="O21" s="46">
        <v>2650</v>
      </c>
      <c r="P21" s="45">
        <v>2655</v>
      </c>
      <c r="Q21" s="44">
        <f t="shared" si="4"/>
        <v>2652.5</v>
      </c>
      <c r="R21" s="52">
        <v>2826</v>
      </c>
      <c r="S21" s="51">
        <v>1.2432000000000001</v>
      </c>
      <c r="T21" s="51">
        <v>1.0518000000000001</v>
      </c>
      <c r="U21" s="50">
        <v>127.94</v>
      </c>
      <c r="V21" s="43">
        <v>2273.17</v>
      </c>
      <c r="W21" s="43">
        <v>2282.96</v>
      </c>
      <c r="X21" s="49">
        <f t="shared" si="5"/>
        <v>2686.8225898459782</v>
      </c>
      <c r="Y21" s="48">
        <v>1.244</v>
      </c>
    </row>
    <row r="22" spans="2:25" x14ac:dyDescent="0.2">
      <c r="B22" s="47">
        <v>44701</v>
      </c>
      <c r="C22" s="46">
        <v>2930</v>
      </c>
      <c r="D22" s="45">
        <v>2931</v>
      </c>
      <c r="E22" s="44">
        <f t="shared" si="0"/>
        <v>2930.5</v>
      </c>
      <c r="F22" s="46">
        <v>2933</v>
      </c>
      <c r="G22" s="45">
        <v>2935</v>
      </c>
      <c r="H22" s="44">
        <f t="shared" si="1"/>
        <v>2934</v>
      </c>
      <c r="I22" s="46">
        <v>2845</v>
      </c>
      <c r="J22" s="45">
        <v>2850</v>
      </c>
      <c r="K22" s="44">
        <f t="shared" si="2"/>
        <v>2847.5</v>
      </c>
      <c r="L22" s="46">
        <v>2770</v>
      </c>
      <c r="M22" s="45">
        <v>2775</v>
      </c>
      <c r="N22" s="44">
        <f t="shared" si="3"/>
        <v>2772.5</v>
      </c>
      <c r="O22" s="46">
        <v>2700</v>
      </c>
      <c r="P22" s="45">
        <v>2705</v>
      </c>
      <c r="Q22" s="44">
        <f t="shared" si="4"/>
        <v>2702.5</v>
      </c>
      <c r="R22" s="52">
        <v>2931</v>
      </c>
      <c r="S22" s="51">
        <v>1.2468999999999999</v>
      </c>
      <c r="T22" s="51">
        <v>1.0567</v>
      </c>
      <c r="U22" s="50">
        <v>128.06</v>
      </c>
      <c r="V22" s="43">
        <v>2350.63</v>
      </c>
      <c r="W22" s="43">
        <v>2352.33</v>
      </c>
      <c r="X22" s="49">
        <f t="shared" si="5"/>
        <v>2773.7295353458881</v>
      </c>
      <c r="Y22" s="48">
        <v>1.2477</v>
      </c>
    </row>
    <row r="23" spans="2:25" x14ac:dyDescent="0.2">
      <c r="B23" s="47">
        <v>44704</v>
      </c>
      <c r="C23" s="46">
        <v>2962</v>
      </c>
      <c r="D23" s="45">
        <v>2963</v>
      </c>
      <c r="E23" s="44">
        <f t="shared" si="0"/>
        <v>2962.5</v>
      </c>
      <c r="F23" s="46">
        <v>2973</v>
      </c>
      <c r="G23" s="45">
        <v>2975</v>
      </c>
      <c r="H23" s="44">
        <f t="shared" si="1"/>
        <v>2974</v>
      </c>
      <c r="I23" s="46">
        <v>2855</v>
      </c>
      <c r="J23" s="45">
        <v>2860</v>
      </c>
      <c r="K23" s="44">
        <f t="shared" si="2"/>
        <v>2857.5</v>
      </c>
      <c r="L23" s="46">
        <v>2757</v>
      </c>
      <c r="M23" s="45">
        <v>2762</v>
      </c>
      <c r="N23" s="44">
        <f t="shared" si="3"/>
        <v>2759.5</v>
      </c>
      <c r="O23" s="46">
        <v>2637</v>
      </c>
      <c r="P23" s="45">
        <v>2642</v>
      </c>
      <c r="Q23" s="44">
        <f t="shared" si="4"/>
        <v>2639.5</v>
      </c>
      <c r="R23" s="52">
        <v>2963</v>
      </c>
      <c r="S23" s="51">
        <v>1.2576000000000001</v>
      </c>
      <c r="T23" s="51">
        <v>1.0657000000000001</v>
      </c>
      <c r="U23" s="50">
        <v>127.62</v>
      </c>
      <c r="V23" s="43">
        <v>2356.08</v>
      </c>
      <c r="W23" s="43">
        <v>2364.11</v>
      </c>
      <c r="X23" s="49">
        <f t="shared" si="5"/>
        <v>2780.3321760345311</v>
      </c>
      <c r="Y23" s="48">
        <v>1.2584</v>
      </c>
    </row>
    <row r="24" spans="2:25" x14ac:dyDescent="0.2">
      <c r="B24" s="47">
        <v>44705</v>
      </c>
      <c r="C24" s="46">
        <v>2880.5</v>
      </c>
      <c r="D24" s="45">
        <v>2881</v>
      </c>
      <c r="E24" s="44">
        <f t="shared" si="0"/>
        <v>2880.75</v>
      </c>
      <c r="F24" s="46">
        <v>2907</v>
      </c>
      <c r="G24" s="45">
        <v>2908</v>
      </c>
      <c r="H24" s="44">
        <f t="shared" si="1"/>
        <v>2907.5</v>
      </c>
      <c r="I24" s="46">
        <v>2823</v>
      </c>
      <c r="J24" s="45">
        <v>2828</v>
      </c>
      <c r="K24" s="44">
        <f t="shared" si="2"/>
        <v>2825.5</v>
      </c>
      <c r="L24" s="46">
        <v>2743</v>
      </c>
      <c r="M24" s="45">
        <v>2748</v>
      </c>
      <c r="N24" s="44">
        <f t="shared" si="3"/>
        <v>2745.5</v>
      </c>
      <c r="O24" s="46">
        <v>2643</v>
      </c>
      <c r="P24" s="45">
        <v>2648</v>
      </c>
      <c r="Q24" s="44">
        <f t="shared" si="4"/>
        <v>2645.5</v>
      </c>
      <c r="R24" s="52">
        <v>2881</v>
      </c>
      <c r="S24" s="51">
        <v>1.2499</v>
      </c>
      <c r="T24" s="51">
        <v>1.0714999999999999</v>
      </c>
      <c r="U24" s="50">
        <v>127.4</v>
      </c>
      <c r="V24" s="43">
        <v>2304.98</v>
      </c>
      <c r="W24" s="43">
        <v>2324.73</v>
      </c>
      <c r="X24" s="49">
        <f t="shared" si="5"/>
        <v>2688.7540830611297</v>
      </c>
      <c r="Y24" s="48">
        <v>1.2508999999999999</v>
      </c>
    </row>
    <row r="25" spans="2:25" x14ac:dyDescent="0.2">
      <c r="B25" s="47">
        <v>44706</v>
      </c>
      <c r="C25" s="46">
        <v>2829</v>
      </c>
      <c r="D25" s="45">
        <v>2829.5</v>
      </c>
      <c r="E25" s="44">
        <f t="shared" si="0"/>
        <v>2829.25</v>
      </c>
      <c r="F25" s="46">
        <v>2857.5</v>
      </c>
      <c r="G25" s="45">
        <v>2858</v>
      </c>
      <c r="H25" s="44">
        <f t="shared" si="1"/>
        <v>2857.75</v>
      </c>
      <c r="I25" s="46">
        <v>2822</v>
      </c>
      <c r="J25" s="45">
        <v>2827</v>
      </c>
      <c r="K25" s="44">
        <f t="shared" si="2"/>
        <v>2824.5</v>
      </c>
      <c r="L25" s="46">
        <v>2767</v>
      </c>
      <c r="M25" s="45">
        <v>2772</v>
      </c>
      <c r="N25" s="44">
        <f t="shared" si="3"/>
        <v>2769.5</v>
      </c>
      <c r="O25" s="46">
        <v>2702</v>
      </c>
      <c r="P25" s="45">
        <v>2707</v>
      </c>
      <c r="Q25" s="44">
        <f t="shared" si="4"/>
        <v>2704.5</v>
      </c>
      <c r="R25" s="52">
        <v>2829.5</v>
      </c>
      <c r="S25" s="51">
        <v>1.2492000000000001</v>
      </c>
      <c r="T25" s="51">
        <v>1.0660000000000001</v>
      </c>
      <c r="U25" s="50">
        <v>126.98</v>
      </c>
      <c r="V25" s="43">
        <v>2265.0500000000002</v>
      </c>
      <c r="W25" s="43">
        <v>2286.0300000000002</v>
      </c>
      <c r="X25" s="49">
        <f t="shared" si="5"/>
        <v>2654.3151969981236</v>
      </c>
      <c r="Y25" s="48">
        <v>1.2502</v>
      </c>
    </row>
    <row r="26" spans="2:25" x14ac:dyDescent="0.2">
      <c r="B26" s="47">
        <v>44707</v>
      </c>
      <c r="C26" s="46">
        <v>2825</v>
      </c>
      <c r="D26" s="45">
        <v>2825.5</v>
      </c>
      <c r="E26" s="44">
        <f t="shared" si="0"/>
        <v>2825.25</v>
      </c>
      <c r="F26" s="46">
        <v>2856</v>
      </c>
      <c r="G26" s="45">
        <v>2857</v>
      </c>
      <c r="H26" s="44">
        <f t="shared" si="1"/>
        <v>2856.5</v>
      </c>
      <c r="I26" s="46">
        <v>2813</v>
      </c>
      <c r="J26" s="45">
        <v>2818</v>
      </c>
      <c r="K26" s="44">
        <f t="shared" si="2"/>
        <v>2815.5</v>
      </c>
      <c r="L26" s="46">
        <v>2758</v>
      </c>
      <c r="M26" s="45">
        <v>2763</v>
      </c>
      <c r="N26" s="44">
        <f t="shared" si="3"/>
        <v>2760.5</v>
      </c>
      <c r="O26" s="46">
        <v>2718</v>
      </c>
      <c r="P26" s="45">
        <v>2723</v>
      </c>
      <c r="Q26" s="44">
        <f t="shared" si="4"/>
        <v>2720.5</v>
      </c>
      <c r="R26" s="52">
        <v>2825.5</v>
      </c>
      <c r="S26" s="51">
        <v>1.2596000000000001</v>
      </c>
      <c r="T26" s="51">
        <v>1.0706</v>
      </c>
      <c r="U26" s="50">
        <v>127.04</v>
      </c>
      <c r="V26" s="43">
        <v>2243.17</v>
      </c>
      <c r="W26" s="43">
        <v>2266.38</v>
      </c>
      <c r="X26" s="49">
        <f t="shared" si="5"/>
        <v>2639.1742947879693</v>
      </c>
      <c r="Y26" s="48">
        <v>1.2605999999999999</v>
      </c>
    </row>
    <row r="27" spans="2:25" x14ac:dyDescent="0.2">
      <c r="B27" s="47">
        <v>44708</v>
      </c>
      <c r="C27" s="46">
        <v>2822.5</v>
      </c>
      <c r="D27" s="45">
        <v>2823</v>
      </c>
      <c r="E27" s="44">
        <f t="shared" si="0"/>
        <v>2822.75</v>
      </c>
      <c r="F27" s="46">
        <v>2845</v>
      </c>
      <c r="G27" s="45">
        <v>2847</v>
      </c>
      <c r="H27" s="44">
        <f t="shared" si="1"/>
        <v>2846</v>
      </c>
      <c r="I27" s="46">
        <v>2805</v>
      </c>
      <c r="J27" s="45">
        <v>2810</v>
      </c>
      <c r="K27" s="44">
        <f t="shared" si="2"/>
        <v>2807.5</v>
      </c>
      <c r="L27" s="46">
        <v>2750</v>
      </c>
      <c r="M27" s="45">
        <v>2755</v>
      </c>
      <c r="N27" s="44">
        <f t="shared" si="3"/>
        <v>2752.5</v>
      </c>
      <c r="O27" s="46">
        <v>2710</v>
      </c>
      <c r="P27" s="45">
        <v>2715</v>
      </c>
      <c r="Q27" s="44">
        <f t="shared" si="4"/>
        <v>2712.5</v>
      </c>
      <c r="R27" s="52">
        <v>2823</v>
      </c>
      <c r="S27" s="51">
        <v>1.2618</v>
      </c>
      <c r="T27" s="51">
        <v>1.0707</v>
      </c>
      <c r="U27" s="50">
        <v>126.92</v>
      </c>
      <c r="V27" s="43">
        <v>2237.2800000000002</v>
      </c>
      <c r="W27" s="43">
        <v>2254.69</v>
      </c>
      <c r="X27" s="49">
        <f t="shared" si="5"/>
        <v>2636.5928831605493</v>
      </c>
      <c r="Y27" s="48">
        <v>1.2626999999999999</v>
      </c>
    </row>
    <row r="28" spans="2:25" x14ac:dyDescent="0.2">
      <c r="B28" s="47">
        <v>44711</v>
      </c>
      <c r="C28" s="46">
        <v>2862</v>
      </c>
      <c r="D28" s="45">
        <v>2863</v>
      </c>
      <c r="E28" s="44">
        <f t="shared" si="0"/>
        <v>2862.5</v>
      </c>
      <c r="F28" s="46">
        <v>2890</v>
      </c>
      <c r="G28" s="45">
        <v>2891</v>
      </c>
      <c r="H28" s="44">
        <f t="shared" si="1"/>
        <v>2890.5</v>
      </c>
      <c r="I28" s="46">
        <v>2845</v>
      </c>
      <c r="J28" s="45">
        <v>2850</v>
      </c>
      <c r="K28" s="44">
        <f t="shared" si="2"/>
        <v>2847.5</v>
      </c>
      <c r="L28" s="46">
        <v>2790</v>
      </c>
      <c r="M28" s="45">
        <v>2795</v>
      </c>
      <c r="N28" s="44">
        <f t="shared" si="3"/>
        <v>2792.5</v>
      </c>
      <c r="O28" s="46">
        <v>2750</v>
      </c>
      <c r="P28" s="45">
        <v>2755</v>
      </c>
      <c r="Q28" s="44">
        <f t="shared" si="4"/>
        <v>2752.5</v>
      </c>
      <c r="R28" s="52">
        <v>2863</v>
      </c>
      <c r="S28" s="51">
        <v>1.264</v>
      </c>
      <c r="T28" s="51">
        <v>1.0767</v>
      </c>
      <c r="U28" s="50">
        <v>127.43</v>
      </c>
      <c r="V28" s="43">
        <v>2265.0300000000002</v>
      </c>
      <c r="W28" s="43">
        <v>2285.7399999999998</v>
      </c>
      <c r="X28" s="49">
        <f t="shared" si="5"/>
        <v>2659.0508033807005</v>
      </c>
      <c r="Y28" s="48">
        <v>1.2647999999999999</v>
      </c>
    </row>
    <row r="29" spans="2:25" x14ac:dyDescent="0.2">
      <c r="B29" s="47">
        <v>44712</v>
      </c>
      <c r="C29" s="46">
        <v>2816</v>
      </c>
      <c r="D29" s="45">
        <v>2816.5</v>
      </c>
      <c r="E29" s="44">
        <f t="shared" si="0"/>
        <v>2816.25</v>
      </c>
      <c r="F29" s="46">
        <v>2848</v>
      </c>
      <c r="G29" s="45">
        <v>2850</v>
      </c>
      <c r="H29" s="44">
        <f t="shared" si="1"/>
        <v>2849</v>
      </c>
      <c r="I29" s="46">
        <v>2805</v>
      </c>
      <c r="J29" s="45">
        <v>2810</v>
      </c>
      <c r="K29" s="44">
        <f t="shared" si="2"/>
        <v>2807.5</v>
      </c>
      <c r="L29" s="46">
        <v>2750</v>
      </c>
      <c r="M29" s="45">
        <v>2755</v>
      </c>
      <c r="N29" s="44">
        <f t="shared" si="3"/>
        <v>2752.5</v>
      </c>
      <c r="O29" s="46">
        <v>2710</v>
      </c>
      <c r="P29" s="45">
        <v>2715</v>
      </c>
      <c r="Q29" s="44">
        <f t="shared" si="4"/>
        <v>2712.5</v>
      </c>
      <c r="R29" s="52">
        <v>2816.5</v>
      </c>
      <c r="S29" s="51">
        <v>1.2588999999999999</v>
      </c>
      <c r="T29" s="51">
        <v>1.0712999999999999</v>
      </c>
      <c r="U29" s="50">
        <v>128.19</v>
      </c>
      <c r="V29" s="43">
        <v>2237.27</v>
      </c>
      <c r="W29" s="43">
        <v>2262.2600000000002</v>
      </c>
      <c r="X29" s="49">
        <f t="shared" si="5"/>
        <v>2629.0488191916365</v>
      </c>
      <c r="Y29" s="48">
        <v>1.2598</v>
      </c>
    </row>
    <row r="30" spans="2:25" s="10" customFormat="1" x14ac:dyDescent="0.2">
      <c r="B30" s="42" t="s">
        <v>11</v>
      </c>
      <c r="C30" s="41">
        <f>ROUND(AVERAGE(C9:C29),2)</f>
        <v>2825.52</v>
      </c>
      <c r="D30" s="40">
        <f>ROUND(AVERAGE(D9:D29),2)</f>
        <v>2826.36</v>
      </c>
      <c r="E30" s="39">
        <f>ROUND(AVERAGE(C30:D30),2)</f>
        <v>2825.94</v>
      </c>
      <c r="F30" s="41">
        <f>ROUND(AVERAGE(F9:F29),2)</f>
        <v>2853.21</v>
      </c>
      <c r="G30" s="40">
        <f>ROUND(AVERAGE(G9:G29),2)</f>
        <v>2854.79</v>
      </c>
      <c r="H30" s="39">
        <f>ROUND(AVERAGE(F30:G30),2)</f>
        <v>2854</v>
      </c>
      <c r="I30" s="41">
        <f>ROUND(AVERAGE(I9:I29),2)</f>
        <v>2798.71</v>
      </c>
      <c r="J30" s="40">
        <f>ROUND(AVERAGE(J9:J29),2)</f>
        <v>2803.71</v>
      </c>
      <c r="K30" s="39">
        <f>ROUND(AVERAGE(I30:J30),2)</f>
        <v>2801.21</v>
      </c>
      <c r="L30" s="41">
        <f>ROUND(AVERAGE(L9:L29),2)</f>
        <v>2733.52</v>
      </c>
      <c r="M30" s="40">
        <f>ROUND(AVERAGE(M9:M29),2)</f>
        <v>2738.52</v>
      </c>
      <c r="N30" s="39">
        <f>ROUND(AVERAGE(L30:M30),2)</f>
        <v>2736.02</v>
      </c>
      <c r="O30" s="41">
        <f>ROUND(AVERAGE(O9:O29),2)</f>
        <v>2666.38</v>
      </c>
      <c r="P30" s="40">
        <f>ROUND(AVERAGE(P9:P29),2)</f>
        <v>2671.38</v>
      </c>
      <c r="Q30" s="39">
        <f>ROUND(AVERAGE(O30:P30),2)</f>
        <v>2668.88</v>
      </c>
      <c r="R30" s="38">
        <f>ROUND(AVERAGE(R9:R29),2)</f>
        <v>2826.36</v>
      </c>
      <c r="S30" s="37">
        <f>ROUND(AVERAGE(S9:S29),4)</f>
        <v>1.2443</v>
      </c>
      <c r="T30" s="36">
        <f>ROUND(AVERAGE(T9:T29),4)</f>
        <v>1.0576000000000001</v>
      </c>
      <c r="U30" s="175">
        <f>ROUND(AVERAGE(U9:U29),2)</f>
        <v>128.78</v>
      </c>
      <c r="V30" s="35">
        <f>AVERAGE(V9:V29)</f>
        <v>2271.2957142857144</v>
      </c>
      <c r="W30" s="35">
        <f>AVERAGE(W9:W29)</f>
        <v>2292.7571428571428</v>
      </c>
      <c r="X30" s="35">
        <f>AVERAGE(X9:X29)</f>
        <v>2672.4697277577552</v>
      </c>
      <c r="Y30" s="34">
        <f>AVERAGE(Y9:Y29)</f>
        <v>1.2450476190476192</v>
      </c>
    </row>
    <row r="31" spans="2:25" s="5" customFormat="1" x14ac:dyDescent="0.2">
      <c r="B31" s="33" t="s">
        <v>12</v>
      </c>
      <c r="C31" s="32">
        <f t="shared" ref="C31:Y31" si="6">MAX(C9:C29)</f>
        <v>2962</v>
      </c>
      <c r="D31" s="31">
        <f t="shared" si="6"/>
        <v>2963</v>
      </c>
      <c r="E31" s="30">
        <f t="shared" si="6"/>
        <v>2962.5</v>
      </c>
      <c r="F31" s="32">
        <f t="shared" si="6"/>
        <v>2973</v>
      </c>
      <c r="G31" s="31">
        <f t="shared" si="6"/>
        <v>2975</v>
      </c>
      <c r="H31" s="30">
        <f t="shared" si="6"/>
        <v>2974</v>
      </c>
      <c r="I31" s="32">
        <f t="shared" si="6"/>
        <v>2875</v>
      </c>
      <c r="J31" s="31">
        <f t="shared" si="6"/>
        <v>2880</v>
      </c>
      <c r="K31" s="30">
        <f t="shared" si="6"/>
        <v>2877.5</v>
      </c>
      <c r="L31" s="32">
        <f t="shared" si="6"/>
        <v>2798</v>
      </c>
      <c r="M31" s="31">
        <f t="shared" si="6"/>
        <v>2803</v>
      </c>
      <c r="N31" s="30">
        <f t="shared" si="6"/>
        <v>2800.5</v>
      </c>
      <c r="O31" s="32">
        <f t="shared" si="6"/>
        <v>2750</v>
      </c>
      <c r="P31" s="31">
        <f t="shared" si="6"/>
        <v>2755</v>
      </c>
      <c r="Q31" s="30">
        <f t="shared" si="6"/>
        <v>2752.5</v>
      </c>
      <c r="R31" s="29">
        <f t="shared" si="6"/>
        <v>2963</v>
      </c>
      <c r="S31" s="28">
        <f t="shared" si="6"/>
        <v>1.264</v>
      </c>
      <c r="T31" s="27">
        <f t="shared" si="6"/>
        <v>1.0767</v>
      </c>
      <c r="U31" s="26">
        <f t="shared" si="6"/>
        <v>131.03</v>
      </c>
      <c r="V31" s="25">
        <f t="shared" si="6"/>
        <v>2356.08</v>
      </c>
      <c r="W31" s="25">
        <f t="shared" si="6"/>
        <v>2375.85</v>
      </c>
      <c r="X31" s="25">
        <f t="shared" si="6"/>
        <v>2781.3123160193718</v>
      </c>
      <c r="Y31" s="24">
        <f t="shared" si="6"/>
        <v>1.2647999999999999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2676</v>
      </c>
      <c r="D32" s="21">
        <f t="shared" si="7"/>
        <v>2677</v>
      </c>
      <c r="E32" s="20">
        <f t="shared" si="7"/>
        <v>2676.5</v>
      </c>
      <c r="F32" s="22">
        <f t="shared" si="7"/>
        <v>2713</v>
      </c>
      <c r="G32" s="21">
        <f t="shared" si="7"/>
        <v>2715</v>
      </c>
      <c r="H32" s="20">
        <f t="shared" si="7"/>
        <v>2714</v>
      </c>
      <c r="I32" s="22">
        <f t="shared" si="7"/>
        <v>2695</v>
      </c>
      <c r="J32" s="21">
        <f t="shared" si="7"/>
        <v>2700</v>
      </c>
      <c r="K32" s="20">
        <f t="shared" si="7"/>
        <v>2697.5</v>
      </c>
      <c r="L32" s="22">
        <f t="shared" si="7"/>
        <v>2628</v>
      </c>
      <c r="M32" s="21">
        <f t="shared" si="7"/>
        <v>2633</v>
      </c>
      <c r="N32" s="20">
        <f t="shared" si="7"/>
        <v>2630.5</v>
      </c>
      <c r="O32" s="22">
        <f t="shared" si="7"/>
        <v>2568</v>
      </c>
      <c r="P32" s="21">
        <f t="shared" si="7"/>
        <v>2573</v>
      </c>
      <c r="Q32" s="20">
        <f t="shared" si="7"/>
        <v>2570.5</v>
      </c>
      <c r="R32" s="19">
        <f t="shared" si="7"/>
        <v>2677</v>
      </c>
      <c r="S32" s="18">
        <f t="shared" si="7"/>
        <v>1.2192000000000001</v>
      </c>
      <c r="T32" s="17">
        <f t="shared" si="7"/>
        <v>1.0383</v>
      </c>
      <c r="U32" s="16">
        <f t="shared" si="7"/>
        <v>126.92</v>
      </c>
      <c r="V32" s="15">
        <f t="shared" si="7"/>
        <v>2169.7199999999998</v>
      </c>
      <c r="W32" s="15">
        <f t="shared" si="7"/>
        <v>2199.27</v>
      </c>
      <c r="X32" s="15">
        <f t="shared" si="7"/>
        <v>2536.7194162797309</v>
      </c>
      <c r="Y32" s="14">
        <f t="shared" si="7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44684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44684</v>
      </c>
      <c r="C9" s="46">
        <v>4044</v>
      </c>
      <c r="D9" s="45">
        <v>4045</v>
      </c>
      <c r="E9" s="44">
        <f t="shared" ref="E9:E29" si="0">AVERAGE(C9:D9)</f>
        <v>4044.5</v>
      </c>
      <c r="F9" s="46">
        <v>3991</v>
      </c>
      <c r="G9" s="45">
        <v>3993</v>
      </c>
      <c r="H9" s="44">
        <f t="shared" ref="H9:H29" si="1">AVERAGE(F9:G9)</f>
        <v>3992</v>
      </c>
      <c r="I9" s="46">
        <v>3448</v>
      </c>
      <c r="J9" s="45">
        <v>3453</v>
      </c>
      <c r="K9" s="44">
        <f t="shared" ref="K9:K29" si="2">AVERAGE(I9:J9)</f>
        <v>3450.5</v>
      </c>
      <c r="L9" s="46">
        <v>3068</v>
      </c>
      <c r="M9" s="45">
        <v>3073</v>
      </c>
      <c r="N9" s="44">
        <f t="shared" ref="N9:N29" si="3">AVERAGE(L9:M9)</f>
        <v>3070.5</v>
      </c>
      <c r="O9" s="46">
        <v>2618</v>
      </c>
      <c r="P9" s="45">
        <v>2623</v>
      </c>
      <c r="Q9" s="44">
        <f t="shared" ref="Q9:Q29" si="4">AVERAGE(O9:P9)</f>
        <v>2620.5</v>
      </c>
      <c r="R9" s="52">
        <v>4045</v>
      </c>
      <c r="S9" s="51">
        <v>1.2532000000000001</v>
      </c>
      <c r="T9" s="53">
        <v>1.0538000000000001</v>
      </c>
      <c r="U9" s="50">
        <v>129.91999999999999</v>
      </c>
      <c r="V9" s="43">
        <v>3227.74</v>
      </c>
      <c r="W9" s="43">
        <v>3184.97</v>
      </c>
      <c r="X9" s="49">
        <f t="shared" ref="X9:X29" si="5">R9/T9</f>
        <v>3838.4892769026378</v>
      </c>
      <c r="Y9" s="48">
        <v>1.2537</v>
      </c>
    </row>
    <row r="10" spans="1:25" x14ac:dyDescent="0.2">
      <c r="B10" s="47">
        <v>44685</v>
      </c>
      <c r="C10" s="46">
        <v>3954</v>
      </c>
      <c r="D10" s="45">
        <v>3955</v>
      </c>
      <c r="E10" s="44">
        <f t="shared" si="0"/>
        <v>3954.5</v>
      </c>
      <c r="F10" s="46">
        <v>3927</v>
      </c>
      <c r="G10" s="45">
        <v>3928</v>
      </c>
      <c r="H10" s="44">
        <f t="shared" si="1"/>
        <v>3927.5</v>
      </c>
      <c r="I10" s="46">
        <v>3430</v>
      </c>
      <c r="J10" s="45">
        <v>3435</v>
      </c>
      <c r="K10" s="44">
        <f t="shared" si="2"/>
        <v>3432.5</v>
      </c>
      <c r="L10" s="46">
        <v>3100</v>
      </c>
      <c r="M10" s="45">
        <v>3105</v>
      </c>
      <c r="N10" s="44">
        <f t="shared" si="3"/>
        <v>3102.5</v>
      </c>
      <c r="O10" s="46">
        <v>2650</v>
      </c>
      <c r="P10" s="45">
        <v>2655</v>
      </c>
      <c r="Q10" s="44">
        <f t="shared" si="4"/>
        <v>2652.5</v>
      </c>
      <c r="R10" s="52">
        <v>3955</v>
      </c>
      <c r="S10" s="51">
        <v>1.2511000000000001</v>
      </c>
      <c r="T10" s="51">
        <v>1.0530999999999999</v>
      </c>
      <c r="U10" s="50">
        <v>129.96</v>
      </c>
      <c r="V10" s="43">
        <v>3161.22</v>
      </c>
      <c r="W10" s="43">
        <v>3137.88</v>
      </c>
      <c r="X10" s="49">
        <f t="shared" si="5"/>
        <v>3755.5787674484859</v>
      </c>
      <c r="Y10" s="48">
        <v>1.2518</v>
      </c>
    </row>
    <row r="11" spans="1:25" x14ac:dyDescent="0.2">
      <c r="B11" s="47">
        <v>44686</v>
      </c>
      <c r="C11" s="46">
        <v>3992.5</v>
      </c>
      <c r="D11" s="45">
        <v>3993</v>
      </c>
      <c r="E11" s="44">
        <f t="shared" si="0"/>
        <v>3992.75</v>
      </c>
      <c r="F11" s="46">
        <v>3960</v>
      </c>
      <c r="G11" s="45">
        <v>3962</v>
      </c>
      <c r="H11" s="44">
        <f t="shared" si="1"/>
        <v>3961</v>
      </c>
      <c r="I11" s="46">
        <v>3477</v>
      </c>
      <c r="J11" s="45">
        <v>3482</v>
      </c>
      <c r="K11" s="44">
        <f t="shared" si="2"/>
        <v>3479.5</v>
      </c>
      <c r="L11" s="46">
        <v>3180</v>
      </c>
      <c r="M11" s="45">
        <v>3185</v>
      </c>
      <c r="N11" s="44">
        <f t="shared" si="3"/>
        <v>3182.5</v>
      </c>
      <c r="O11" s="46">
        <v>2730</v>
      </c>
      <c r="P11" s="45">
        <v>2735</v>
      </c>
      <c r="Q11" s="44">
        <f t="shared" si="4"/>
        <v>2732.5</v>
      </c>
      <c r="R11" s="52">
        <v>3993</v>
      </c>
      <c r="S11" s="51">
        <v>1.2396</v>
      </c>
      <c r="T11" s="51">
        <v>1.0548</v>
      </c>
      <c r="U11" s="50">
        <v>130</v>
      </c>
      <c r="V11" s="43">
        <v>3221.2</v>
      </c>
      <c r="W11" s="43">
        <v>3194.13</v>
      </c>
      <c r="X11" s="49">
        <f t="shared" si="5"/>
        <v>3785.5517633674631</v>
      </c>
      <c r="Y11" s="48">
        <v>1.2403999999999999</v>
      </c>
    </row>
    <row r="12" spans="1:25" x14ac:dyDescent="0.2">
      <c r="B12" s="47">
        <v>44687</v>
      </c>
      <c r="C12" s="46">
        <v>3828</v>
      </c>
      <c r="D12" s="45">
        <v>3829</v>
      </c>
      <c r="E12" s="44">
        <f t="shared" si="0"/>
        <v>3828.5</v>
      </c>
      <c r="F12" s="46">
        <v>3806</v>
      </c>
      <c r="G12" s="45">
        <v>3807</v>
      </c>
      <c r="H12" s="44">
        <f t="shared" si="1"/>
        <v>3806.5</v>
      </c>
      <c r="I12" s="46">
        <v>3357</v>
      </c>
      <c r="J12" s="45">
        <v>3362</v>
      </c>
      <c r="K12" s="44">
        <f t="shared" si="2"/>
        <v>3359.5</v>
      </c>
      <c r="L12" s="46">
        <v>3055</v>
      </c>
      <c r="M12" s="45">
        <v>3060</v>
      </c>
      <c r="N12" s="44">
        <f t="shared" si="3"/>
        <v>3057.5</v>
      </c>
      <c r="O12" s="46">
        <v>2605</v>
      </c>
      <c r="P12" s="45">
        <v>2610</v>
      </c>
      <c r="Q12" s="44">
        <f t="shared" si="4"/>
        <v>2607.5</v>
      </c>
      <c r="R12" s="52">
        <v>3829</v>
      </c>
      <c r="S12" s="51">
        <v>1.2336</v>
      </c>
      <c r="T12" s="51">
        <v>1.0566</v>
      </c>
      <c r="U12" s="50">
        <v>130.43</v>
      </c>
      <c r="V12" s="43">
        <v>3103.92</v>
      </c>
      <c r="W12" s="43">
        <v>3084.34</v>
      </c>
      <c r="X12" s="49">
        <f t="shared" si="5"/>
        <v>3623.8879424569373</v>
      </c>
      <c r="Y12" s="48">
        <v>1.2343</v>
      </c>
    </row>
    <row r="13" spans="1:25" x14ac:dyDescent="0.2">
      <c r="B13" s="47">
        <v>44690</v>
      </c>
      <c r="C13" s="46">
        <v>3654.5</v>
      </c>
      <c r="D13" s="45">
        <v>3655</v>
      </c>
      <c r="E13" s="44">
        <f t="shared" si="0"/>
        <v>3654.75</v>
      </c>
      <c r="F13" s="46">
        <v>3645</v>
      </c>
      <c r="G13" s="45">
        <v>3647</v>
      </c>
      <c r="H13" s="44">
        <f t="shared" si="1"/>
        <v>3646</v>
      </c>
      <c r="I13" s="46">
        <v>3252</v>
      </c>
      <c r="J13" s="45">
        <v>3257</v>
      </c>
      <c r="K13" s="44">
        <f t="shared" si="2"/>
        <v>3254.5</v>
      </c>
      <c r="L13" s="46">
        <v>2982</v>
      </c>
      <c r="M13" s="45">
        <v>2987</v>
      </c>
      <c r="N13" s="44">
        <f t="shared" si="3"/>
        <v>2984.5</v>
      </c>
      <c r="O13" s="46">
        <v>2582</v>
      </c>
      <c r="P13" s="45">
        <v>2587</v>
      </c>
      <c r="Q13" s="44">
        <f t="shared" si="4"/>
        <v>2584.5</v>
      </c>
      <c r="R13" s="52">
        <v>3655</v>
      </c>
      <c r="S13" s="51">
        <v>1.2366999999999999</v>
      </c>
      <c r="T13" s="51">
        <v>1.0547</v>
      </c>
      <c r="U13" s="50">
        <v>131.03</v>
      </c>
      <c r="V13" s="43">
        <v>2955.45</v>
      </c>
      <c r="W13" s="43">
        <v>2947.31</v>
      </c>
      <c r="X13" s="49">
        <f t="shared" si="5"/>
        <v>3465.4404095951454</v>
      </c>
      <c r="Y13" s="48">
        <v>1.2374000000000001</v>
      </c>
    </row>
    <row r="14" spans="1:25" x14ac:dyDescent="0.2">
      <c r="B14" s="47">
        <v>44691</v>
      </c>
      <c r="C14" s="46">
        <v>3640</v>
      </c>
      <c r="D14" s="45">
        <v>3642</v>
      </c>
      <c r="E14" s="44">
        <f t="shared" si="0"/>
        <v>3641</v>
      </c>
      <c r="F14" s="46">
        <v>3629</v>
      </c>
      <c r="G14" s="45">
        <v>3630</v>
      </c>
      <c r="H14" s="44">
        <f t="shared" si="1"/>
        <v>3629.5</v>
      </c>
      <c r="I14" s="46">
        <v>3265</v>
      </c>
      <c r="J14" s="45">
        <v>3270</v>
      </c>
      <c r="K14" s="44">
        <f t="shared" si="2"/>
        <v>3267.5</v>
      </c>
      <c r="L14" s="46">
        <v>2967</v>
      </c>
      <c r="M14" s="45">
        <v>2972</v>
      </c>
      <c r="N14" s="44">
        <f t="shared" si="3"/>
        <v>2969.5</v>
      </c>
      <c r="O14" s="46">
        <v>2567</v>
      </c>
      <c r="P14" s="45">
        <v>2572</v>
      </c>
      <c r="Q14" s="44">
        <f t="shared" si="4"/>
        <v>2569.5</v>
      </c>
      <c r="R14" s="52">
        <v>3642</v>
      </c>
      <c r="S14" s="51">
        <v>1.2338</v>
      </c>
      <c r="T14" s="51">
        <v>1.0552999999999999</v>
      </c>
      <c r="U14" s="50">
        <v>130.08000000000001</v>
      </c>
      <c r="V14" s="43">
        <v>2951.86</v>
      </c>
      <c r="W14" s="43">
        <v>2940.46</v>
      </c>
      <c r="X14" s="49">
        <f t="shared" si="5"/>
        <v>3451.1513313749647</v>
      </c>
      <c r="Y14" s="48">
        <v>1.2344999999999999</v>
      </c>
    </row>
    <row r="15" spans="1:25" x14ac:dyDescent="0.2">
      <c r="B15" s="47">
        <v>44692</v>
      </c>
      <c r="C15" s="46">
        <v>3659.5</v>
      </c>
      <c r="D15" s="45">
        <v>3660</v>
      </c>
      <c r="E15" s="44">
        <f t="shared" si="0"/>
        <v>3659.75</v>
      </c>
      <c r="F15" s="46">
        <v>3644</v>
      </c>
      <c r="G15" s="45">
        <v>3646</v>
      </c>
      <c r="H15" s="44">
        <f t="shared" si="1"/>
        <v>3645</v>
      </c>
      <c r="I15" s="46">
        <v>3268</v>
      </c>
      <c r="J15" s="45">
        <v>3273</v>
      </c>
      <c r="K15" s="44">
        <f t="shared" si="2"/>
        <v>3270.5</v>
      </c>
      <c r="L15" s="46">
        <v>3013</v>
      </c>
      <c r="M15" s="45">
        <v>3018</v>
      </c>
      <c r="N15" s="44">
        <f t="shared" si="3"/>
        <v>3015.5</v>
      </c>
      <c r="O15" s="46">
        <v>2613</v>
      </c>
      <c r="P15" s="45">
        <v>2618</v>
      </c>
      <c r="Q15" s="44">
        <f t="shared" si="4"/>
        <v>2615.5</v>
      </c>
      <c r="R15" s="52">
        <v>3660</v>
      </c>
      <c r="S15" s="51">
        <v>1.2357</v>
      </c>
      <c r="T15" s="51">
        <v>1.0545</v>
      </c>
      <c r="U15" s="50">
        <v>129.82</v>
      </c>
      <c r="V15" s="43">
        <v>2961.88</v>
      </c>
      <c r="W15" s="43">
        <v>2948.65</v>
      </c>
      <c r="X15" s="49">
        <f t="shared" si="5"/>
        <v>3470.8392603129446</v>
      </c>
      <c r="Y15" s="48">
        <v>1.2364999999999999</v>
      </c>
    </row>
    <row r="16" spans="1:25" x14ac:dyDescent="0.2">
      <c r="B16" s="47">
        <v>44693</v>
      </c>
      <c r="C16" s="46">
        <v>3540</v>
      </c>
      <c r="D16" s="45">
        <v>3541</v>
      </c>
      <c r="E16" s="44">
        <f t="shared" si="0"/>
        <v>3540.5</v>
      </c>
      <c r="F16" s="46">
        <v>3523</v>
      </c>
      <c r="G16" s="45">
        <v>3525</v>
      </c>
      <c r="H16" s="44">
        <f t="shared" si="1"/>
        <v>3524</v>
      </c>
      <c r="I16" s="46">
        <v>3153</v>
      </c>
      <c r="J16" s="45">
        <v>3158</v>
      </c>
      <c r="K16" s="44">
        <f t="shared" si="2"/>
        <v>3155.5</v>
      </c>
      <c r="L16" s="46">
        <v>2897</v>
      </c>
      <c r="M16" s="45">
        <v>2902</v>
      </c>
      <c r="N16" s="44">
        <f t="shared" si="3"/>
        <v>2899.5</v>
      </c>
      <c r="O16" s="46">
        <v>2497</v>
      </c>
      <c r="P16" s="45">
        <v>2502</v>
      </c>
      <c r="Q16" s="44">
        <f t="shared" si="4"/>
        <v>2499.5</v>
      </c>
      <c r="R16" s="52">
        <v>3541</v>
      </c>
      <c r="S16" s="51">
        <v>1.2196</v>
      </c>
      <c r="T16" s="51">
        <v>1.04</v>
      </c>
      <c r="U16" s="50">
        <v>128.54</v>
      </c>
      <c r="V16" s="43">
        <v>2903.41</v>
      </c>
      <c r="W16" s="43">
        <v>2888.4</v>
      </c>
      <c r="X16" s="49">
        <f t="shared" si="5"/>
        <v>3404.8076923076924</v>
      </c>
      <c r="Y16" s="48">
        <v>1.2203999999999999</v>
      </c>
    </row>
    <row r="17" spans="2:25" x14ac:dyDescent="0.2">
      <c r="B17" s="47">
        <v>44694</v>
      </c>
      <c r="C17" s="46">
        <v>3498</v>
      </c>
      <c r="D17" s="45">
        <v>3500</v>
      </c>
      <c r="E17" s="44">
        <f t="shared" si="0"/>
        <v>3499</v>
      </c>
      <c r="F17" s="46">
        <v>3490</v>
      </c>
      <c r="G17" s="45">
        <v>3492</v>
      </c>
      <c r="H17" s="44">
        <f t="shared" si="1"/>
        <v>3491</v>
      </c>
      <c r="I17" s="46">
        <v>3135</v>
      </c>
      <c r="J17" s="45">
        <v>3140</v>
      </c>
      <c r="K17" s="44">
        <f t="shared" si="2"/>
        <v>3137.5</v>
      </c>
      <c r="L17" s="46">
        <v>2895</v>
      </c>
      <c r="M17" s="45">
        <v>2900</v>
      </c>
      <c r="N17" s="44">
        <f t="shared" si="3"/>
        <v>2897.5</v>
      </c>
      <c r="O17" s="46">
        <v>2495</v>
      </c>
      <c r="P17" s="45">
        <v>2500</v>
      </c>
      <c r="Q17" s="44">
        <f t="shared" si="4"/>
        <v>2497.5</v>
      </c>
      <c r="R17" s="52">
        <v>3500</v>
      </c>
      <c r="S17" s="51">
        <v>1.2192000000000001</v>
      </c>
      <c r="T17" s="51">
        <v>1.0383</v>
      </c>
      <c r="U17" s="50">
        <v>129.06</v>
      </c>
      <c r="V17" s="43">
        <v>2870.73</v>
      </c>
      <c r="W17" s="43">
        <v>2862.06</v>
      </c>
      <c r="X17" s="49">
        <f t="shared" si="5"/>
        <v>3370.8947317730908</v>
      </c>
      <c r="Y17" s="48">
        <v>1.2201</v>
      </c>
    </row>
    <row r="18" spans="2:25" x14ac:dyDescent="0.2">
      <c r="B18" s="47">
        <v>44697</v>
      </c>
      <c r="C18" s="46">
        <v>3583</v>
      </c>
      <c r="D18" s="45">
        <v>3583.5</v>
      </c>
      <c r="E18" s="44">
        <f t="shared" si="0"/>
        <v>3583.25</v>
      </c>
      <c r="F18" s="46">
        <v>3576</v>
      </c>
      <c r="G18" s="45">
        <v>3578</v>
      </c>
      <c r="H18" s="44">
        <f t="shared" si="1"/>
        <v>3577</v>
      </c>
      <c r="I18" s="46">
        <v>3227</v>
      </c>
      <c r="J18" s="45">
        <v>3232</v>
      </c>
      <c r="K18" s="44">
        <f t="shared" si="2"/>
        <v>3229.5</v>
      </c>
      <c r="L18" s="46">
        <v>2985</v>
      </c>
      <c r="M18" s="45">
        <v>2990</v>
      </c>
      <c r="N18" s="44">
        <f t="shared" si="3"/>
        <v>2987.5</v>
      </c>
      <c r="O18" s="46">
        <v>2635</v>
      </c>
      <c r="P18" s="45">
        <v>2640</v>
      </c>
      <c r="Q18" s="44">
        <f t="shared" si="4"/>
        <v>2637.5</v>
      </c>
      <c r="R18" s="52">
        <v>3583.5</v>
      </c>
      <c r="S18" s="51">
        <v>1.2259</v>
      </c>
      <c r="T18" s="51">
        <v>1.0419</v>
      </c>
      <c r="U18" s="50">
        <v>129.49</v>
      </c>
      <c r="V18" s="43">
        <v>2923.16</v>
      </c>
      <c r="W18" s="43">
        <v>2918.67</v>
      </c>
      <c r="X18" s="49">
        <f t="shared" si="5"/>
        <v>3439.3895767348113</v>
      </c>
      <c r="Y18" s="48">
        <v>1.2259</v>
      </c>
    </row>
    <row r="19" spans="2:25" x14ac:dyDescent="0.2">
      <c r="B19" s="47">
        <v>44698</v>
      </c>
      <c r="C19" s="46">
        <v>3685</v>
      </c>
      <c r="D19" s="45">
        <v>3687</v>
      </c>
      <c r="E19" s="44">
        <f t="shared" si="0"/>
        <v>3686</v>
      </c>
      <c r="F19" s="46">
        <v>3682</v>
      </c>
      <c r="G19" s="45">
        <v>3683</v>
      </c>
      <c r="H19" s="44">
        <f t="shared" si="1"/>
        <v>3682.5</v>
      </c>
      <c r="I19" s="46">
        <v>3333</v>
      </c>
      <c r="J19" s="45">
        <v>3338</v>
      </c>
      <c r="K19" s="44">
        <f t="shared" si="2"/>
        <v>3335.5</v>
      </c>
      <c r="L19" s="46">
        <v>3092</v>
      </c>
      <c r="M19" s="45">
        <v>3097</v>
      </c>
      <c r="N19" s="44">
        <f t="shared" si="3"/>
        <v>3094.5</v>
      </c>
      <c r="O19" s="46">
        <v>2742</v>
      </c>
      <c r="P19" s="45">
        <v>2747</v>
      </c>
      <c r="Q19" s="44">
        <f t="shared" si="4"/>
        <v>2744.5</v>
      </c>
      <c r="R19" s="52">
        <v>3687</v>
      </c>
      <c r="S19" s="51">
        <v>1.2484</v>
      </c>
      <c r="T19" s="51">
        <v>1.0539000000000001</v>
      </c>
      <c r="U19" s="50">
        <v>129.33000000000001</v>
      </c>
      <c r="V19" s="43">
        <v>2953.38</v>
      </c>
      <c r="W19" s="43">
        <v>2948.29</v>
      </c>
      <c r="X19" s="49">
        <f t="shared" si="5"/>
        <v>3498.4343865641899</v>
      </c>
      <c r="Y19" s="48">
        <v>1.2492000000000001</v>
      </c>
    </row>
    <row r="20" spans="2:25" x14ac:dyDescent="0.2">
      <c r="B20" s="47">
        <v>44699</v>
      </c>
      <c r="C20" s="46">
        <v>3645.5</v>
      </c>
      <c r="D20" s="45">
        <v>3646.5</v>
      </c>
      <c r="E20" s="44">
        <f t="shared" si="0"/>
        <v>3646</v>
      </c>
      <c r="F20" s="46">
        <v>3633</v>
      </c>
      <c r="G20" s="45">
        <v>3635</v>
      </c>
      <c r="H20" s="44">
        <f t="shared" si="1"/>
        <v>3634</v>
      </c>
      <c r="I20" s="46">
        <v>3275</v>
      </c>
      <c r="J20" s="45">
        <v>3280</v>
      </c>
      <c r="K20" s="44">
        <f t="shared" si="2"/>
        <v>3277.5</v>
      </c>
      <c r="L20" s="46">
        <v>3018</v>
      </c>
      <c r="M20" s="45">
        <v>3023</v>
      </c>
      <c r="N20" s="44">
        <f t="shared" si="3"/>
        <v>3020.5</v>
      </c>
      <c r="O20" s="46">
        <v>2668</v>
      </c>
      <c r="P20" s="45">
        <v>2673</v>
      </c>
      <c r="Q20" s="44">
        <f t="shared" si="4"/>
        <v>2670.5</v>
      </c>
      <c r="R20" s="52">
        <v>3646.5</v>
      </c>
      <c r="S20" s="51">
        <v>1.242</v>
      </c>
      <c r="T20" s="51">
        <v>1.0509999999999999</v>
      </c>
      <c r="U20" s="50">
        <v>129.11000000000001</v>
      </c>
      <c r="V20" s="43">
        <v>2935.99</v>
      </c>
      <c r="W20" s="43">
        <v>2925.08</v>
      </c>
      <c r="X20" s="49">
        <f t="shared" si="5"/>
        <v>3469.5528068506187</v>
      </c>
      <c r="Y20" s="48">
        <v>1.2426999999999999</v>
      </c>
    </row>
    <row r="21" spans="2:25" x14ac:dyDescent="0.2">
      <c r="B21" s="47">
        <v>44700</v>
      </c>
      <c r="C21" s="46">
        <v>3647</v>
      </c>
      <c r="D21" s="45">
        <v>3647.5</v>
      </c>
      <c r="E21" s="44">
        <f t="shared" si="0"/>
        <v>3647.25</v>
      </c>
      <c r="F21" s="46">
        <v>3635</v>
      </c>
      <c r="G21" s="45">
        <v>3636</v>
      </c>
      <c r="H21" s="44">
        <f t="shared" si="1"/>
        <v>3635.5</v>
      </c>
      <c r="I21" s="46">
        <v>3293</v>
      </c>
      <c r="J21" s="45">
        <v>3298</v>
      </c>
      <c r="K21" s="44">
        <f t="shared" si="2"/>
        <v>3295.5</v>
      </c>
      <c r="L21" s="46">
        <v>3058</v>
      </c>
      <c r="M21" s="45">
        <v>3063</v>
      </c>
      <c r="N21" s="44">
        <f t="shared" si="3"/>
        <v>3060.5</v>
      </c>
      <c r="O21" s="46">
        <v>2708</v>
      </c>
      <c r="P21" s="45">
        <v>2713</v>
      </c>
      <c r="Q21" s="44">
        <f t="shared" si="4"/>
        <v>2710.5</v>
      </c>
      <c r="R21" s="52">
        <v>3647.5</v>
      </c>
      <c r="S21" s="51">
        <v>1.2432000000000001</v>
      </c>
      <c r="T21" s="51">
        <v>1.0518000000000001</v>
      </c>
      <c r="U21" s="50">
        <v>127.94</v>
      </c>
      <c r="V21" s="43">
        <v>2933.96</v>
      </c>
      <c r="W21" s="43">
        <v>2922.83</v>
      </c>
      <c r="X21" s="49">
        <f t="shared" si="5"/>
        <v>3467.8646130443049</v>
      </c>
      <c r="Y21" s="48">
        <v>1.244</v>
      </c>
    </row>
    <row r="22" spans="2:25" x14ac:dyDescent="0.2">
      <c r="B22" s="47">
        <v>44701</v>
      </c>
      <c r="C22" s="46">
        <v>3753</v>
      </c>
      <c r="D22" s="45">
        <v>3755</v>
      </c>
      <c r="E22" s="44">
        <f t="shared" si="0"/>
        <v>3754</v>
      </c>
      <c r="F22" s="46">
        <v>3738</v>
      </c>
      <c r="G22" s="45">
        <v>3740</v>
      </c>
      <c r="H22" s="44">
        <f t="shared" si="1"/>
        <v>3739</v>
      </c>
      <c r="I22" s="46">
        <v>3362</v>
      </c>
      <c r="J22" s="45">
        <v>3367</v>
      </c>
      <c r="K22" s="44">
        <f t="shared" si="2"/>
        <v>3364.5</v>
      </c>
      <c r="L22" s="46">
        <v>3120</v>
      </c>
      <c r="M22" s="45">
        <v>3125</v>
      </c>
      <c r="N22" s="44">
        <f t="shared" si="3"/>
        <v>3122.5</v>
      </c>
      <c r="O22" s="46">
        <v>2770</v>
      </c>
      <c r="P22" s="45">
        <v>2775</v>
      </c>
      <c r="Q22" s="44">
        <f t="shared" si="4"/>
        <v>2772.5</v>
      </c>
      <c r="R22" s="52">
        <v>3755</v>
      </c>
      <c r="S22" s="51">
        <v>1.2468999999999999</v>
      </c>
      <c r="T22" s="51">
        <v>1.0567</v>
      </c>
      <c r="U22" s="50">
        <v>128.06</v>
      </c>
      <c r="V22" s="43">
        <v>3011.47</v>
      </c>
      <c r="W22" s="43">
        <v>2997.52</v>
      </c>
      <c r="X22" s="49">
        <f t="shared" si="5"/>
        <v>3553.5156619664995</v>
      </c>
      <c r="Y22" s="48">
        <v>1.2477</v>
      </c>
    </row>
    <row r="23" spans="2:25" x14ac:dyDescent="0.2">
      <c r="B23" s="47">
        <v>44704</v>
      </c>
      <c r="C23" s="46">
        <v>3775</v>
      </c>
      <c r="D23" s="45">
        <v>3777</v>
      </c>
      <c r="E23" s="44">
        <f t="shared" si="0"/>
        <v>3776</v>
      </c>
      <c r="F23" s="46">
        <v>3758</v>
      </c>
      <c r="G23" s="45">
        <v>3760</v>
      </c>
      <c r="H23" s="44">
        <f t="shared" si="1"/>
        <v>3759</v>
      </c>
      <c r="I23" s="46">
        <v>3345</v>
      </c>
      <c r="J23" s="45">
        <v>3350</v>
      </c>
      <c r="K23" s="44">
        <f t="shared" si="2"/>
        <v>3347.5</v>
      </c>
      <c r="L23" s="46">
        <v>3095</v>
      </c>
      <c r="M23" s="45">
        <v>3100</v>
      </c>
      <c r="N23" s="44">
        <f t="shared" si="3"/>
        <v>3097.5</v>
      </c>
      <c r="O23" s="46">
        <v>2745</v>
      </c>
      <c r="P23" s="45">
        <v>2750</v>
      </c>
      <c r="Q23" s="44">
        <f t="shared" si="4"/>
        <v>2747.5</v>
      </c>
      <c r="R23" s="52">
        <v>3777</v>
      </c>
      <c r="S23" s="51">
        <v>1.2576000000000001</v>
      </c>
      <c r="T23" s="51">
        <v>1.0657000000000001</v>
      </c>
      <c r="U23" s="50">
        <v>127.62</v>
      </c>
      <c r="V23" s="43">
        <v>3003.34</v>
      </c>
      <c r="W23" s="43">
        <v>2987.92</v>
      </c>
      <c r="X23" s="49">
        <f t="shared" si="5"/>
        <v>3544.1493853805009</v>
      </c>
      <c r="Y23" s="48">
        <v>1.2584</v>
      </c>
    </row>
    <row r="24" spans="2:25" x14ac:dyDescent="0.2">
      <c r="B24" s="47">
        <v>44705</v>
      </c>
      <c r="C24" s="46">
        <v>3768</v>
      </c>
      <c r="D24" s="45">
        <v>3769</v>
      </c>
      <c r="E24" s="44">
        <f t="shared" si="0"/>
        <v>3768.5</v>
      </c>
      <c r="F24" s="46">
        <v>3754</v>
      </c>
      <c r="G24" s="45">
        <v>3756</v>
      </c>
      <c r="H24" s="44">
        <f t="shared" si="1"/>
        <v>3755</v>
      </c>
      <c r="I24" s="46">
        <v>3352</v>
      </c>
      <c r="J24" s="45">
        <v>3357</v>
      </c>
      <c r="K24" s="44">
        <f t="shared" si="2"/>
        <v>3354.5</v>
      </c>
      <c r="L24" s="46">
        <v>3095</v>
      </c>
      <c r="M24" s="45">
        <v>3100</v>
      </c>
      <c r="N24" s="44">
        <f t="shared" si="3"/>
        <v>3097.5</v>
      </c>
      <c r="O24" s="46">
        <v>2745</v>
      </c>
      <c r="P24" s="45">
        <v>2750</v>
      </c>
      <c r="Q24" s="44">
        <f t="shared" si="4"/>
        <v>2747.5</v>
      </c>
      <c r="R24" s="52">
        <v>3769</v>
      </c>
      <c r="S24" s="51">
        <v>1.2499</v>
      </c>
      <c r="T24" s="51">
        <v>1.0714999999999999</v>
      </c>
      <c r="U24" s="50">
        <v>127.4</v>
      </c>
      <c r="V24" s="43">
        <v>3015.44</v>
      </c>
      <c r="W24" s="43">
        <v>3002.64</v>
      </c>
      <c r="X24" s="49">
        <f t="shared" si="5"/>
        <v>3517.4988334111063</v>
      </c>
      <c r="Y24" s="48">
        <v>1.2508999999999999</v>
      </c>
    </row>
    <row r="25" spans="2:25" x14ac:dyDescent="0.2">
      <c r="B25" s="47">
        <v>44706</v>
      </c>
      <c r="C25" s="46">
        <v>3748</v>
      </c>
      <c r="D25" s="45">
        <v>3750</v>
      </c>
      <c r="E25" s="44">
        <f t="shared" si="0"/>
        <v>3749</v>
      </c>
      <c r="F25" s="46">
        <v>3731</v>
      </c>
      <c r="G25" s="45">
        <v>3733</v>
      </c>
      <c r="H25" s="44">
        <f t="shared" si="1"/>
        <v>3732</v>
      </c>
      <c r="I25" s="46">
        <v>3352</v>
      </c>
      <c r="J25" s="45">
        <v>3357</v>
      </c>
      <c r="K25" s="44">
        <f t="shared" si="2"/>
        <v>3354.5</v>
      </c>
      <c r="L25" s="46">
        <v>3092</v>
      </c>
      <c r="M25" s="45">
        <v>3097</v>
      </c>
      <c r="N25" s="44">
        <f t="shared" si="3"/>
        <v>3094.5</v>
      </c>
      <c r="O25" s="46">
        <v>2742</v>
      </c>
      <c r="P25" s="45">
        <v>2747</v>
      </c>
      <c r="Q25" s="44">
        <f t="shared" si="4"/>
        <v>2744.5</v>
      </c>
      <c r="R25" s="52">
        <v>3750</v>
      </c>
      <c r="S25" s="51">
        <v>1.2492000000000001</v>
      </c>
      <c r="T25" s="51">
        <v>1.0660000000000001</v>
      </c>
      <c r="U25" s="50">
        <v>126.98</v>
      </c>
      <c r="V25" s="43">
        <v>3001.92</v>
      </c>
      <c r="W25" s="43">
        <v>2985.92</v>
      </c>
      <c r="X25" s="49">
        <f t="shared" si="5"/>
        <v>3517.8236397748592</v>
      </c>
      <c r="Y25" s="48">
        <v>1.2502</v>
      </c>
    </row>
    <row r="26" spans="2:25" x14ac:dyDescent="0.2">
      <c r="B26" s="47">
        <v>44707</v>
      </c>
      <c r="C26" s="46">
        <v>3742</v>
      </c>
      <c r="D26" s="45">
        <v>3744</v>
      </c>
      <c r="E26" s="44">
        <f t="shared" si="0"/>
        <v>3743</v>
      </c>
      <c r="F26" s="46">
        <v>3736</v>
      </c>
      <c r="G26" s="45">
        <v>3736.5</v>
      </c>
      <c r="H26" s="44">
        <f t="shared" si="1"/>
        <v>3736.25</v>
      </c>
      <c r="I26" s="46">
        <v>3380</v>
      </c>
      <c r="J26" s="45">
        <v>3385</v>
      </c>
      <c r="K26" s="44">
        <f t="shared" si="2"/>
        <v>3382.5</v>
      </c>
      <c r="L26" s="46">
        <v>3110</v>
      </c>
      <c r="M26" s="45">
        <v>3115</v>
      </c>
      <c r="N26" s="44">
        <f t="shared" si="3"/>
        <v>3112.5</v>
      </c>
      <c r="O26" s="46">
        <v>2760</v>
      </c>
      <c r="P26" s="45">
        <v>2765</v>
      </c>
      <c r="Q26" s="44">
        <f t="shared" si="4"/>
        <v>2762.5</v>
      </c>
      <c r="R26" s="52">
        <v>3744</v>
      </c>
      <c r="S26" s="51">
        <v>1.2596000000000001</v>
      </c>
      <c r="T26" s="51">
        <v>1.0706</v>
      </c>
      <c r="U26" s="50">
        <v>127.04</v>
      </c>
      <c r="V26" s="43">
        <v>2972.37</v>
      </c>
      <c r="W26" s="43">
        <v>2964.06</v>
      </c>
      <c r="X26" s="49">
        <f t="shared" si="5"/>
        <v>3497.1044274238743</v>
      </c>
      <c r="Y26" s="48">
        <v>1.2605999999999999</v>
      </c>
    </row>
    <row r="27" spans="2:25" x14ac:dyDescent="0.2">
      <c r="B27" s="47">
        <v>44708</v>
      </c>
      <c r="C27" s="46">
        <v>3813</v>
      </c>
      <c r="D27" s="45">
        <v>3815</v>
      </c>
      <c r="E27" s="44">
        <f t="shared" si="0"/>
        <v>3814</v>
      </c>
      <c r="F27" s="46">
        <v>3785</v>
      </c>
      <c r="G27" s="45">
        <v>3786</v>
      </c>
      <c r="H27" s="44">
        <f t="shared" si="1"/>
        <v>3785.5</v>
      </c>
      <c r="I27" s="46">
        <v>3425</v>
      </c>
      <c r="J27" s="45">
        <v>3430</v>
      </c>
      <c r="K27" s="44">
        <f t="shared" si="2"/>
        <v>3427.5</v>
      </c>
      <c r="L27" s="46">
        <v>3145</v>
      </c>
      <c r="M27" s="45">
        <v>3150</v>
      </c>
      <c r="N27" s="44">
        <f t="shared" si="3"/>
        <v>3147.5</v>
      </c>
      <c r="O27" s="46">
        <v>2795</v>
      </c>
      <c r="P27" s="45">
        <v>2800</v>
      </c>
      <c r="Q27" s="44">
        <f t="shared" si="4"/>
        <v>2797.5</v>
      </c>
      <c r="R27" s="52">
        <v>3815</v>
      </c>
      <c r="S27" s="51">
        <v>1.2618</v>
      </c>
      <c r="T27" s="51">
        <v>1.0707</v>
      </c>
      <c r="U27" s="50">
        <v>126.92</v>
      </c>
      <c r="V27" s="43">
        <v>3023.46</v>
      </c>
      <c r="W27" s="43">
        <v>2998.34</v>
      </c>
      <c r="X27" s="49">
        <f t="shared" si="5"/>
        <v>3563.089567572616</v>
      </c>
      <c r="Y27" s="48">
        <v>1.2626999999999999</v>
      </c>
    </row>
    <row r="28" spans="2:25" x14ac:dyDescent="0.2">
      <c r="B28" s="47">
        <v>44711</v>
      </c>
      <c r="C28" s="46">
        <v>3974</v>
      </c>
      <c r="D28" s="45">
        <v>3976</v>
      </c>
      <c r="E28" s="44">
        <f t="shared" si="0"/>
        <v>3975</v>
      </c>
      <c r="F28" s="46">
        <v>3948</v>
      </c>
      <c r="G28" s="45">
        <v>3950</v>
      </c>
      <c r="H28" s="44">
        <f t="shared" si="1"/>
        <v>3949</v>
      </c>
      <c r="I28" s="46">
        <v>3528</v>
      </c>
      <c r="J28" s="45">
        <v>3533</v>
      </c>
      <c r="K28" s="44">
        <f t="shared" si="2"/>
        <v>3530.5</v>
      </c>
      <c r="L28" s="46">
        <v>3238</v>
      </c>
      <c r="M28" s="45">
        <v>3243</v>
      </c>
      <c r="N28" s="44">
        <f t="shared" si="3"/>
        <v>3240.5</v>
      </c>
      <c r="O28" s="46">
        <v>2888</v>
      </c>
      <c r="P28" s="45">
        <v>2893</v>
      </c>
      <c r="Q28" s="44">
        <f t="shared" si="4"/>
        <v>2890.5</v>
      </c>
      <c r="R28" s="52">
        <v>3976</v>
      </c>
      <c r="S28" s="51">
        <v>1.264</v>
      </c>
      <c r="T28" s="51">
        <v>1.0767</v>
      </c>
      <c r="U28" s="50">
        <v>127.43</v>
      </c>
      <c r="V28" s="43">
        <v>3145.57</v>
      </c>
      <c r="W28" s="43">
        <v>3123.02</v>
      </c>
      <c r="X28" s="49">
        <f t="shared" si="5"/>
        <v>3692.7649298783322</v>
      </c>
      <c r="Y28" s="48">
        <v>1.2647999999999999</v>
      </c>
    </row>
    <row r="29" spans="2:25" x14ac:dyDescent="0.2">
      <c r="B29" s="47">
        <v>44712</v>
      </c>
      <c r="C29" s="46">
        <v>3976</v>
      </c>
      <c r="D29" s="45">
        <v>3978</v>
      </c>
      <c r="E29" s="44">
        <f t="shared" si="0"/>
        <v>3977</v>
      </c>
      <c r="F29" s="46">
        <v>3950</v>
      </c>
      <c r="G29" s="45">
        <v>3952</v>
      </c>
      <c r="H29" s="44">
        <f t="shared" si="1"/>
        <v>3951</v>
      </c>
      <c r="I29" s="46">
        <v>3532</v>
      </c>
      <c r="J29" s="45">
        <v>3537</v>
      </c>
      <c r="K29" s="44">
        <f t="shared" si="2"/>
        <v>3534.5</v>
      </c>
      <c r="L29" s="46">
        <v>3242</v>
      </c>
      <c r="M29" s="45">
        <v>3247</v>
      </c>
      <c r="N29" s="44">
        <f t="shared" si="3"/>
        <v>3244.5</v>
      </c>
      <c r="O29" s="46">
        <v>2892</v>
      </c>
      <c r="P29" s="45">
        <v>2897</v>
      </c>
      <c r="Q29" s="44">
        <f t="shared" si="4"/>
        <v>2894.5</v>
      </c>
      <c r="R29" s="52">
        <v>3978</v>
      </c>
      <c r="S29" s="51">
        <v>1.2588999999999999</v>
      </c>
      <c r="T29" s="51">
        <v>1.0712999999999999</v>
      </c>
      <c r="U29" s="50">
        <v>128.19</v>
      </c>
      <c r="V29" s="43">
        <v>3159.9</v>
      </c>
      <c r="W29" s="43">
        <v>3137.01</v>
      </c>
      <c r="X29" s="49">
        <f t="shared" si="5"/>
        <v>3713.2455894707368</v>
      </c>
      <c r="Y29" s="48">
        <v>1.2598</v>
      </c>
    </row>
    <row r="30" spans="2:25" s="10" customFormat="1" x14ac:dyDescent="0.2">
      <c r="B30" s="42" t="s">
        <v>11</v>
      </c>
      <c r="C30" s="41">
        <f>ROUND(AVERAGE(C9:C29),2)</f>
        <v>3758.1</v>
      </c>
      <c r="D30" s="40">
        <f>ROUND(AVERAGE(D9:D29),2)</f>
        <v>3759.45</v>
      </c>
      <c r="E30" s="39">
        <f>ROUND(AVERAGE(C30:D30),2)</f>
        <v>3758.78</v>
      </c>
      <c r="F30" s="41">
        <f>ROUND(AVERAGE(F9:F29),2)</f>
        <v>3740.05</v>
      </c>
      <c r="G30" s="40">
        <f>ROUND(AVERAGE(G9:G29),2)</f>
        <v>3741.69</v>
      </c>
      <c r="H30" s="39">
        <f>ROUND(AVERAGE(F30:G30),2)</f>
        <v>3740.87</v>
      </c>
      <c r="I30" s="41">
        <f>ROUND(AVERAGE(I9:I29),2)</f>
        <v>3342.33</v>
      </c>
      <c r="J30" s="40">
        <f>ROUND(AVERAGE(J9:J29),2)</f>
        <v>3347.33</v>
      </c>
      <c r="K30" s="39">
        <f>ROUND(AVERAGE(I30:J30),2)</f>
        <v>3344.83</v>
      </c>
      <c r="L30" s="41">
        <f>ROUND(AVERAGE(L9:L29),2)</f>
        <v>3068.9</v>
      </c>
      <c r="M30" s="40">
        <f>ROUND(AVERAGE(M9:M29),2)</f>
        <v>3073.9</v>
      </c>
      <c r="N30" s="39">
        <f>ROUND(AVERAGE(L30:M30),2)</f>
        <v>3071.4</v>
      </c>
      <c r="O30" s="41">
        <f>ROUND(AVERAGE(O9:O29),2)</f>
        <v>2687.95</v>
      </c>
      <c r="P30" s="40">
        <f>ROUND(AVERAGE(P9:P29),2)</f>
        <v>2692.95</v>
      </c>
      <c r="Q30" s="39">
        <f>ROUND(AVERAGE(O30:P30),2)</f>
        <v>2690.45</v>
      </c>
      <c r="R30" s="38">
        <f>ROUND(AVERAGE(R9:R29),2)</f>
        <v>3759.45</v>
      </c>
      <c r="S30" s="37">
        <f>ROUND(AVERAGE(S9:S29),4)</f>
        <v>1.2443</v>
      </c>
      <c r="T30" s="36">
        <f>ROUND(AVERAGE(T9:T29),4)</f>
        <v>1.0576000000000001</v>
      </c>
      <c r="U30" s="175">
        <f>ROUND(AVERAGE(U9:U29),2)</f>
        <v>128.78</v>
      </c>
      <c r="V30" s="35">
        <f>AVERAGE(V9:V29)</f>
        <v>3020.8271428571425</v>
      </c>
      <c r="W30" s="35">
        <f>AVERAGE(W9:W29)</f>
        <v>3004.7380952380954</v>
      </c>
      <c r="X30" s="35">
        <f>AVERAGE(X9:X29)</f>
        <v>3554.3368854100868</v>
      </c>
      <c r="Y30" s="34">
        <f>AVERAGE(Y9:Y29)</f>
        <v>1.2450476190476192</v>
      </c>
    </row>
    <row r="31" spans="2:25" s="5" customFormat="1" x14ac:dyDescent="0.2">
      <c r="B31" s="33" t="s">
        <v>12</v>
      </c>
      <c r="C31" s="32">
        <f t="shared" ref="C31:Y31" si="6">MAX(C9:C29)</f>
        <v>4044</v>
      </c>
      <c r="D31" s="31">
        <f t="shared" si="6"/>
        <v>4045</v>
      </c>
      <c r="E31" s="30">
        <f t="shared" si="6"/>
        <v>4044.5</v>
      </c>
      <c r="F31" s="32">
        <f t="shared" si="6"/>
        <v>3991</v>
      </c>
      <c r="G31" s="31">
        <f t="shared" si="6"/>
        <v>3993</v>
      </c>
      <c r="H31" s="30">
        <f t="shared" si="6"/>
        <v>3992</v>
      </c>
      <c r="I31" s="32">
        <f t="shared" si="6"/>
        <v>3532</v>
      </c>
      <c r="J31" s="31">
        <f t="shared" si="6"/>
        <v>3537</v>
      </c>
      <c r="K31" s="30">
        <f t="shared" si="6"/>
        <v>3534.5</v>
      </c>
      <c r="L31" s="32">
        <f t="shared" si="6"/>
        <v>3242</v>
      </c>
      <c r="M31" s="31">
        <f t="shared" si="6"/>
        <v>3247</v>
      </c>
      <c r="N31" s="30">
        <f t="shared" si="6"/>
        <v>3244.5</v>
      </c>
      <c r="O31" s="32">
        <f t="shared" si="6"/>
        <v>2892</v>
      </c>
      <c r="P31" s="31">
        <f t="shared" si="6"/>
        <v>2897</v>
      </c>
      <c r="Q31" s="30">
        <f t="shared" si="6"/>
        <v>2894.5</v>
      </c>
      <c r="R31" s="29">
        <f t="shared" si="6"/>
        <v>4045</v>
      </c>
      <c r="S31" s="28">
        <f t="shared" si="6"/>
        <v>1.264</v>
      </c>
      <c r="T31" s="27">
        <f t="shared" si="6"/>
        <v>1.0767</v>
      </c>
      <c r="U31" s="26">
        <f t="shared" si="6"/>
        <v>131.03</v>
      </c>
      <c r="V31" s="25">
        <f t="shared" si="6"/>
        <v>3227.74</v>
      </c>
      <c r="W31" s="25">
        <f t="shared" si="6"/>
        <v>3194.13</v>
      </c>
      <c r="X31" s="25">
        <f t="shared" si="6"/>
        <v>3838.4892769026378</v>
      </c>
      <c r="Y31" s="24">
        <f t="shared" si="6"/>
        <v>1.2647999999999999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3498</v>
      </c>
      <c r="D32" s="21">
        <f t="shared" si="7"/>
        <v>3500</v>
      </c>
      <c r="E32" s="20">
        <f t="shared" si="7"/>
        <v>3499</v>
      </c>
      <c r="F32" s="22">
        <f t="shared" si="7"/>
        <v>3490</v>
      </c>
      <c r="G32" s="21">
        <f t="shared" si="7"/>
        <v>3492</v>
      </c>
      <c r="H32" s="20">
        <f t="shared" si="7"/>
        <v>3491</v>
      </c>
      <c r="I32" s="22">
        <f t="shared" si="7"/>
        <v>3135</v>
      </c>
      <c r="J32" s="21">
        <f t="shared" si="7"/>
        <v>3140</v>
      </c>
      <c r="K32" s="20">
        <f t="shared" si="7"/>
        <v>3137.5</v>
      </c>
      <c r="L32" s="22">
        <f t="shared" si="7"/>
        <v>2895</v>
      </c>
      <c r="M32" s="21">
        <f t="shared" si="7"/>
        <v>2900</v>
      </c>
      <c r="N32" s="20">
        <f t="shared" si="7"/>
        <v>2897.5</v>
      </c>
      <c r="O32" s="22">
        <f t="shared" si="7"/>
        <v>2495</v>
      </c>
      <c r="P32" s="21">
        <f t="shared" si="7"/>
        <v>2500</v>
      </c>
      <c r="Q32" s="20">
        <f t="shared" si="7"/>
        <v>2497.5</v>
      </c>
      <c r="R32" s="19">
        <f t="shared" si="7"/>
        <v>3500</v>
      </c>
      <c r="S32" s="18">
        <f t="shared" si="7"/>
        <v>1.2192000000000001</v>
      </c>
      <c r="T32" s="17">
        <f t="shared" si="7"/>
        <v>1.0383</v>
      </c>
      <c r="U32" s="16">
        <f t="shared" si="7"/>
        <v>126.92</v>
      </c>
      <c r="V32" s="15">
        <f t="shared" si="7"/>
        <v>2870.73</v>
      </c>
      <c r="W32" s="15">
        <f t="shared" si="7"/>
        <v>2862.06</v>
      </c>
      <c r="X32" s="15">
        <f t="shared" si="7"/>
        <v>3370.8947317730908</v>
      </c>
      <c r="Y32" s="14">
        <f t="shared" si="7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44684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44684</v>
      </c>
      <c r="C9" s="46">
        <v>2267</v>
      </c>
      <c r="D9" s="45">
        <v>2268</v>
      </c>
      <c r="E9" s="44">
        <f t="shared" ref="E9:E29" si="0">AVERAGE(C9:D9)</f>
        <v>2267.5</v>
      </c>
      <c r="F9" s="46">
        <v>2260</v>
      </c>
      <c r="G9" s="45">
        <v>2262</v>
      </c>
      <c r="H9" s="44">
        <f t="shared" ref="H9:H29" si="1">AVERAGE(F9:G9)</f>
        <v>2261</v>
      </c>
      <c r="I9" s="46">
        <v>2218</v>
      </c>
      <c r="J9" s="45">
        <v>2223</v>
      </c>
      <c r="K9" s="44">
        <f t="shared" ref="K9:K29" si="2">AVERAGE(I9:J9)</f>
        <v>2220.5</v>
      </c>
      <c r="L9" s="46">
        <v>2170</v>
      </c>
      <c r="M9" s="45">
        <v>2175</v>
      </c>
      <c r="N9" s="44">
        <f t="shared" ref="N9:N29" si="3">AVERAGE(L9:M9)</f>
        <v>2172.5</v>
      </c>
      <c r="O9" s="46">
        <v>2170</v>
      </c>
      <c r="P9" s="45">
        <v>2175</v>
      </c>
      <c r="Q9" s="44">
        <f t="shared" ref="Q9:Q29" si="4">AVERAGE(O9:P9)</f>
        <v>2172.5</v>
      </c>
      <c r="R9" s="52">
        <v>2268</v>
      </c>
      <c r="S9" s="51">
        <v>1.2532000000000001</v>
      </c>
      <c r="T9" s="53">
        <v>1.0538000000000001</v>
      </c>
      <c r="U9" s="50">
        <v>129.91999999999999</v>
      </c>
      <c r="V9" s="43">
        <v>1809.77</v>
      </c>
      <c r="W9" s="43">
        <v>1804.26</v>
      </c>
      <c r="X9" s="49">
        <f t="shared" ref="X9:X29" si="5">R9/T9</f>
        <v>2152.2110457392291</v>
      </c>
      <c r="Y9" s="48">
        <v>1.2537</v>
      </c>
    </row>
    <row r="10" spans="1:25" x14ac:dyDescent="0.2">
      <c r="B10" s="47">
        <v>44685</v>
      </c>
      <c r="C10" s="46">
        <v>2273</v>
      </c>
      <c r="D10" s="45">
        <v>2275</v>
      </c>
      <c r="E10" s="44">
        <f t="shared" si="0"/>
        <v>2274</v>
      </c>
      <c r="F10" s="46">
        <v>2270</v>
      </c>
      <c r="G10" s="45">
        <v>2272</v>
      </c>
      <c r="H10" s="44">
        <f t="shared" si="1"/>
        <v>2271</v>
      </c>
      <c r="I10" s="46">
        <v>2215</v>
      </c>
      <c r="J10" s="45">
        <v>2220</v>
      </c>
      <c r="K10" s="44">
        <f t="shared" si="2"/>
        <v>2217.5</v>
      </c>
      <c r="L10" s="46">
        <v>2167</v>
      </c>
      <c r="M10" s="45">
        <v>2172</v>
      </c>
      <c r="N10" s="44">
        <f t="shared" si="3"/>
        <v>2169.5</v>
      </c>
      <c r="O10" s="46">
        <v>2167</v>
      </c>
      <c r="P10" s="45">
        <v>2172</v>
      </c>
      <c r="Q10" s="44">
        <f t="shared" si="4"/>
        <v>2169.5</v>
      </c>
      <c r="R10" s="52">
        <v>2275</v>
      </c>
      <c r="S10" s="51">
        <v>1.2511000000000001</v>
      </c>
      <c r="T10" s="51">
        <v>1.0530999999999999</v>
      </c>
      <c r="U10" s="50">
        <v>129.96</v>
      </c>
      <c r="V10" s="43">
        <v>1818.4</v>
      </c>
      <c r="W10" s="43">
        <v>1814.99</v>
      </c>
      <c r="X10" s="49">
        <f t="shared" si="5"/>
        <v>2160.2886715411641</v>
      </c>
      <c r="Y10" s="48">
        <v>1.2518</v>
      </c>
    </row>
    <row r="11" spans="1:25" x14ac:dyDescent="0.2">
      <c r="B11" s="47">
        <v>44686</v>
      </c>
      <c r="C11" s="46">
        <v>2303</v>
      </c>
      <c r="D11" s="45">
        <v>2305</v>
      </c>
      <c r="E11" s="44">
        <f t="shared" si="0"/>
        <v>2304</v>
      </c>
      <c r="F11" s="46">
        <v>2307</v>
      </c>
      <c r="G11" s="45">
        <v>2307.5</v>
      </c>
      <c r="H11" s="44">
        <f t="shared" si="1"/>
        <v>2307.25</v>
      </c>
      <c r="I11" s="46">
        <v>2258</v>
      </c>
      <c r="J11" s="45">
        <v>2263</v>
      </c>
      <c r="K11" s="44">
        <f t="shared" si="2"/>
        <v>2260.5</v>
      </c>
      <c r="L11" s="46">
        <v>2210</v>
      </c>
      <c r="M11" s="45">
        <v>2215</v>
      </c>
      <c r="N11" s="44">
        <f t="shared" si="3"/>
        <v>2212.5</v>
      </c>
      <c r="O11" s="46">
        <v>2210</v>
      </c>
      <c r="P11" s="45">
        <v>2215</v>
      </c>
      <c r="Q11" s="44">
        <f t="shared" si="4"/>
        <v>2212.5</v>
      </c>
      <c r="R11" s="52">
        <v>2305</v>
      </c>
      <c r="S11" s="51">
        <v>1.2396</v>
      </c>
      <c r="T11" s="51">
        <v>1.0548</v>
      </c>
      <c r="U11" s="50">
        <v>130</v>
      </c>
      <c r="V11" s="43">
        <v>1859.47</v>
      </c>
      <c r="W11" s="43">
        <v>1860.29</v>
      </c>
      <c r="X11" s="49">
        <f t="shared" si="5"/>
        <v>2185.2483883200607</v>
      </c>
      <c r="Y11" s="48">
        <v>1.2403999999999999</v>
      </c>
    </row>
    <row r="12" spans="1:25" x14ac:dyDescent="0.2">
      <c r="B12" s="47">
        <v>44687</v>
      </c>
      <c r="C12" s="46">
        <v>2230</v>
      </c>
      <c r="D12" s="45">
        <v>2231</v>
      </c>
      <c r="E12" s="44">
        <f t="shared" si="0"/>
        <v>2230.5</v>
      </c>
      <c r="F12" s="46">
        <v>2239</v>
      </c>
      <c r="G12" s="45">
        <v>2241</v>
      </c>
      <c r="H12" s="44">
        <f t="shared" si="1"/>
        <v>2240</v>
      </c>
      <c r="I12" s="46">
        <v>2193</v>
      </c>
      <c r="J12" s="45">
        <v>2198</v>
      </c>
      <c r="K12" s="44">
        <f t="shared" si="2"/>
        <v>2195.5</v>
      </c>
      <c r="L12" s="46">
        <v>2145</v>
      </c>
      <c r="M12" s="45">
        <v>2150</v>
      </c>
      <c r="N12" s="44">
        <f t="shared" si="3"/>
        <v>2147.5</v>
      </c>
      <c r="O12" s="46">
        <v>2145</v>
      </c>
      <c r="P12" s="45">
        <v>2150</v>
      </c>
      <c r="Q12" s="44">
        <f t="shared" si="4"/>
        <v>2147.5</v>
      </c>
      <c r="R12" s="52">
        <v>2231</v>
      </c>
      <c r="S12" s="51">
        <v>1.2336</v>
      </c>
      <c r="T12" s="51">
        <v>1.0566</v>
      </c>
      <c r="U12" s="50">
        <v>130.43</v>
      </c>
      <c r="V12" s="43">
        <v>1808.53</v>
      </c>
      <c r="W12" s="43">
        <v>1815.6</v>
      </c>
      <c r="X12" s="49">
        <f t="shared" si="5"/>
        <v>2111.4896838917284</v>
      </c>
      <c r="Y12" s="48">
        <v>1.2343</v>
      </c>
    </row>
    <row r="13" spans="1:25" x14ac:dyDescent="0.2">
      <c r="B13" s="47">
        <v>44690</v>
      </c>
      <c r="C13" s="46">
        <v>2127</v>
      </c>
      <c r="D13" s="45">
        <v>2129</v>
      </c>
      <c r="E13" s="44">
        <f t="shared" si="0"/>
        <v>2128</v>
      </c>
      <c r="F13" s="46">
        <v>2137.5</v>
      </c>
      <c r="G13" s="45">
        <v>2138.5</v>
      </c>
      <c r="H13" s="44">
        <f t="shared" si="1"/>
        <v>2138</v>
      </c>
      <c r="I13" s="46">
        <v>2097</v>
      </c>
      <c r="J13" s="45">
        <v>2102</v>
      </c>
      <c r="K13" s="44">
        <f t="shared" si="2"/>
        <v>2099.5</v>
      </c>
      <c r="L13" s="46">
        <v>2048</v>
      </c>
      <c r="M13" s="45">
        <v>2053</v>
      </c>
      <c r="N13" s="44">
        <f t="shared" si="3"/>
        <v>2050.5</v>
      </c>
      <c r="O13" s="46">
        <v>2048</v>
      </c>
      <c r="P13" s="45">
        <v>2053</v>
      </c>
      <c r="Q13" s="44">
        <f t="shared" si="4"/>
        <v>2050.5</v>
      </c>
      <c r="R13" s="52">
        <v>2129</v>
      </c>
      <c r="S13" s="51">
        <v>1.2366999999999999</v>
      </c>
      <c r="T13" s="51">
        <v>1.0547</v>
      </c>
      <c r="U13" s="50">
        <v>131.03</v>
      </c>
      <c r="V13" s="43">
        <v>1721.52</v>
      </c>
      <c r="W13" s="43">
        <v>1728.22</v>
      </c>
      <c r="X13" s="49">
        <f t="shared" si="5"/>
        <v>2018.583483455011</v>
      </c>
      <c r="Y13" s="48">
        <v>1.2374000000000001</v>
      </c>
    </row>
    <row r="14" spans="1:25" x14ac:dyDescent="0.2">
      <c r="B14" s="47">
        <v>44691</v>
      </c>
      <c r="C14" s="46">
        <v>2115</v>
      </c>
      <c r="D14" s="45">
        <v>2117</v>
      </c>
      <c r="E14" s="44">
        <f t="shared" si="0"/>
        <v>2116</v>
      </c>
      <c r="F14" s="46">
        <v>2126</v>
      </c>
      <c r="G14" s="45">
        <v>2127</v>
      </c>
      <c r="H14" s="44">
        <f t="shared" si="1"/>
        <v>2126.5</v>
      </c>
      <c r="I14" s="46">
        <v>2092</v>
      </c>
      <c r="J14" s="45">
        <v>2097</v>
      </c>
      <c r="K14" s="44">
        <f t="shared" si="2"/>
        <v>2094.5</v>
      </c>
      <c r="L14" s="46">
        <v>2043</v>
      </c>
      <c r="M14" s="45">
        <v>2048</v>
      </c>
      <c r="N14" s="44">
        <f t="shared" si="3"/>
        <v>2045.5</v>
      </c>
      <c r="O14" s="46">
        <v>2043</v>
      </c>
      <c r="P14" s="45">
        <v>2048</v>
      </c>
      <c r="Q14" s="44">
        <f t="shared" si="4"/>
        <v>2045.5</v>
      </c>
      <c r="R14" s="52">
        <v>2117</v>
      </c>
      <c r="S14" s="51">
        <v>1.2338</v>
      </c>
      <c r="T14" s="51">
        <v>1.0552999999999999</v>
      </c>
      <c r="U14" s="50">
        <v>130.08000000000001</v>
      </c>
      <c r="V14" s="43">
        <v>1715.84</v>
      </c>
      <c r="W14" s="43">
        <v>1722.96</v>
      </c>
      <c r="X14" s="49">
        <f t="shared" si="5"/>
        <v>2006.0646261726524</v>
      </c>
      <c r="Y14" s="48">
        <v>1.2344999999999999</v>
      </c>
    </row>
    <row r="15" spans="1:25" x14ac:dyDescent="0.2">
      <c r="B15" s="47">
        <v>44692</v>
      </c>
      <c r="C15" s="46">
        <v>2105</v>
      </c>
      <c r="D15" s="45">
        <v>2107</v>
      </c>
      <c r="E15" s="44">
        <f t="shared" si="0"/>
        <v>2106</v>
      </c>
      <c r="F15" s="46">
        <v>2115</v>
      </c>
      <c r="G15" s="45">
        <v>2117</v>
      </c>
      <c r="H15" s="44">
        <f t="shared" si="1"/>
        <v>2116</v>
      </c>
      <c r="I15" s="46">
        <v>2080</v>
      </c>
      <c r="J15" s="45">
        <v>2085</v>
      </c>
      <c r="K15" s="44">
        <f t="shared" si="2"/>
        <v>2082.5</v>
      </c>
      <c r="L15" s="46">
        <v>2033</v>
      </c>
      <c r="M15" s="45">
        <v>2038</v>
      </c>
      <c r="N15" s="44">
        <f t="shared" si="3"/>
        <v>2035.5</v>
      </c>
      <c r="O15" s="46">
        <v>2033</v>
      </c>
      <c r="P15" s="45">
        <v>2038</v>
      </c>
      <c r="Q15" s="44">
        <f t="shared" si="4"/>
        <v>2035.5</v>
      </c>
      <c r="R15" s="52">
        <v>2107</v>
      </c>
      <c r="S15" s="51">
        <v>1.2357</v>
      </c>
      <c r="T15" s="51">
        <v>1.0545</v>
      </c>
      <c r="U15" s="50">
        <v>129.82</v>
      </c>
      <c r="V15" s="43">
        <v>1705.11</v>
      </c>
      <c r="W15" s="43">
        <v>1712.09</v>
      </c>
      <c r="X15" s="49">
        <f t="shared" si="5"/>
        <v>1998.1033665244192</v>
      </c>
      <c r="Y15" s="48">
        <v>1.2364999999999999</v>
      </c>
    </row>
    <row r="16" spans="1:25" x14ac:dyDescent="0.2">
      <c r="B16" s="47">
        <v>44693</v>
      </c>
      <c r="C16" s="46">
        <v>2072.5</v>
      </c>
      <c r="D16" s="45">
        <v>2073</v>
      </c>
      <c r="E16" s="44">
        <f t="shared" si="0"/>
        <v>2072.75</v>
      </c>
      <c r="F16" s="46">
        <v>2078</v>
      </c>
      <c r="G16" s="45">
        <v>2080</v>
      </c>
      <c r="H16" s="44">
        <f t="shared" si="1"/>
        <v>2079</v>
      </c>
      <c r="I16" s="46">
        <v>2048</v>
      </c>
      <c r="J16" s="45">
        <v>2053</v>
      </c>
      <c r="K16" s="44">
        <f t="shared" si="2"/>
        <v>2050.5</v>
      </c>
      <c r="L16" s="46">
        <v>2000</v>
      </c>
      <c r="M16" s="45">
        <v>2005</v>
      </c>
      <c r="N16" s="44">
        <f t="shared" si="3"/>
        <v>2002.5</v>
      </c>
      <c r="O16" s="46">
        <v>2000</v>
      </c>
      <c r="P16" s="45">
        <v>2005</v>
      </c>
      <c r="Q16" s="44">
        <f t="shared" si="4"/>
        <v>2002.5</v>
      </c>
      <c r="R16" s="52">
        <v>2073</v>
      </c>
      <c r="S16" s="51">
        <v>1.2196</v>
      </c>
      <c r="T16" s="51">
        <v>1.04</v>
      </c>
      <c r="U16" s="50">
        <v>128.54</v>
      </c>
      <c r="V16" s="43">
        <v>1699.74</v>
      </c>
      <c r="W16" s="43">
        <v>1704.36</v>
      </c>
      <c r="X16" s="49">
        <f t="shared" si="5"/>
        <v>1993.2692307692307</v>
      </c>
      <c r="Y16" s="48">
        <v>1.2203999999999999</v>
      </c>
    </row>
    <row r="17" spans="2:25" x14ac:dyDescent="0.2">
      <c r="B17" s="47">
        <v>44694</v>
      </c>
      <c r="C17" s="46">
        <v>2063</v>
      </c>
      <c r="D17" s="45">
        <v>2064</v>
      </c>
      <c r="E17" s="44">
        <f t="shared" si="0"/>
        <v>2063.5</v>
      </c>
      <c r="F17" s="46">
        <v>2073</v>
      </c>
      <c r="G17" s="45">
        <v>2074</v>
      </c>
      <c r="H17" s="44">
        <f t="shared" si="1"/>
        <v>2073.5</v>
      </c>
      <c r="I17" s="46">
        <v>2050</v>
      </c>
      <c r="J17" s="45">
        <v>2055</v>
      </c>
      <c r="K17" s="44">
        <f t="shared" si="2"/>
        <v>2052.5</v>
      </c>
      <c r="L17" s="46">
        <v>2003</v>
      </c>
      <c r="M17" s="45">
        <v>2008</v>
      </c>
      <c r="N17" s="44">
        <f t="shared" si="3"/>
        <v>2005.5</v>
      </c>
      <c r="O17" s="46">
        <v>2003</v>
      </c>
      <c r="P17" s="45">
        <v>2008</v>
      </c>
      <c r="Q17" s="44">
        <f t="shared" si="4"/>
        <v>2005.5</v>
      </c>
      <c r="R17" s="52">
        <v>2064</v>
      </c>
      <c r="S17" s="51">
        <v>1.2192000000000001</v>
      </c>
      <c r="T17" s="51">
        <v>1.0383</v>
      </c>
      <c r="U17" s="50">
        <v>129.06</v>
      </c>
      <c r="V17" s="43">
        <v>1692.91</v>
      </c>
      <c r="W17" s="43">
        <v>1699.86</v>
      </c>
      <c r="X17" s="49">
        <f t="shared" si="5"/>
        <v>1987.8647789656168</v>
      </c>
      <c r="Y17" s="48">
        <v>1.2201</v>
      </c>
    </row>
    <row r="18" spans="2:25" x14ac:dyDescent="0.2">
      <c r="B18" s="47">
        <v>44697</v>
      </c>
      <c r="C18" s="46">
        <v>2093</v>
      </c>
      <c r="D18" s="45">
        <v>2094</v>
      </c>
      <c r="E18" s="44">
        <f t="shared" si="0"/>
        <v>2093.5</v>
      </c>
      <c r="F18" s="46">
        <v>2104</v>
      </c>
      <c r="G18" s="45">
        <v>2106</v>
      </c>
      <c r="H18" s="44">
        <f t="shared" si="1"/>
        <v>2105</v>
      </c>
      <c r="I18" s="46">
        <v>2077</v>
      </c>
      <c r="J18" s="45">
        <v>2082</v>
      </c>
      <c r="K18" s="44">
        <f t="shared" si="2"/>
        <v>2079.5</v>
      </c>
      <c r="L18" s="46">
        <v>2030</v>
      </c>
      <c r="M18" s="45">
        <v>2035</v>
      </c>
      <c r="N18" s="44">
        <f t="shared" si="3"/>
        <v>2032.5</v>
      </c>
      <c r="O18" s="46">
        <v>2030</v>
      </c>
      <c r="P18" s="45">
        <v>2035</v>
      </c>
      <c r="Q18" s="44">
        <f t="shared" si="4"/>
        <v>2032.5</v>
      </c>
      <c r="R18" s="52">
        <v>2094</v>
      </c>
      <c r="S18" s="51">
        <v>1.2259</v>
      </c>
      <c r="T18" s="51">
        <v>1.0419</v>
      </c>
      <c r="U18" s="50">
        <v>129.49</v>
      </c>
      <c r="V18" s="43">
        <v>1708.13</v>
      </c>
      <c r="W18" s="43">
        <v>1717.92</v>
      </c>
      <c r="X18" s="49">
        <f t="shared" si="5"/>
        <v>2009.7898070832132</v>
      </c>
      <c r="Y18" s="48">
        <v>1.2259</v>
      </c>
    </row>
    <row r="19" spans="2:25" x14ac:dyDescent="0.2">
      <c r="B19" s="47">
        <v>44698</v>
      </c>
      <c r="C19" s="46">
        <v>2101</v>
      </c>
      <c r="D19" s="45">
        <v>2102</v>
      </c>
      <c r="E19" s="44">
        <f t="shared" si="0"/>
        <v>2101.5</v>
      </c>
      <c r="F19" s="46">
        <v>2119</v>
      </c>
      <c r="G19" s="45">
        <v>2121</v>
      </c>
      <c r="H19" s="44">
        <f t="shared" si="1"/>
        <v>2120</v>
      </c>
      <c r="I19" s="46">
        <v>2092</v>
      </c>
      <c r="J19" s="45">
        <v>2097</v>
      </c>
      <c r="K19" s="44">
        <f t="shared" si="2"/>
        <v>2094.5</v>
      </c>
      <c r="L19" s="46">
        <v>2045</v>
      </c>
      <c r="M19" s="45">
        <v>2050</v>
      </c>
      <c r="N19" s="44">
        <f t="shared" si="3"/>
        <v>2047.5</v>
      </c>
      <c r="O19" s="46">
        <v>2045</v>
      </c>
      <c r="P19" s="45">
        <v>2050</v>
      </c>
      <c r="Q19" s="44">
        <f t="shared" si="4"/>
        <v>2047.5</v>
      </c>
      <c r="R19" s="52">
        <v>2102</v>
      </c>
      <c r="S19" s="51">
        <v>1.2484</v>
      </c>
      <c r="T19" s="51">
        <v>1.0539000000000001</v>
      </c>
      <c r="U19" s="50">
        <v>129.33000000000001</v>
      </c>
      <c r="V19" s="43">
        <v>1683.76</v>
      </c>
      <c r="W19" s="43">
        <v>1697.89</v>
      </c>
      <c r="X19" s="49">
        <f t="shared" si="5"/>
        <v>1994.4966315589713</v>
      </c>
      <c r="Y19" s="48">
        <v>1.2492000000000001</v>
      </c>
    </row>
    <row r="20" spans="2:25" x14ac:dyDescent="0.2">
      <c r="B20" s="47">
        <v>44699</v>
      </c>
      <c r="C20" s="46">
        <v>2075</v>
      </c>
      <c r="D20" s="45">
        <v>2077</v>
      </c>
      <c r="E20" s="44">
        <f t="shared" si="0"/>
        <v>2076</v>
      </c>
      <c r="F20" s="46">
        <v>2088</v>
      </c>
      <c r="G20" s="45">
        <v>2089</v>
      </c>
      <c r="H20" s="44">
        <f t="shared" si="1"/>
        <v>2088.5</v>
      </c>
      <c r="I20" s="46">
        <v>2065</v>
      </c>
      <c r="J20" s="45">
        <v>2070</v>
      </c>
      <c r="K20" s="44">
        <f t="shared" si="2"/>
        <v>2067.5</v>
      </c>
      <c r="L20" s="46">
        <v>2018</v>
      </c>
      <c r="M20" s="45">
        <v>2023</v>
      </c>
      <c r="N20" s="44">
        <f t="shared" si="3"/>
        <v>2020.5</v>
      </c>
      <c r="O20" s="46">
        <v>2018</v>
      </c>
      <c r="P20" s="45">
        <v>2023</v>
      </c>
      <c r="Q20" s="44">
        <f t="shared" si="4"/>
        <v>2020.5</v>
      </c>
      <c r="R20" s="52">
        <v>2077</v>
      </c>
      <c r="S20" s="51">
        <v>1.242</v>
      </c>
      <c r="T20" s="51">
        <v>1.0509999999999999</v>
      </c>
      <c r="U20" s="50">
        <v>129.11000000000001</v>
      </c>
      <c r="V20" s="43">
        <v>1672.3</v>
      </c>
      <c r="W20" s="43">
        <v>1681.02</v>
      </c>
      <c r="X20" s="49">
        <f t="shared" si="5"/>
        <v>1976.2131303520457</v>
      </c>
      <c r="Y20" s="48">
        <v>1.2426999999999999</v>
      </c>
    </row>
    <row r="21" spans="2:25" x14ac:dyDescent="0.2">
      <c r="B21" s="47">
        <v>44700</v>
      </c>
      <c r="C21" s="46">
        <v>2032</v>
      </c>
      <c r="D21" s="45">
        <v>2033</v>
      </c>
      <c r="E21" s="44">
        <f t="shared" si="0"/>
        <v>2032.5</v>
      </c>
      <c r="F21" s="46">
        <v>2043</v>
      </c>
      <c r="G21" s="45">
        <v>2045</v>
      </c>
      <c r="H21" s="44">
        <f t="shared" si="1"/>
        <v>2044</v>
      </c>
      <c r="I21" s="46">
        <v>2023</v>
      </c>
      <c r="J21" s="45">
        <v>2028</v>
      </c>
      <c r="K21" s="44">
        <f t="shared" si="2"/>
        <v>2025.5</v>
      </c>
      <c r="L21" s="46">
        <v>1975</v>
      </c>
      <c r="M21" s="45">
        <v>1980</v>
      </c>
      <c r="N21" s="44">
        <f t="shared" si="3"/>
        <v>1977.5</v>
      </c>
      <c r="O21" s="46">
        <v>1975</v>
      </c>
      <c r="P21" s="45">
        <v>1980</v>
      </c>
      <c r="Q21" s="44">
        <f t="shared" si="4"/>
        <v>1977.5</v>
      </c>
      <c r="R21" s="52">
        <v>2033</v>
      </c>
      <c r="S21" s="51">
        <v>1.2432000000000001</v>
      </c>
      <c r="T21" s="51">
        <v>1.0518000000000001</v>
      </c>
      <c r="U21" s="50">
        <v>127.94</v>
      </c>
      <c r="V21" s="43">
        <v>1635.3</v>
      </c>
      <c r="W21" s="43">
        <v>1643.89</v>
      </c>
      <c r="X21" s="49">
        <f t="shared" si="5"/>
        <v>1932.8769728085185</v>
      </c>
      <c r="Y21" s="48">
        <v>1.244</v>
      </c>
    </row>
    <row r="22" spans="2:25" x14ac:dyDescent="0.2">
      <c r="B22" s="47">
        <v>44701</v>
      </c>
      <c r="C22" s="46">
        <v>2144</v>
      </c>
      <c r="D22" s="45">
        <v>2146</v>
      </c>
      <c r="E22" s="44">
        <f t="shared" si="0"/>
        <v>2145</v>
      </c>
      <c r="F22" s="46">
        <v>2142</v>
      </c>
      <c r="G22" s="45">
        <v>2143</v>
      </c>
      <c r="H22" s="44">
        <f t="shared" si="1"/>
        <v>2142.5</v>
      </c>
      <c r="I22" s="46">
        <v>2117</v>
      </c>
      <c r="J22" s="45">
        <v>2122</v>
      </c>
      <c r="K22" s="44">
        <f t="shared" si="2"/>
        <v>2119.5</v>
      </c>
      <c r="L22" s="46">
        <v>2070</v>
      </c>
      <c r="M22" s="45">
        <v>2075</v>
      </c>
      <c r="N22" s="44">
        <f t="shared" si="3"/>
        <v>2072.5</v>
      </c>
      <c r="O22" s="46">
        <v>2070</v>
      </c>
      <c r="P22" s="45">
        <v>2075</v>
      </c>
      <c r="Q22" s="44">
        <f t="shared" si="4"/>
        <v>2072.5</v>
      </c>
      <c r="R22" s="52">
        <v>2146</v>
      </c>
      <c r="S22" s="51">
        <v>1.2468999999999999</v>
      </c>
      <c r="T22" s="51">
        <v>1.0567</v>
      </c>
      <c r="U22" s="50">
        <v>128.06</v>
      </c>
      <c r="V22" s="43">
        <v>1721.07</v>
      </c>
      <c r="W22" s="43">
        <v>1717.56</v>
      </c>
      <c r="X22" s="49">
        <f t="shared" si="5"/>
        <v>2030.8507618056212</v>
      </c>
      <c r="Y22" s="48">
        <v>1.2477</v>
      </c>
    </row>
    <row r="23" spans="2:25" x14ac:dyDescent="0.2">
      <c r="B23" s="47">
        <v>44704</v>
      </c>
      <c r="C23" s="46">
        <v>2165</v>
      </c>
      <c r="D23" s="45">
        <v>2167</v>
      </c>
      <c r="E23" s="44">
        <f t="shared" si="0"/>
        <v>2166</v>
      </c>
      <c r="F23" s="46">
        <v>2163</v>
      </c>
      <c r="G23" s="45">
        <v>2165</v>
      </c>
      <c r="H23" s="44">
        <f t="shared" si="1"/>
        <v>2164</v>
      </c>
      <c r="I23" s="46">
        <v>2138</v>
      </c>
      <c r="J23" s="45">
        <v>2143</v>
      </c>
      <c r="K23" s="44">
        <f t="shared" si="2"/>
        <v>2140.5</v>
      </c>
      <c r="L23" s="46">
        <v>2090</v>
      </c>
      <c r="M23" s="45">
        <v>2095</v>
      </c>
      <c r="N23" s="44">
        <f t="shared" si="3"/>
        <v>2092.5</v>
      </c>
      <c r="O23" s="46">
        <v>2090</v>
      </c>
      <c r="P23" s="45">
        <v>2095</v>
      </c>
      <c r="Q23" s="44">
        <f t="shared" si="4"/>
        <v>2092.5</v>
      </c>
      <c r="R23" s="52">
        <v>2167</v>
      </c>
      <c r="S23" s="51">
        <v>1.2576000000000001</v>
      </c>
      <c r="T23" s="51">
        <v>1.0657000000000001</v>
      </c>
      <c r="U23" s="50">
        <v>127.62</v>
      </c>
      <c r="V23" s="43">
        <v>1723.12</v>
      </c>
      <c r="W23" s="43">
        <v>1720.44</v>
      </c>
      <c r="X23" s="49">
        <f t="shared" si="5"/>
        <v>2033.4052735291357</v>
      </c>
      <c r="Y23" s="48">
        <v>1.2584</v>
      </c>
    </row>
    <row r="24" spans="2:25" x14ac:dyDescent="0.2">
      <c r="B24" s="47">
        <v>44705</v>
      </c>
      <c r="C24" s="46">
        <v>2181</v>
      </c>
      <c r="D24" s="45">
        <v>2181.5</v>
      </c>
      <c r="E24" s="44">
        <f t="shared" si="0"/>
        <v>2181.25</v>
      </c>
      <c r="F24" s="46">
        <v>2172</v>
      </c>
      <c r="G24" s="45">
        <v>2173</v>
      </c>
      <c r="H24" s="44">
        <f t="shared" si="1"/>
        <v>2172.5</v>
      </c>
      <c r="I24" s="46">
        <v>2148</v>
      </c>
      <c r="J24" s="45">
        <v>2153</v>
      </c>
      <c r="K24" s="44">
        <f t="shared" si="2"/>
        <v>2150.5</v>
      </c>
      <c r="L24" s="46">
        <v>2100</v>
      </c>
      <c r="M24" s="45">
        <v>2105</v>
      </c>
      <c r="N24" s="44">
        <f t="shared" si="3"/>
        <v>2102.5</v>
      </c>
      <c r="O24" s="46">
        <v>2100</v>
      </c>
      <c r="P24" s="45">
        <v>2105</v>
      </c>
      <c r="Q24" s="44">
        <f t="shared" si="4"/>
        <v>2102.5</v>
      </c>
      <c r="R24" s="52">
        <v>2181.5</v>
      </c>
      <c r="S24" s="51">
        <v>1.2499</v>
      </c>
      <c r="T24" s="51">
        <v>1.0714999999999999</v>
      </c>
      <c r="U24" s="50">
        <v>127.4</v>
      </c>
      <c r="V24" s="43">
        <v>1745.34</v>
      </c>
      <c r="W24" s="43">
        <v>1737.15</v>
      </c>
      <c r="X24" s="49">
        <f t="shared" si="5"/>
        <v>2035.9309379374711</v>
      </c>
      <c r="Y24" s="48">
        <v>1.2508999999999999</v>
      </c>
    </row>
    <row r="25" spans="2:25" x14ac:dyDescent="0.2">
      <c r="B25" s="47">
        <v>44706</v>
      </c>
      <c r="C25" s="46">
        <v>2120.5</v>
      </c>
      <c r="D25" s="45">
        <v>2121.5</v>
      </c>
      <c r="E25" s="44">
        <f t="shared" si="0"/>
        <v>2121</v>
      </c>
      <c r="F25" s="46">
        <v>2133</v>
      </c>
      <c r="G25" s="45">
        <v>2134</v>
      </c>
      <c r="H25" s="44">
        <f t="shared" si="1"/>
        <v>2133.5</v>
      </c>
      <c r="I25" s="46">
        <v>2110</v>
      </c>
      <c r="J25" s="45">
        <v>2115</v>
      </c>
      <c r="K25" s="44">
        <f t="shared" si="2"/>
        <v>2112.5</v>
      </c>
      <c r="L25" s="46">
        <v>2063</v>
      </c>
      <c r="M25" s="45">
        <v>2068</v>
      </c>
      <c r="N25" s="44">
        <f t="shared" si="3"/>
        <v>2065.5</v>
      </c>
      <c r="O25" s="46">
        <v>2063</v>
      </c>
      <c r="P25" s="45">
        <v>2068</v>
      </c>
      <c r="Q25" s="44">
        <f t="shared" si="4"/>
        <v>2065.5</v>
      </c>
      <c r="R25" s="52">
        <v>2121.5</v>
      </c>
      <c r="S25" s="51">
        <v>1.2492000000000001</v>
      </c>
      <c r="T25" s="51">
        <v>1.0660000000000001</v>
      </c>
      <c r="U25" s="50">
        <v>126.98</v>
      </c>
      <c r="V25" s="43">
        <v>1698.29</v>
      </c>
      <c r="W25" s="43">
        <v>1706.93</v>
      </c>
      <c r="X25" s="49">
        <f t="shared" si="5"/>
        <v>1990.1500938086303</v>
      </c>
      <c r="Y25" s="48">
        <v>1.2502</v>
      </c>
    </row>
    <row r="26" spans="2:25" x14ac:dyDescent="0.2">
      <c r="B26" s="47">
        <v>44707</v>
      </c>
      <c r="C26" s="46">
        <v>2104</v>
      </c>
      <c r="D26" s="45">
        <v>2106</v>
      </c>
      <c r="E26" s="44">
        <f t="shared" si="0"/>
        <v>2105</v>
      </c>
      <c r="F26" s="46">
        <v>2108.5</v>
      </c>
      <c r="G26" s="45">
        <v>2109.5</v>
      </c>
      <c r="H26" s="44">
        <f t="shared" si="1"/>
        <v>2109</v>
      </c>
      <c r="I26" s="46">
        <v>2085</v>
      </c>
      <c r="J26" s="45">
        <v>2090</v>
      </c>
      <c r="K26" s="44">
        <f t="shared" si="2"/>
        <v>2087.5</v>
      </c>
      <c r="L26" s="46">
        <v>2038</v>
      </c>
      <c r="M26" s="45">
        <v>2043</v>
      </c>
      <c r="N26" s="44">
        <f t="shared" si="3"/>
        <v>2040.5</v>
      </c>
      <c r="O26" s="46">
        <v>2038</v>
      </c>
      <c r="P26" s="45">
        <v>2043</v>
      </c>
      <c r="Q26" s="44">
        <f t="shared" si="4"/>
        <v>2040.5</v>
      </c>
      <c r="R26" s="52">
        <v>2106</v>
      </c>
      <c r="S26" s="51">
        <v>1.2596000000000001</v>
      </c>
      <c r="T26" s="51">
        <v>1.0706</v>
      </c>
      <c r="U26" s="50">
        <v>127.04</v>
      </c>
      <c r="V26" s="43">
        <v>1671.96</v>
      </c>
      <c r="W26" s="43">
        <v>1673.41</v>
      </c>
      <c r="X26" s="49">
        <f t="shared" si="5"/>
        <v>1967.1212404259295</v>
      </c>
      <c r="Y26" s="48">
        <v>1.2605999999999999</v>
      </c>
    </row>
    <row r="27" spans="2:25" x14ac:dyDescent="0.2">
      <c r="B27" s="47">
        <v>44708</v>
      </c>
      <c r="C27" s="46">
        <v>2090.5</v>
      </c>
      <c r="D27" s="45">
        <v>2091.5</v>
      </c>
      <c r="E27" s="44">
        <f t="shared" si="0"/>
        <v>2091</v>
      </c>
      <c r="F27" s="46">
        <v>2103</v>
      </c>
      <c r="G27" s="45">
        <v>2105</v>
      </c>
      <c r="H27" s="44">
        <f t="shared" si="1"/>
        <v>2104</v>
      </c>
      <c r="I27" s="46">
        <v>2085</v>
      </c>
      <c r="J27" s="45">
        <v>2090</v>
      </c>
      <c r="K27" s="44">
        <f t="shared" si="2"/>
        <v>2087.5</v>
      </c>
      <c r="L27" s="46">
        <v>2038</v>
      </c>
      <c r="M27" s="45">
        <v>2043</v>
      </c>
      <c r="N27" s="44">
        <f t="shared" si="3"/>
        <v>2040.5</v>
      </c>
      <c r="O27" s="46">
        <v>2038</v>
      </c>
      <c r="P27" s="45">
        <v>2043</v>
      </c>
      <c r="Q27" s="44">
        <f t="shared" si="4"/>
        <v>2040.5</v>
      </c>
      <c r="R27" s="52">
        <v>2091.5</v>
      </c>
      <c r="S27" s="51">
        <v>1.2618</v>
      </c>
      <c r="T27" s="51">
        <v>1.0707</v>
      </c>
      <c r="U27" s="50">
        <v>126.92</v>
      </c>
      <c r="V27" s="43">
        <v>1657.55</v>
      </c>
      <c r="W27" s="43">
        <v>1667.06</v>
      </c>
      <c r="X27" s="49">
        <f t="shared" si="5"/>
        <v>1953.3949752498365</v>
      </c>
      <c r="Y27" s="48">
        <v>1.2626999999999999</v>
      </c>
    </row>
    <row r="28" spans="2:25" x14ac:dyDescent="0.2">
      <c r="B28" s="47">
        <v>44711</v>
      </c>
      <c r="C28" s="46">
        <v>2183</v>
      </c>
      <c r="D28" s="45">
        <v>2184</v>
      </c>
      <c r="E28" s="44">
        <f t="shared" si="0"/>
        <v>2183.5</v>
      </c>
      <c r="F28" s="46">
        <v>2183.5</v>
      </c>
      <c r="G28" s="45">
        <v>2184.5</v>
      </c>
      <c r="H28" s="44">
        <f t="shared" si="1"/>
        <v>2184</v>
      </c>
      <c r="I28" s="46">
        <v>2163</v>
      </c>
      <c r="J28" s="45">
        <v>2168</v>
      </c>
      <c r="K28" s="44">
        <f t="shared" si="2"/>
        <v>2165.5</v>
      </c>
      <c r="L28" s="46">
        <v>2117</v>
      </c>
      <c r="M28" s="45">
        <v>2122</v>
      </c>
      <c r="N28" s="44">
        <f t="shared" si="3"/>
        <v>2119.5</v>
      </c>
      <c r="O28" s="46">
        <v>2117</v>
      </c>
      <c r="P28" s="45">
        <v>2122</v>
      </c>
      <c r="Q28" s="44">
        <f t="shared" si="4"/>
        <v>2119.5</v>
      </c>
      <c r="R28" s="52">
        <v>2184</v>
      </c>
      <c r="S28" s="51">
        <v>1.264</v>
      </c>
      <c r="T28" s="51">
        <v>1.0767</v>
      </c>
      <c r="U28" s="50">
        <v>127.43</v>
      </c>
      <c r="V28" s="43">
        <v>1727.85</v>
      </c>
      <c r="W28" s="43">
        <v>1727.15</v>
      </c>
      <c r="X28" s="49">
        <f t="shared" si="5"/>
        <v>2028.4201727500697</v>
      </c>
      <c r="Y28" s="48">
        <v>1.2647999999999999</v>
      </c>
    </row>
    <row r="29" spans="2:25" x14ac:dyDescent="0.2">
      <c r="B29" s="47">
        <v>44712</v>
      </c>
      <c r="C29" s="46">
        <v>2175</v>
      </c>
      <c r="D29" s="45">
        <v>2176</v>
      </c>
      <c r="E29" s="44">
        <f t="shared" si="0"/>
        <v>2175.5</v>
      </c>
      <c r="F29" s="46">
        <v>2177</v>
      </c>
      <c r="G29" s="45">
        <v>2178</v>
      </c>
      <c r="H29" s="44">
        <f t="shared" si="1"/>
        <v>2177.5</v>
      </c>
      <c r="I29" s="46">
        <v>2160</v>
      </c>
      <c r="J29" s="45">
        <v>2165</v>
      </c>
      <c r="K29" s="44">
        <f t="shared" si="2"/>
        <v>2162.5</v>
      </c>
      <c r="L29" s="46">
        <v>2113</v>
      </c>
      <c r="M29" s="45">
        <v>2118</v>
      </c>
      <c r="N29" s="44">
        <f t="shared" si="3"/>
        <v>2115.5</v>
      </c>
      <c r="O29" s="46">
        <v>2113</v>
      </c>
      <c r="P29" s="45">
        <v>2118</v>
      </c>
      <c r="Q29" s="44">
        <f t="shared" si="4"/>
        <v>2115.5</v>
      </c>
      <c r="R29" s="52">
        <v>2176</v>
      </c>
      <c r="S29" s="51">
        <v>1.2588999999999999</v>
      </c>
      <c r="T29" s="51">
        <v>1.0712999999999999</v>
      </c>
      <c r="U29" s="50">
        <v>128.19</v>
      </c>
      <c r="V29" s="43">
        <v>1728.49</v>
      </c>
      <c r="W29" s="43">
        <v>1728.85</v>
      </c>
      <c r="X29" s="49">
        <f t="shared" si="5"/>
        <v>2031.1770745822835</v>
      </c>
      <c r="Y29" s="48">
        <v>1.2598</v>
      </c>
    </row>
    <row r="30" spans="2:25" s="10" customFormat="1" x14ac:dyDescent="0.2">
      <c r="B30" s="42" t="s">
        <v>11</v>
      </c>
      <c r="C30" s="41">
        <f>ROUND(AVERAGE(C9:C29),2)</f>
        <v>2143.79</v>
      </c>
      <c r="D30" s="40">
        <f>ROUND(AVERAGE(D9:D29),2)</f>
        <v>2145.17</v>
      </c>
      <c r="E30" s="39">
        <f>ROUND(AVERAGE(C30:D30),2)</f>
        <v>2144.48</v>
      </c>
      <c r="F30" s="41">
        <f>ROUND(AVERAGE(F9:F29),2)</f>
        <v>2149.6</v>
      </c>
      <c r="G30" s="40">
        <f>ROUND(AVERAGE(G9:G29),2)</f>
        <v>2151.0500000000002</v>
      </c>
      <c r="H30" s="39">
        <f>ROUND(AVERAGE(F30:G30),2)</f>
        <v>2150.33</v>
      </c>
      <c r="I30" s="41">
        <f>ROUND(AVERAGE(I9:I29),2)</f>
        <v>2119.71</v>
      </c>
      <c r="J30" s="40">
        <f>ROUND(AVERAGE(J9:J29),2)</f>
        <v>2124.71</v>
      </c>
      <c r="K30" s="39">
        <f>ROUND(AVERAGE(I30:J30),2)</f>
        <v>2122.21</v>
      </c>
      <c r="L30" s="41">
        <f>ROUND(AVERAGE(L9:L29),2)</f>
        <v>2072.19</v>
      </c>
      <c r="M30" s="40">
        <f>ROUND(AVERAGE(M9:M29),2)</f>
        <v>2077.19</v>
      </c>
      <c r="N30" s="39">
        <f>ROUND(AVERAGE(L30:M30),2)</f>
        <v>2074.69</v>
      </c>
      <c r="O30" s="41">
        <f>ROUND(AVERAGE(O9:O29),2)</f>
        <v>2072.19</v>
      </c>
      <c r="P30" s="40">
        <f>ROUND(AVERAGE(P9:P29),2)</f>
        <v>2077.19</v>
      </c>
      <c r="Q30" s="39">
        <f>ROUND(AVERAGE(O30:P30),2)</f>
        <v>2074.69</v>
      </c>
      <c r="R30" s="38">
        <f>ROUND(AVERAGE(R9:R29),2)</f>
        <v>2145.17</v>
      </c>
      <c r="S30" s="37">
        <f>ROUND(AVERAGE(S9:S29),4)</f>
        <v>1.2443</v>
      </c>
      <c r="T30" s="36">
        <f>ROUND(AVERAGE(T9:T29),4)</f>
        <v>1.0576000000000001</v>
      </c>
      <c r="U30" s="175">
        <f>ROUND(AVERAGE(U9:U29),2)</f>
        <v>128.78</v>
      </c>
      <c r="V30" s="35">
        <f>AVERAGE(V9:V29)</f>
        <v>1724.0214285714285</v>
      </c>
      <c r="W30" s="35">
        <f>AVERAGE(W9:W29)</f>
        <v>1727.7095238095239</v>
      </c>
      <c r="X30" s="35">
        <f>AVERAGE(X9:X29)</f>
        <v>2028.4262070128975</v>
      </c>
      <c r="Y30" s="34">
        <f>AVERAGE(Y9:Y29)</f>
        <v>1.2450476190476192</v>
      </c>
    </row>
    <row r="31" spans="2:25" s="5" customFormat="1" x14ac:dyDescent="0.2">
      <c r="B31" s="33" t="s">
        <v>12</v>
      </c>
      <c r="C31" s="32">
        <f t="shared" ref="C31:Y31" si="6">MAX(C9:C29)</f>
        <v>2303</v>
      </c>
      <c r="D31" s="31">
        <f t="shared" si="6"/>
        <v>2305</v>
      </c>
      <c r="E31" s="30">
        <f t="shared" si="6"/>
        <v>2304</v>
      </c>
      <c r="F31" s="32">
        <f t="shared" si="6"/>
        <v>2307</v>
      </c>
      <c r="G31" s="31">
        <f t="shared" si="6"/>
        <v>2307.5</v>
      </c>
      <c r="H31" s="30">
        <f t="shared" si="6"/>
        <v>2307.25</v>
      </c>
      <c r="I31" s="32">
        <f t="shared" si="6"/>
        <v>2258</v>
      </c>
      <c r="J31" s="31">
        <f t="shared" si="6"/>
        <v>2263</v>
      </c>
      <c r="K31" s="30">
        <f t="shared" si="6"/>
        <v>2260.5</v>
      </c>
      <c r="L31" s="32">
        <f t="shared" si="6"/>
        <v>2210</v>
      </c>
      <c r="M31" s="31">
        <f t="shared" si="6"/>
        <v>2215</v>
      </c>
      <c r="N31" s="30">
        <f t="shared" si="6"/>
        <v>2212.5</v>
      </c>
      <c r="O31" s="32">
        <f t="shared" si="6"/>
        <v>2210</v>
      </c>
      <c r="P31" s="31">
        <f t="shared" si="6"/>
        <v>2215</v>
      </c>
      <c r="Q31" s="30">
        <f t="shared" si="6"/>
        <v>2212.5</v>
      </c>
      <c r="R31" s="29">
        <f t="shared" si="6"/>
        <v>2305</v>
      </c>
      <c r="S31" s="28">
        <f t="shared" si="6"/>
        <v>1.264</v>
      </c>
      <c r="T31" s="27">
        <f t="shared" si="6"/>
        <v>1.0767</v>
      </c>
      <c r="U31" s="26">
        <f t="shared" si="6"/>
        <v>131.03</v>
      </c>
      <c r="V31" s="25">
        <f t="shared" si="6"/>
        <v>1859.47</v>
      </c>
      <c r="W31" s="25">
        <f t="shared" si="6"/>
        <v>1860.29</v>
      </c>
      <c r="X31" s="25">
        <f t="shared" si="6"/>
        <v>2185.2483883200607</v>
      </c>
      <c r="Y31" s="24">
        <f t="shared" si="6"/>
        <v>1.2647999999999999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2032</v>
      </c>
      <c r="D32" s="21">
        <f t="shared" si="7"/>
        <v>2033</v>
      </c>
      <c r="E32" s="20">
        <f t="shared" si="7"/>
        <v>2032.5</v>
      </c>
      <c r="F32" s="22">
        <f t="shared" si="7"/>
        <v>2043</v>
      </c>
      <c r="G32" s="21">
        <f t="shared" si="7"/>
        <v>2045</v>
      </c>
      <c r="H32" s="20">
        <f t="shared" si="7"/>
        <v>2044</v>
      </c>
      <c r="I32" s="22">
        <f t="shared" si="7"/>
        <v>2023</v>
      </c>
      <c r="J32" s="21">
        <f t="shared" si="7"/>
        <v>2028</v>
      </c>
      <c r="K32" s="20">
        <f t="shared" si="7"/>
        <v>2025.5</v>
      </c>
      <c r="L32" s="22">
        <f t="shared" si="7"/>
        <v>1975</v>
      </c>
      <c r="M32" s="21">
        <f t="shared" si="7"/>
        <v>1980</v>
      </c>
      <c r="N32" s="20">
        <f t="shared" si="7"/>
        <v>1977.5</v>
      </c>
      <c r="O32" s="22">
        <f t="shared" si="7"/>
        <v>1975</v>
      </c>
      <c r="P32" s="21">
        <f t="shared" si="7"/>
        <v>1980</v>
      </c>
      <c r="Q32" s="20">
        <f t="shared" si="7"/>
        <v>1977.5</v>
      </c>
      <c r="R32" s="19">
        <f t="shared" si="7"/>
        <v>2033</v>
      </c>
      <c r="S32" s="18">
        <f t="shared" si="7"/>
        <v>1.2192000000000001</v>
      </c>
      <c r="T32" s="17">
        <f t="shared" si="7"/>
        <v>1.0383</v>
      </c>
      <c r="U32" s="16">
        <f t="shared" si="7"/>
        <v>126.92</v>
      </c>
      <c r="V32" s="15">
        <f t="shared" si="7"/>
        <v>1635.3</v>
      </c>
      <c r="W32" s="15">
        <f t="shared" si="7"/>
        <v>1643.89</v>
      </c>
      <c r="X32" s="15">
        <f t="shared" si="7"/>
        <v>1932.8769728085185</v>
      </c>
      <c r="Y32" s="14">
        <f t="shared" si="7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44684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44684</v>
      </c>
      <c r="C9" s="46">
        <v>41200</v>
      </c>
      <c r="D9" s="45">
        <v>41300</v>
      </c>
      <c r="E9" s="44">
        <f t="shared" ref="E9:E29" si="0">AVERAGE(C9:D9)</f>
        <v>41250</v>
      </c>
      <c r="F9" s="46">
        <v>40850</v>
      </c>
      <c r="G9" s="45">
        <v>40900</v>
      </c>
      <c r="H9" s="44">
        <f t="shared" ref="H9:H29" si="1">AVERAGE(F9:G9)</f>
        <v>40875</v>
      </c>
      <c r="I9" s="46">
        <v>40150</v>
      </c>
      <c r="J9" s="45">
        <v>40200</v>
      </c>
      <c r="K9" s="44">
        <f t="shared" ref="K9:K29" si="2">AVERAGE(I9:J9)</f>
        <v>40175</v>
      </c>
      <c r="L9" s="52">
        <v>41300</v>
      </c>
      <c r="M9" s="51">
        <v>1.2532000000000001</v>
      </c>
      <c r="N9" s="53">
        <v>1.0538000000000001</v>
      </c>
      <c r="O9" s="50">
        <v>129.91999999999999</v>
      </c>
      <c r="P9" s="43">
        <v>32955.629999999997</v>
      </c>
      <c r="Q9" s="43">
        <v>32623.43</v>
      </c>
      <c r="R9" s="49">
        <f t="shared" ref="R9:R29" si="3">L9/N9</f>
        <v>39191.497437843987</v>
      </c>
      <c r="S9" s="48">
        <v>1.2537</v>
      </c>
    </row>
    <row r="10" spans="1:19" x14ac:dyDescent="0.2">
      <c r="B10" s="47">
        <v>44685</v>
      </c>
      <c r="C10" s="46">
        <v>40600</v>
      </c>
      <c r="D10" s="45">
        <v>40700</v>
      </c>
      <c r="E10" s="44">
        <f t="shared" si="0"/>
        <v>40650</v>
      </c>
      <c r="F10" s="46">
        <v>40375</v>
      </c>
      <c r="G10" s="45">
        <v>40425</v>
      </c>
      <c r="H10" s="44">
        <f t="shared" si="1"/>
        <v>40400</v>
      </c>
      <c r="I10" s="46">
        <v>39680</v>
      </c>
      <c r="J10" s="45">
        <v>39730</v>
      </c>
      <c r="K10" s="44">
        <f t="shared" si="2"/>
        <v>39705</v>
      </c>
      <c r="L10" s="52">
        <v>40700</v>
      </c>
      <c r="M10" s="51">
        <v>1.2511000000000001</v>
      </c>
      <c r="N10" s="51">
        <v>1.0530999999999999</v>
      </c>
      <c r="O10" s="50">
        <v>129.96</v>
      </c>
      <c r="P10" s="43">
        <v>32531.37</v>
      </c>
      <c r="Q10" s="43">
        <v>32293.5</v>
      </c>
      <c r="R10" s="49">
        <f t="shared" si="3"/>
        <v>38647.801728230937</v>
      </c>
      <c r="S10" s="48">
        <v>1.2518</v>
      </c>
    </row>
    <row r="11" spans="1:19" x14ac:dyDescent="0.2">
      <c r="B11" s="47">
        <v>44686</v>
      </c>
      <c r="C11" s="46">
        <v>40750</v>
      </c>
      <c r="D11" s="45">
        <v>40775</v>
      </c>
      <c r="E11" s="44">
        <f t="shared" si="0"/>
        <v>40762.5</v>
      </c>
      <c r="F11" s="46">
        <v>40425</v>
      </c>
      <c r="G11" s="45">
        <v>40475</v>
      </c>
      <c r="H11" s="44">
        <f t="shared" si="1"/>
        <v>40450</v>
      </c>
      <c r="I11" s="46">
        <v>39715</v>
      </c>
      <c r="J11" s="45">
        <v>39765</v>
      </c>
      <c r="K11" s="44">
        <f t="shared" si="2"/>
        <v>39740</v>
      </c>
      <c r="L11" s="52">
        <v>40775</v>
      </c>
      <c r="M11" s="51">
        <v>1.2396</v>
      </c>
      <c r="N11" s="51">
        <v>1.0548</v>
      </c>
      <c r="O11" s="50">
        <v>130</v>
      </c>
      <c r="P11" s="43">
        <v>32893.68</v>
      </c>
      <c r="Q11" s="43">
        <v>32630.6</v>
      </c>
      <c r="R11" s="49">
        <f t="shared" si="3"/>
        <v>38656.617368221465</v>
      </c>
      <c r="S11" s="48">
        <v>1.2403999999999999</v>
      </c>
    </row>
    <row r="12" spans="1:19" x14ac:dyDescent="0.2">
      <c r="B12" s="47">
        <v>44687</v>
      </c>
      <c r="C12" s="46">
        <v>40575</v>
      </c>
      <c r="D12" s="45">
        <v>40585</v>
      </c>
      <c r="E12" s="44">
        <f t="shared" si="0"/>
        <v>40580</v>
      </c>
      <c r="F12" s="46">
        <v>40225</v>
      </c>
      <c r="G12" s="45">
        <v>40275</v>
      </c>
      <c r="H12" s="44">
        <f t="shared" si="1"/>
        <v>40250</v>
      </c>
      <c r="I12" s="46">
        <v>39480</v>
      </c>
      <c r="J12" s="45">
        <v>39530</v>
      </c>
      <c r="K12" s="44">
        <f t="shared" si="2"/>
        <v>39505</v>
      </c>
      <c r="L12" s="52">
        <v>40585</v>
      </c>
      <c r="M12" s="51">
        <v>1.2336</v>
      </c>
      <c r="N12" s="51">
        <v>1.0566</v>
      </c>
      <c r="O12" s="50">
        <v>130.43</v>
      </c>
      <c r="P12" s="43">
        <v>32899.64</v>
      </c>
      <c r="Q12" s="43">
        <v>32629.83</v>
      </c>
      <c r="R12" s="49">
        <f t="shared" si="3"/>
        <v>38410.940753359835</v>
      </c>
      <c r="S12" s="48">
        <v>1.2343</v>
      </c>
    </row>
    <row r="13" spans="1:19" x14ac:dyDescent="0.2">
      <c r="B13" s="47">
        <v>44690</v>
      </c>
      <c r="C13" s="46">
        <v>37900</v>
      </c>
      <c r="D13" s="45">
        <v>38000</v>
      </c>
      <c r="E13" s="44">
        <f t="shared" si="0"/>
        <v>37950</v>
      </c>
      <c r="F13" s="46">
        <v>37900</v>
      </c>
      <c r="G13" s="45">
        <v>38000</v>
      </c>
      <c r="H13" s="44">
        <f t="shared" si="1"/>
        <v>37950</v>
      </c>
      <c r="I13" s="46">
        <v>37225</v>
      </c>
      <c r="J13" s="45">
        <v>37275</v>
      </c>
      <c r="K13" s="44">
        <f t="shared" si="2"/>
        <v>37250</v>
      </c>
      <c r="L13" s="52">
        <v>38000</v>
      </c>
      <c r="M13" s="51">
        <v>1.2366999999999999</v>
      </c>
      <c r="N13" s="51">
        <v>1.0547</v>
      </c>
      <c r="O13" s="50">
        <v>131.03</v>
      </c>
      <c r="P13" s="43">
        <v>30726.93</v>
      </c>
      <c r="Q13" s="43">
        <v>30709.55</v>
      </c>
      <c r="R13" s="49">
        <f t="shared" si="3"/>
        <v>36029.202616857874</v>
      </c>
      <c r="S13" s="48">
        <v>1.2374000000000001</v>
      </c>
    </row>
    <row r="14" spans="1:19" x14ac:dyDescent="0.2">
      <c r="B14" s="47">
        <v>44691</v>
      </c>
      <c r="C14" s="46">
        <v>36600</v>
      </c>
      <c r="D14" s="45">
        <v>36700</v>
      </c>
      <c r="E14" s="44">
        <f t="shared" si="0"/>
        <v>36650</v>
      </c>
      <c r="F14" s="46">
        <v>36400</v>
      </c>
      <c r="G14" s="45">
        <v>36405</v>
      </c>
      <c r="H14" s="44">
        <f t="shared" si="1"/>
        <v>36402.5</v>
      </c>
      <c r="I14" s="46">
        <v>35750</v>
      </c>
      <c r="J14" s="45">
        <v>35800</v>
      </c>
      <c r="K14" s="44">
        <f t="shared" si="2"/>
        <v>35775</v>
      </c>
      <c r="L14" s="52">
        <v>36700</v>
      </c>
      <c r="M14" s="51">
        <v>1.2338</v>
      </c>
      <c r="N14" s="51">
        <v>1.0552999999999999</v>
      </c>
      <c r="O14" s="50">
        <v>130.08000000000001</v>
      </c>
      <c r="P14" s="43">
        <v>29745.5</v>
      </c>
      <c r="Q14" s="43">
        <v>29489.67</v>
      </c>
      <c r="R14" s="49">
        <f t="shared" si="3"/>
        <v>34776.840708803189</v>
      </c>
      <c r="S14" s="48">
        <v>1.2344999999999999</v>
      </c>
    </row>
    <row r="15" spans="1:19" x14ac:dyDescent="0.2">
      <c r="B15" s="47">
        <v>44692</v>
      </c>
      <c r="C15" s="46">
        <v>35600</v>
      </c>
      <c r="D15" s="45">
        <v>35700</v>
      </c>
      <c r="E15" s="44">
        <f t="shared" si="0"/>
        <v>35650</v>
      </c>
      <c r="F15" s="46">
        <v>35575</v>
      </c>
      <c r="G15" s="45">
        <v>35625</v>
      </c>
      <c r="H15" s="44">
        <f t="shared" si="1"/>
        <v>35600</v>
      </c>
      <c r="I15" s="46">
        <v>34930</v>
      </c>
      <c r="J15" s="45">
        <v>34980</v>
      </c>
      <c r="K15" s="44">
        <f t="shared" si="2"/>
        <v>34955</v>
      </c>
      <c r="L15" s="52">
        <v>35700</v>
      </c>
      <c r="M15" s="51">
        <v>1.2357</v>
      </c>
      <c r="N15" s="51">
        <v>1.0545</v>
      </c>
      <c r="O15" s="50">
        <v>129.82</v>
      </c>
      <c r="P15" s="43">
        <v>28890.51</v>
      </c>
      <c r="Q15" s="43">
        <v>28811.16</v>
      </c>
      <c r="R15" s="49">
        <f t="shared" si="3"/>
        <v>33854.907539118067</v>
      </c>
      <c r="S15" s="48">
        <v>1.2364999999999999</v>
      </c>
    </row>
    <row r="16" spans="1:19" x14ac:dyDescent="0.2">
      <c r="B16" s="47">
        <v>44693</v>
      </c>
      <c r="C16" s="46">
        <v>33825</v>
      </c>
      <c r="D16" s="45">
        <v>33875</v>
      </c>
      <c r="E16" s="44">
        <f t="shared" si="0"/>
        <v>33850</v>
      </c>
      <c r="F16" s="46">
        <v>33300</v>
      </c>
      <c r="G16" s="45">
        <v>33305</v>
      </c>
      <c r="H16" s="44">
        <f t="shared" si="1"/>
        <v>33302.5</v>
      </c>
      <c r="I16" s="46">
        <v>32640</v>
      </c>
      <c r="J16" s="45">
        <v>32690</v>
      </c>
      <c r="K16" s="44">
        <f t="shared" si="2"/>
        <v>32665</v>
      </c>
      <c r="L16" s="52">
        <v>33875</v>
      </c>
      <c r="M16" s="51">
        <v>1.2196</v>
      </c>
      <c r="N16" s="51">
        <v>1.04</v>
      </c>
      <c r="O16" s="50">
        <v>128.54</v>
      </c>
      <c r="P16" s="43">
        <v>27775.5</v>
      </c>
      <c r="Q16" s="43">
        <v>27290.23</v>
      </c>
      <c r="R16" s="49">
        <f t="shared" si="3"/>
        <v>32572.115384615383</v>
      </c>
      <c r="S16" s="48">
        <v>1.2203999999999999</v>
      </c>
    </row>
    <row r="17" spans="2:19" x14ac:dyDescent="0.2">
      <c r="B17" s="47">
        <v>44694</v>
      </c>
      <c r="C17" s="46">
        <v>34325</v>
      </c>
      <c r="D17" s="45">
        <v>34375</v>
      </c>
      <c r="E17" s="44">
        <f t="shared" si="0"/>
        <v>34350</v>
      </c>
      <c r="F17" s="46">
        <v>33900</v>
      </c>
      <c r="G17" s="45">
        <v>33950</v>
      </c>
      <c r="H17" s="44">
        <f t="shared" si="1"/>
        <v>33925</v>
      </c>
      <c r="I17" s="46">
        <v>33075</v>
      </c>
      <c r="J17" s="45">
        <v>33125</v>
      </c>
      <c r="K17" s="44">
        <f t="shared" si="2"/>
        <v>33100</v>
      </c>
      <c r="L17" s="52">
        <v>34375</v>
      </c>
      <c r="M17" s="51">
        <v>1.2192000000000001</v>
      </c>
      <c r="N17" s="51">
        <v>1.0383</v>
      </c>
      <c r="O17" s="50">
        <v>129.06</v>
      </c>
      <c r="P17" s="43">
        <v>28194.720000000001</v>
      </c>
      <c r="Q17" s="43">
        <v>27825.59</v>
      </c>
      <c r="R17" s="49">
        <f t="shared" si="3"/>
        <v>33107.001829914283</v>
      </c>
      <c r="S17" s="48">
        <v>1.2201</v>
      </c>
    </row>
    <row r="18" spans="2:19" x14ac:dyDescent="0.2">
      <c r="B18" s="47">
        <v>44697</v>
      </c>
      <c r="C18" s="46">
        <v>34950</v>
      </c>
      <c r="D18" s="45">
        <v>35000</v>
      </c>
      <c r="E18" s="44">
        <f t="shared" si="0"/>
        <v>34975</v>
      </c>
      <c r="F18" s="46">
        <v>34775</v>
      </c>
      <c r="G18" s="45">
        <v>34825</v>
      </c>
      <c r="H18" s="44">
        <f t="shared" si="1"/>
        <v>34800</v>
      </c>
      <c r="I18" s="46">
        <v>33995</v>
      </c>
      <c r="J18" s="45">
        <v>34045</v>
      </c>
      <c r="K18" s="44">
        <f t="shared" si="2"/>
        <v>34020</v>
      </c>
      <c r="L18" s="52">
        <v>35000</v>
      </c>
      <c r="M18" s="51">
        <v>1.2259</v>
      </c>
      <c r="N18" s="51">
        <v>1.0419</v>
      </c>
      <c r="O18" s="50">
        <v>129.49</v>
      </c>
      <c r="P18" s="43">
        <v>28550.45</v>
      </c>
      <c r="Q18" s="43">
        <v>28407.7</v>
      </c>
      <c r="R18" s="49">
        <f t="shared" si="3"/>
        <v>33592.475285536035</v>
      </c>
      <c r="S18" s="48">
        <v>1.2259</v>
      </c>
    </row>
    <row r="19" spans="2:19" x14ac:dyDescent="0.2">
      <c r="B19" s="47">
        <v>44698</v>
      </c>
      <c r="C19" s="46">
        <v>34275</v>
      </c>
      <c r="D19" s="45">
        <v>34325</v>
      </c>
      <c r="E19" s="44">
        <f t="shared" si="0"/>
        <v>34300</v>
      </c>
      <c r="F19" s="46">
        <v>34000</v>
      </c>
      <c r="G19" s="45">
        <v>34050</v>
      </c>
      <c r="H19" s="44">
        <f t="shared" si="1"/>
        <v>34025</v>
      </c>
      <c r="I19" s="46">
        <v>33185</v>
      </c>
      <c r="J19" s="45">
        <v>33235</v>
      </c>
      <c r="K19" s="44">
        <f t="shared" si="2"/>
        <v>33210</v>
      </c>
      <c r="L19" s="52">
        <v>34325</v>
      </c>
      <c r="M19" s="51">
        <v>1.2484</v>
      </c>
      <c r="N19" s="51">
        <v>1.0539000000000001</v>
      </c>
      <c r="O19" s="50">
        <v>129.33000000000001</v>
      </c>
      <c r="P19" s="43">
        <v>27495.19</v>
      </c>
      <c r="Q19" s="43">
        <v>27257.439999999999</v>
      </c>
      <c r="R19" s="49">
        <f t="shared" si="3"/>
        <v>32569.503747983679</v>
      </c>
      <c r="S19" s="48">
        <v>1.2492000000000001</v>
      </c>
    </row>
    <row r="20" spans="2:19" x14ac:dyDescent="0.2">
      <c r="B20" s="47">
        <v>44699</v>
      </c>
      <c r="C20" s="46">
        <v>33875</v>
      </c>
      <c r="D20" s="45">
        <v>33925</v>
      </c>
      <c r="E20" s="44">
        <f t="shared" si="0"/>
        <v>33900</v>
      </c>
      <c r="F20" s="46">
        <v>33575</v>
      </c>
      <c r="G20" s="45">
        <v>33625</v>
      </c>
      <c r="H20" s="44">
        <f t="shared" si="1"/>
        <v>33600</v>
      </c>
      <c r="I20" s="46">
        <v>32685</v>
      </c>
      <c r="J20" s="45">
        <v>32735</v>
      </c>
      <c r="K20" s="44">
        <f t="shared" si="2"/>
        <v>32710</v>
      </c>
      <c r="L20" s="52">
        <v>33925</v>
      </c>
      <c r="M20" s="51">
        <v>1.242</v>
      </c>
      <c r="N20" s="51">
        <v>1.0509999999999999</v>
      </c>
      <c r="O20" s="50">
        <v>129.11000000000001</v>
      </c>
      <c r="P20" s="43">
        <v>27314.81</v>
      </c>
      <c r="Q20" s="43">
        <v>27058.02</v>
      </c>
      <c r="R20" s="49">
        <f t="shared" si="3"/>
        <v>32278.782112274028</v>
      </c>
      <c r="S20" s="48">
        <v>1.2426999999999999</v>
      </c>
    </row>
    <row r="21" spans="2:19" x14ac:dyDescent="0.2">
      <c r="B21" s="47">
        <v>44700</v>
      </c>
      <c r="C21" s="46">
        <v>33850</v>
      </c>
      <c r="D21" s="45">
        <v>33900</v>
      </c>
      <c r="E21" s="44">
        <f t="shared" si="0"/>
        <v>33875</v>
      </c>
      <c r="F21" s="46">
        <v>33550</v>
      </c>
      <c r="G21" s="45">
        <v>33600</v>
      </c>
      <c r="H21" s="44">
        <f t="shared" si="1"/>
        <v>33575</v>
      </c>
      <c r="I21" s="46">
        <v>32600</v>
      </c>
      <c r="J21" s="45">
        <v>32650</v>
      </c>
      <c r="K21" s="44">
        <f t="shared" si="2"/>
        <v>32625</v>
      </c>
      <c r="L21" s="52">
        <v>33900</v>
      </c>
      <c r="M21" s="51">
        <v>1.2432000000000001</v>
      </c>
      <c r="N21" s="51">
        <v>1.0518000000000001</v>
      </c>
      <c r="O21" s="50">
        <v>127.94</v>
      </c>
      <c r="P21" s="43">
        <v>27268.34</v>
      </c>
      <c r="Q21" s="43">
        <v>27009.65</v>
      </c>
      <c r="R21" s="49">
        <f t="shared" si="3"/>
        <v>32230.462065031374</v>
      </c>
      <c r="S21" s="48">
        <v>1.244</v>
      </c>
    </row>
    <row r="22" spans="2:19" x14ac:dyDescent="0.2">
      <c r="B22" s="47">
        <v>44701</v>
      </c>
      <c r="C22" s="46">
        <v>34695</v>
      </c>
      <c r="D22" s="45">
        <v>34705</v>
      </c>
      <c r="E22" s="44">
        <f t="shared" si="0"/>
        <v>34700</v>
      </c>
      <c r="F22" s="46">
        <v>34275</v>
      </c>
      <c r="G22" s="45">
        <v>34325</v>
      </c>
      <c r="H22" s="44">
        <f t="shared" si="1"/>
        <v>34300</v>
      </c>
      <c r="I22" s="46">
        <v>33320</v>
      </c>
      <c r="J22" s="45">
        <v>33370</v>
      </c>
      <c r="K22" s="44">
        <f t="shared" si="2"/>
        <v>33345</v>
      </c>
      <c r="L22" s="52">
        <v>34705</v>
      </c>
      <c r="M22" s="51">
        <v>1.2468999999999999</v>
      </c>
      <c r="N22" s="51">
        <v>1.0567</v>
      </c>
      <c r="O22" s="50">
        <v>128.06</v>
      </c>
      <c r="P22" s="43">
        <v>27833.03</v>
      </c>
      <c r="Q22" s="43">
        <v>27510.62</v>
      </c>
      <c r="R22" s="49">
        <f t="shared" si="3"/>
        <v>32842.812529573202</v>
      </c>
      <c r="S22" s="48">
        <v>1.2477</v>
      </c>
    </row>
    <row r="23" spans="2:19" x14ac:dyDescent="0.2">
      <c r="B23" s="47">
        <v>44704</v>
      </c>
      <c r="C23" s="46">
        <v>34700</v>
      </c>
      <c r="D23" s="45">
        <v>34800</v>
      </c>
      <c r="E23" s="44">
        <f t="shared" si="0"/>
        <v>34750</v>
      </c>
      <c r="F23" s="46">
        <v>34450</v>
      </c>
      <c r="G23" s="45">
        <v>34500</v>
      </c>
      <c r="H23" s="44">
        <f t="shared" si="1"/>
        <v>34475</v>
      </c>
      <c r="I23" s="46">
        <v>33505</v>
      </c>
      <c r="J23" s="45">
        <v>33555</v>
      </c>
      <c r="K23" s="44">
        <f t="shared" si="2"/>
        <v>33530</v>
      </c>
      <c r="L23" s="52">
        <v>34800</v>
      </c>
      <c r="M23" s="51">
        <v>1.2576000000000001</v>
      </c>
      <c r="N23" s="51">
        <v>1.0657000000000001</v>
      </c>
      <c r="O23" s="50">
        <v>127.62</v>
      </c>
      <c r="P23" s="43">
        <v>27671.759999999998</v>
      </c>
      <c r="Q23" s="43">
        <v>27415.77</v>
      </c>
      <c r="R23" s="49">
        <f t="shared" si="3"/>
        <v>32654.593225110253</v>
      </c>
      <c r="S23" s="48">
        <v>1.2584</v>
      </c>
    </row>
    <row r="24" spans="2:19" x14ac:dyDescent="0.2">
      <c r="B24" s="47">
        <v>44705</v>
      </c>
      <c r="C24" s="46">
        <v>34100</v>
      </c>
      <c r="D24" s="45">
        <v>34200</v>
      </c>
      <c r="E24" s="44">
        <f t="shared" si="0"/>
        <v>34150</v>
      </c>
      <c r="F24" s="46">
        <v>33900</v>
      </c>
      <c r="G24" s="45">
        <v>34000</v>
      </c>
      <c r="H24" s="44">
        <f t="shared" si="1"/>
        <v>33950</v>
      </c>
      <c r="I24" s="46">
        <v>32975</v>
      </c>
      <c r="J24" s="45">
        <v>33025</v>
      </c>
      <c r="K24" s="44">
        <f t="shared" si="2"/>
        <v>33000</v>
      </c>
      <c r="L24" s="52">
        <v>34200</v>
      </c>
      <c r="M24" s="51">
        <v>1.2499</v>
      </c>
      <c r="N24" s="51">
        <v>1.0714999999999999</v>
      </c>
      <c r="O24" s="50">
        <v>127.4</v>
      </c>
      <c r="P24" s="43">
        <v>27362.19</v>
      </c>
      <c r="Q24" s="43">
        <v>27180.43</v>
      </c>
      <c r="R24" s="49">
        <f t="shared" si="3"/>
        <v>31917.872141857213</v>
      </c>
      <c r="S24" s="48">
        <v>1.2508999999999999</v>
      </c>
    </row>
    <row r="25" spans="2:19" x14ac:dyDescent="0.2">
      <c r="B25" s="47">
        <v>44706</v>
      </c>
      <c r="C25" s="46">
        <v>34200</v>
      </c>
      <c r="D25" s="45">
        <v>34300</v>
      </c>
      <c r="E25" s="44">
        <f t="shared" si="0"/>
        <v>34250</v>
      </c>
      <c r="F25" s="46">
        <v>33750</v>
      </c>
      <c r="G25" s="45">
        <v>33800</v>
      </c>
      <c r="H25" s="44">
        <f t="shared" si="1"/>
        <v>33775</v>
      </c>
      <c r="I25" s="46">
        <v>32860</v>
      </c>
      <c r="J25" s="45">
        <v>32910</v>
      </c>
      <c r="K25" s="44">
        <f t="shared" si="2"/>
        <v>32885</v>
      </c>
      <c r="L25" s="52">
        <v>34300</v>
      </c>
      <c r="M25" s="51">
        <v>1.2492000000000001</v>
      </c>
      <c r="N25" s="51">
        <v>1.0660000000000001</v>
      </c>
      <c r="O25" s="50">
        <v>126.98</v>
      </c>
      <c r="P25" s="43">
        <v>27457.57</v>
      </c>
      <c r="Q25" s="43">
        <v>27035.67</v>
      </c>
      <c r="R25" s="49">
        <f t="shared" si="3"/>
        <v>32176.36022514071</v>
      </c>
      <c r="S25" s="48">
        <v>1.2502</v>
      </c>
    </row>
    <row r="26" spans="2:19" x14ac:dyDescent="0.2">
      <c r="B26" s="47">
        <v>44707</v>
      </c>
      <c r="C26" s="46">
        <v>33675</v>
      </c>
      <c r="D26" s="45">
        <v>33725</v>
      </c>
      <c r="E26" s="44">
        <f t="shared" si="0"/>
        <v>33700</v>
      </c>
      <c r="F26" s="46">
        <v>33250</v>
      </c>
      <c r="G26" s="45">
        <v>33300</v>
      </c>
      <c r="H26" s="44">
        <f t="shared" si="1"/>
        <v>33275</v>
      </c>
      <c r="I26" s="46">
        <v>32365</v>
      </c>
      <c r="J26" s="45">
        <v>32415</v>
      </c>
      <c r="K26" s="44">
        <f t="shared" si="2"/>
        <v>32390</v>
      </c>
      <c r="L26" s="52">
        <v>33725</v>
      </c>
      <c r="M26" s="51">
        <v>1.2596000000000001</v>
      </c>
      <c r="N26" s="51">
        <v>1.0706</v>
      </c>
      <c r="O26" s="50">
        <v>127.04</v>
      </c>
      <c r="P26" s="43">
        <v>26774.37</v>
      </c>
      <c r="Q26" s="43">
        <v>26415.99</v>
      </c>
      <c r="R26" s="49">
        <f t="shared" si="3"/>
        <v>31501.027461236688</v>
      </c>
      <c r="S26" s="48">
        <v>1.2605999999999999</v>
      </c>
    </row>
    <row r="27" spans="2:19" x14ac:dyDescent="0.2">
      <c r="B27" s="47">
        <v>44708</v>
      </c>
      <c r="C27" s="46">
        <v>34000</v>
      </c>
      <c r="D27" s="45">
        <v>34050</v>
      </c>
      <c r="E27" s="44">
        <f t="shared" si="0"/>
        <v>34025</v>
      </c>
      <c r="F27" s="46">
        <v>33500</v>
      </c>
      <c r="G27" s="45">
        <v>33600</v>
      </c>
      <c r="H27" s="44">
        <f t="shared" si="1"/>
        <v>33550</v>
      </c>
      <c r="I27" s="46">
        <v>32640</v>
      </c>
      <c r="J27" s="45">
        <v>32690</v>
      </c>
      <c r="K27" s="44">
        <f t="shared" si="2"/>
        <v>32665</v>
      </c>
      <c r="L27" s="52">
        <v>34050</v>
      </c>
      <c r="M27" s="51">
        <v>1.2618</v>
      </c>
      <c r="N27" s="51">
        <v>1.0707</v>
      </c>
      <c r="O27" s="50">
        <v>126.92</v>
      </c>
      <c r="P27" s="43">
        <v>26985.26</v>
      </c>
      <c r="Q27" s="43">
        <v>26609.65</v>
      </c>
      <c r="R27" s="49">
        <f t="shared" si="3"/>
        <v>31801.625105071449</v>
      </c>
      <c r="S27" s="48">
        <v>1.2626999999999999</v>
      </c>
    </row>
    <row r="28" spans="2:19" x14ac:dyDescent="0.2">
      <c r="B28" s="47">
        <v>44711</v>
      </c>
      <c r="C28" s="46">
        <v>34975</v>
      </c>
      <c r="D28" s="45">
        <v>35000</v>
      </c>
      <c r="E28" s="44">
        <f t="shared" si="0"/>
        <v>34987.5</v>
      </c>
      <c r="F28" s="46">
        <v>34650</v>
      </c>
      <c r="G28" s="45">
        <v>34700</v>
      </c>
      <c r="H28" s="44">
        <f t="shared" si="1"/>
        <v>34675</v>
      </c>
      <c r="I28" s="46">
        <v>33780</v>
      </c>
      <c r="J28" s="45">
        <v>33830</v>
      </c>
      <c r="K28" s="44">
        <f t="shared" si="2"/>
        <v>33805</v>
      </c>
      <c r="L28" s="52">
        <v>35000</v>
      </c>
      <c r="M28" s="51">
        <v>1.264</v>
      </c>
      <c r="N28" s="51">
        <v>1.0767</v>
      </c>
      <c r="O28" s="50">
        <v>127.43</v>
      </c>
      <c r="P28" s="43">
        <v>27689.87</v>
      </c>
      <c r="Q28" s="43">
        <v>27435.17</v>
      </c>
      <c r="R28" s="49">
        <f t="shared" si="3"/>
        <v>32506.733537661374</v>
      </c>
      <c r="S28" s="48">
        <v>1.2647999999999999</v>
      </c>
    </row>
    <row r="29" spans="2:19" x14ac:dyDescent="0.2">
      <c r="B29" s="47">
        <v>44712</v>
      </c>
      <c r="C29" s="46">
        <v>34850</v>
      </c>
      <c r="D29" s="45">
        <v>34900</v>
      </c>
      <c r="E29" s="44">
        <f t="shared" si="0"/>
        <v>34875</v>
      </c>
      <c r="F29" s="46">
        <v>34575</v>
      </c>
      <c r="G29" s="45">
        <v>34625</v>
      </c>
      <c r="H29" s="44">
        <f t="shared" si="1"/>
        <v>34600</v>
      </c>
      <c r="I29" s="46">
        <v>33575</v>
      </c>
      <c r="J29" s="45">
        <v>33625</v>
      </c>
      <c r="K29" s="44">
        <f t="shared" si="2"/>
        <v>33600</v>
      </c>
      <c r="L29" s="52">
        <v>34900</v>
      </c>
      <c r="M29" s="51">
        <v>1.2588999999999999</v>
      </c>
      <c r="N29" s="51">
        <v>1.0712999999999999</v>
      </c>
      <c r="O29" s="50">
        <v>128.19</v>
      </c>
      <c r="P29" s="43">
        <v>27722.61</v>
      </c>
      <c r="Q29" s="43">
        <v>27484.52</v>
      </c>
      <c r="R29" s="49">
        <f t="shared" si="3"/>
        <v>32577.242602445629</v>
      </c>
      <c r="S29" s="48">
        <v>1.2598</v>
      </c>
    </row>
    <row r="30" spans="2:19" s="10" customFormat="1" x14ac:dyDescent="0.2">
      <c r="B30" s="42" t="s">
        <v>11</v>
      </c>
      <c r="C30" s="41">
        <f>ROUND(AVERAGE(C9:C29),2)</f>
        <v>35881.9</v>
      </c>
      <c r="D30" s="40">
        <f>ROUND(AVERAGE(D9:D29),2)</f>
        <v>35944.76</v>
      </c>
      <c r="E30" s="39">
        <f>ROUND(AVERAGE(C30:D30),2)</f>
        <v>35913.33</v>
      </c>
      <c r="F30" s="41">
        <f>ROUND(AVERAGE(F9:F29),2)</f>
        <v>35580.949999999997</v>
      </c>
      <c r="G30" s="40">
        <f>ROUND(AVERAGE(G9:G29),2)</f>
        <v>35633.81</v>
      </c>
      <c r="H30" s="39">
        <f>ROUND(AVERAGE(F30:G30),2)</f>
        <v>35607.379999999997</v>
      </c>
      <c r="I30" s="41">
        <f>ROUND(AVERAGE(I9:I29),2)</f>
        <v>34768.1</v>
      </c>
      <c r="J30" s="40">
        <f>ROUND(AVERAGE(J9:J29),2)</f>
        <v>34818.1</v>
      </c>
      <c r="K30" s="39">
        <f>ROUND(AVERAGE(I30:J30),2)</f>
        <v>34793.1</v>
      </c>
      <c r="L30" s="38">
        <f>ROUND(AVERAGE(L9:L29),2)</f>
        <v>35944.76</v>
      </c>
      <c r="M30" s="37">
        <f>ROUND(AVERAGE(M9:M29),4)</f>
        <v>1.2443</v>
      </c>
      <c r="N30" s="36">
        <f>ROUND(AVERAGE(N9:N29),4)</f>
        <v>1.0576000000000001</v>
      </c>
      <c r="O30" s="175">
        <f>ROUND(AVERAGE(O9:O29),2)</f>
        <v>128.78</v>
      </c>
      <c r="P30" s="35">
        <f>AVERAGE(P9:P29)</f>
        <v>28892.33</v>
      </c>
      <c r="Q30" s="35">
        <f>AVERAGE(Q9:Q29)</f>
        <v>28624.961428571438</v>
      </c>
      <c r="R30" s="35">
        <f>AVERAGE(R9:R29)</f>
        <v>33995.067400280321</v>
      </c>
      <c r="S30" s="34">
        <f>AVERAGE(S9:S29)</f>
        <v>1.2450476190476192</v>
      </c>
    </row>
    <row r="31" spans="2:19" s="5" customFormat="1" x14ac:dyDescent="0.2">
      <c r="B31" s="33" t="s">
        <v>12</v>
      </c>
      <c r="C31" s="32">
        <f t="shared" ref="C31:S31" si="4">MAX(C9:C29)</f>
        <v>41200</v>
      </c>
      <c r="D31" s="31">
        <f t="shared" si="4"/>
        <v>41300</v>
      </c>
      <c r="E31" s="30">
        <f t="shared" si="4"/>
        <v>41250</v>
      </c>
      <c r="F31" s="32">
        <f t="shared" si="4"/>
        <v>40850</v>
      </c>
      <c r="G31" s="31">
        <f t="shared" si="4"/>
        <v>40900</v>
      </c>
      <c r="H31" s="30">
        <f t="shared" si="4"/>
        <v>40875</v>
      </c>
      <c r="I31" s="32">
        <f t="shared" si="4"/>
        <v>40150</v>
      </c>
      <c r="J31" s="31">
        <f t="shared" si="4"/>
        <v>40200</v>
      </c>
      <c r="K31" s="30">
        <f t="shared" si="4"/>
        <v>40175</v>
      </c>
      <c r="L31" s="29">
        <f t="shared" si="4"/>
        <v>41300</v>
      </c>
      <c r="M31" s="28">
        <f t="shared" si="4"/>
        <v>1.264</v>
      </c>
      <c r="N31" s="27">
        <f t="shared" si="4"/>
        <v>1.0767</v>
      </c>
      <c r="O31" s="26">
        <f t="shared" si="4"/>
        <v>131.03</v>
      </c>
      <c r="P31" s="25">
        <f t="shared" si="4"/>
        <v>32955.629999999997</v>
      </c>
      <c r="Q31" s="25">
        <f t="shared" si="4"/>
        <v>32630.6</v>
      </c>
      <c r="R31" s="25">
        <f t="shared" si="4"/>
        <v>39191.497437843987</v>
      </c>
      <c r="S31" s="24">
        <f t="shared" si="4"/>
        <v>1.2647999999999999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33675</v>
      </c>
      <c r="D32" s="21">
        <f t="shared" si="5"/>
        <v>33725</v>
      </c>
      <c r="E32" s="20">
        <f t="shared" si="5"/>
        <v>33700</v>
      </c>
      <c r="F32" s="22">
        <f t="shared" si="5"/>
        <v>33250</v>
      </c>
      <c r="G32" s="21">
        <f t="shared" si="5"/>
        <v>33300</v>
      </c>
      <c r="H32" s="20">
        <f t="shared" si="5"/>
        <v>33275</v>
      </c>
      <c r="I32" s="22">
        <f t="shared" si="5"/>
        <v>32365</v>
      </c>
      <c r="J32" s="21">
        <f t="shared" si="5"/>
        <v>32415</v>
      </c>
      <c r="K32" s="20">
        <f t="shared" si="5"/>
        <v>32390</v>
      </c>
      <c r="L32" s="19">
        <f t="shared" si="5"/>
        <v>33725</v>
      </c>
      <c r="M32" s="18">
        <f t="shared" si="5"/>
        <v>1.2192000000000001</v>
      </c>
      <c r="N32" s="17">
        <f t="shared" si="5"/>
        <v>1.0383</v>
      </c>
      <c r="O32" s="16">
        <f t="shared" si="5"/>
        <v>126.92</v>
      </c>
      <c r="P32" s="15">
        <f t="shared" si="5"/>
        <v>26774.37</v>
      </c>
      <c r="Q32" s="15">
        <f t="shared" si="5"/>
        <v>26415.99</v>
      </c>
      <c r="R32" s="15">
        <f t="shared" si="5"/>
        <v>31501.027461236688</v>
      </c>
      <c r="S32" s="14">
        <f t="shared" si="5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44684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44684</v>
      </c>
      <c r="C9" s="46">
        <v>30900</v>
      </c>
      <c r="D9" s="45">
        <v>30910</v>
      </c>
      <c r="E9" s="44">
        <f t="shared" ref="E9:E29" si="0">AVERAGE(C9:D9)</f>
        <v>30905</v>
      </c>
      <c r="F9" s="46">
        <v>30975</v>
      </c>
      <c r="G9" s="45">
        <v>31025</v>
      </c>
      <c r="H9" s="44">
        <f t="shared" ref="H9:H29" si="1">AVERAGE(F9:G9)</f>
        <v>31000</v>
      </c>
      <c r="I9" s="46">
        <v>30980</v>
      </c>
      <c r="J9" s="45">
        <v>31030</v>
      </c>
      <c r="K9" s="44">
        <f t="shared" ref="K9:K29" si="2">AVERAGE(I9:J9)</f>
        <v>31005</v>
      </c>
      <c r="L9" s="46">
        <v>30915</v>
      </c>
      <c r="M9" s="45">
        <v>30965</v>
      </c>
      <c r="N9" s="44">
        <f t="shared" ref="N9:N29" si="3">AVERAGE(L9:M9)</f>
        <v>30940</v>
      </c>
      <c r="O9" s="46">
        <v>30815</v>
      </c>
      <c r="P9" s="45">
        <v>30865</v>
      </c>
      <c r="Q9" s="44">
        <f t="shared" ref="Q9:Q29" si="4">AVERAGE(O9:P9)</f>
        <v>30840</v>
      </c>
      <c r="R9" s="52">
        <v>30910</v>
      </c>
      <c r="S9" s="51">
        <v>1.2532000000000001</v>
      </c>
      <c r="T9" s="53">
        <v>1.0538000000000001</v>
      </c>
      <c r="U9" s="50">
        <v>129.91999999999999</v>
      </c>
      <c r="V9" s="43">
        <v>24664.86</v>
      </c>
      <c r="W9" s="43">
        <v>24746.75</v>
      </c>
      <c r="X9" s="49">
        <f t="shared" ref="X9:X29" si="5">R9/T9</f>
        <v>29331.941544885176</v>
      </c>
      <c r="Y9" s="48">
        <v>1.2537</v>
      </c>
    </row>
    <row r="10" spans="1:25" x14ac:dyDescent="0.2">
      <c r="B10" s="47">
        <v>44685</v>
      </c>
      <c r="C10" s="46">
        <v>30375</v>
      </c>
      <c r="D10" s="45">
        <v>30385</v>
      </c>
      <c r="E10" s="44">
        <f t="shared" si="0"/>
        <v>30380</v>
      </c>
      <c r="F10" s="46">
        <v>30425</v>
      </c>
      <c r="G10" s="45">
        <v>30450</v>
      </c>
      <c r="H10" s="44">
        <f t="shared" si="1"/>
        <v>30437.5</v>
      </c>
      <c r="I10" s="46">
        <v>30545</v>
      </c>
      <c r="J10" s="45">
        <v>30595</v>
      </c>
      <c r="K10" s="44">
        <f t="shared" si="2"/>
        <v>30570</v>
      </c>
      <c r="L10" s="46">
        <v>30545</v>
      </c>
      <c r="M10" s="45">
        <v>30595</v>
      </c>
      <c r="N10" s="44">
        <f t="shared" si="3"/>
        <v>30570</v>
      </c>
      <c r="O10" s="46">
        <v>30445</v>
      </c>
      <c r="P10" s="45">
        <v>30495</v>
      </c>
      <c r="Q10" s="44">
        <f t="shared" si="4"/>
        <v>30470</v>
      </c>
      <c r="R10" s="52">
        <v>30385</v>
      </c>
      <c r="S10" s="51">
        <v>1.2511000000000001</v>
      </c>
      <c r="T10" s="51">
        <v>1.0530999999999999</v>
      </c>
      <c r="U10" s="50">
        <v>129.96</v>
      </c>
      <c r="V10" s="43">
        <v>24286.63</v>
      </c>
      <c r="W10" s="43">
        <v>24324.97</v>
      </c>
      <c r="X10" s="49">
        <f t="shared" si="5"/>
        <v>28852.910454847595</v>
      </c>
      <c r="Y10" s="48">
        <v>1.2518</v>
      </c>
    </row>
    <row r="11" spans="1:25" x14ac:dyDescent="0.2">
      <c r="B11" s="47">
        <v>44686</v>
      </c>
      <c r="C11" s="46">
        <v>30190</v>
      </c>
      <c r="D11" s="45">
        <v>30200</v>
      </c>
      <c r="E11" s="44">
        <f t="shared" si="0"/>
        <v>30195</v>
      </c>
      <c r="F11" s="46">
        <v>30275</v>
      </c>
      <c r="G11" s="45">
        <v>30325</v>
      </c>
      <c r="H11" s="44">
        <f t="shared" si="1"/>
        <v>30300</v>
      </c>
      <c r="I11" s="46">
        <v>30505</v>
      </c>
      <c r="J11" s="45">
        <v>30555</v>
      </c>
      <c r="K11" s="44">
        <f t="shared" si="2"/>
        <v>30530</v>
      </c>
      <c r="L11" s="46">
        <v>30585</v>
      </c>
      <c r="M11" s="45">
        <v>30635</v>
      </c>
      <c r="N11" s="44">
        <f t="shared" si="3"/>
        <v>30610</v>
      </c>
      <c r="O11" s="46">
        <v>30585</v>
      </c>
      <c r="P11" s="45">
        <v>30635</v>
      </c>
      <c r="Q11" s="44">
        <f t="shared" si="4"/>
        <v>30610</v>
      </c>
      <c r="R11" s="52">
        <v>30200</v>
      </c>
      <c r="S11" s="51">
        <v>1.2396</v>
      </c>
      <c r="T11" s="51">
        <v>1.0548</v>
      </c>
      <c r="U11" s="50">
        <v>130</v>
      </c>
      <c r="V11" s="43">
        <v>24362.7</v>
      </c>
      <c r="W11" s="43">
        <v>24447.759999999998</v>
      </c>
      <c r="X11" s="49">
        <f t="shared" si="5"/>
        <v>28631.020098596891</v>
      </c>
      <c r="Y11" s="48">
        <v>1.2403999999999999</v>
      </c>
    </row>
    <row r="12" spans="1:25" x14ac:dyDescent="0.2">
      <c r="B12" s="47">
        <v>44687</v>
      </c>
      <c r="C12" s="46">
        <v>29925</v>
      </c>
      <c r="D12" s="45">
        <v>29930</v>
      </c>
      <c r="E12" s="44">
        <f t="shared" si="0"/>
        <v>29927.5</v>
      </c>
      <c r="F12" s="46">
        <v>30020</v>
      </c>
      <c r="G12" s="45">
        <v>30040</v>
      </c>
      <c r="H12" s="44">
        <f t="shared" si="1"/>
        <v>30030</v>
      </c>
      <c r="I12" s="46">
        <v>30305</v>
      </c>
      <c r="J12" s="45">
        <v>30355</v>
      </c>
      <c r="K12" s="44">
        <f t="shared" si="2"/>
        <v>30330</v>
      </c>
      <c r="L12" s="46">
        <v>30405</v>
      </c>
      <c r="M12" s="45">
        <v>30455</v>
      </c>
      <c r="N12" s="44">
        <f t="shared" si="3"/>
        <v>30430</v>
      </c>
      <c r="O12" s="46">
        <v>30405</v>
      </c>
      <c r="P12" s="45">
        <v>30455</v>
      </c>
      <c r="Q12" s="44">
        <f t="shared" si="4"/>
        <v>30430</v>
      </c>
      <c r="R12" s="52">
        <v>29930</v>
      </c>
      <c r="S12" s="51">
        <v>1.2336</v>
      </c>
      <c r="T12" s="51">
        <v>1.0566</v>
      </c>
      <c r="U12" s="50">
        <v>130.43</v>
      </c>
      <c r="V12" s="43">
        <v>24262.32</v>
      </c>
      <c r="W12" s="43">
        <v>24337.68</v>
      </c>
      <c r="X12" s="49">
        <f t="shared" si="5"/>
        <v>28326.708309672536</v>
      </c>
      <c r="Y12" s="48">
        <v>1.2343</v>
      </c>
    </row>
    <row r="13" spans="1:25" x14ac:dyDescent="0.2">
      <c r="B13" s="47">
        <v>44690</v>
      </c>
      <c r="C13" s="46">
        <v>28395</v>
      </c>
      <c r="D13" s="45">
        <v>28400</v>
      </c>
      <c r="E13" s="44">
        <f t="shared" si="0"/>
        <v>28397.5</v>
      </c>
      <c r="F13" s="46">
        <v>28300</v>
      </c>
      <c r="G13" s="45">
        <v>28350</v>
      </c>
      <c r="H13" s="44">
        <f t="shared" si="1"/>
        <v>28325</v>
      </c>
      <c r="I13" s="46">
        <v>28665</v>
      </c>
      <c r="J13" s="45">
        <v>28715</v>
      </c>
      <c r="K13" s="44">
        <f t="shared" si="2"/>
        <v>28690</v>
      </c>
      <c r="L13" s="46">
        <v>28790</v>
      </c>
      <c r="M13" s="45">
        <v>28840</v>
      </c>
      <c r="N13" s="44">
        <f t="shared" si="3"/>
        <v>28815</v>
      </c>
      <c r="O13" s="46">
        <v>28790</v>
      </c>
      <c r="P13" s="45">
        <v>28840</v>
      </c>
      <c r="Q13" s="44">
        <f t="shared" si="4"/>
        <v>28815</v>
      </c>
      <c r="R13" s="52">
        <v>28400</v>
      </c>
      <c r="S13" s="51">
        <v>1.2366999999999999</v>
      </c>
      <c r="T13" s="51">
        <v>1.0547</v>
      </c>
      <c r="U13" s="50">
        <v>131.03</v>
      </c>
      <c r="V13" s="43">
        <v>22964.34</v>
      </c>
      <c r="W13" s="43">
        <v>22910.94</v>
      </c>
      <c r="X13" s="49">
        <f t="shared" si="5"/>
        <v>26927.08827154641</v>
      </c>
      <c r="Y13" s="48">
        <v>1.2374000000000001</v>
      </c>
    </row>
    <row r="14" spans="1:25" x14ac:dyDescent="0.2">
      <c r="B14" s="47">
        <v>44691</v>
      </c>
      <c r="C14" s="46">
        <v>27750</v>
      </c>
      <c r="D14" s="45">
        <v>27760</v>
      </c>
      <c r="E14" s="44">
        <f t="shared" si="0"/>
        <v>27755</v>
      </c>
      <c r="F14" s="46">
        <v>27890</v>
      </c>
      <c r="G14" s="45">
        <v>27910</v>
      </c>
      <c r="H14" s="44">
        <f t="shared" si="1"/>
        <v>27900</v>
      </c>
      <c r="I14" s="46">
        <v>28265</v>
      </c>
      <c r="J14" s="45">
        <v>28315</v>
      </c>
      <c r="K14" s="44">
        <f t="shared" si="2"/>
        <v>28290</v>
      </c>
      <c r="L14" s="46">
        <v>28435</v>
      </c>
      <c r="M14" s="45">
        <v>28485</v>
      </c>
      <c r="N14" s="44">
        <f t="shared" si="3"/>
        <v>28460</v>
      </c>
      <c r="O14" s="46">
        <v>28435</v>
      </c>
      <c r="P14" s="45">
        <v>28485</v>
      </c>
      <c r="Q14" s="44">
        <f t="shared" si="4"/>
        <v>28460</v>
      </c>
      <c r="R14" s="52">
        <v>27760</v>
      </c>
      <c r="S14" s="51">
        <v>1.2338</v>
      </c>
      <c r="T14" s="51">
        <v>1.0552999999999999</v>
      </c>
      <c r="U14" s="50">
        <v>130.08000000000001</v>
      </c>
      <c r="V14" s="43">
        <v>22499.59</v>
      </c>
      <c r="W14" s="43">
        <v>22608.34</v>
      </c>
      <c r="X14" s="49">
        <f t="shared" si="5"/>
        <v>26305.316023879466</v>
      </c>
      <c r="Y14" s="48">
        <v>1.2344999999999999</v>
      </c>
    </row>
    <row r="15" spans="1:25" x14ac:dyDescent="0.2">
      <c r="B15" s="47">
        <v>44692</v>
      </c>
      <c r="C15" s="46">
        <v>27775</v>
      </c>
      <c r="D15" s="45">
        <v>27800</v>
      </c>
      <c r="E15" s="44">
        <f t="shared" si="0"/>
        <v>27787.5</v>
      </c>
      <c r="F15" s="46">
        <v>27875</v>
      </c>
      <c r="G15" s="45">
        <v>27900</v>
      </c>
      <c r="H15" s="44">
        <f t="shared" si="1"/>
        <v>27887.5</v>
      </c>
      <c r="I15" s="46">
        <v>28265</v>
      </c>
      <c r="J15" s="45">
        <v>28315</v>
      </c>
      <c r="K15" s="44">
        <f t="shared" si="2"/>
        <v>28290</v>
      </c>
      <c r="L15" s="46">
        <v>28465</v>
      </c>
      <c r="M15" s="45">
        <v>28515</v>
      </c>
      <c r="N15" s="44">
        <f t="shared" si="3"/>
        <v>28490</v>
      </c>
      <c r="O15" s="46">
        <v>28465</v>
      </c>
      <c r="P15" s="45">
        <v>28515</v>
      </c>
      <c r="Q15" s="44">
        <f t="shared" si="4"/>
        <v>28490</v>
      </c>
      <c r="R15" s="52">
        <v>27800</v>
      </c>
      <c r="S15" s="51">
        <v>1.2357</v>
      </c>
      <c r="T15" s="51">
        <v>1.0545</v>
      </c>
      <c r="U15" s="50">
        <v>129.82</v>
      </c>
      <c r="V15" s="43">
        <v>22497.37</v>
      </c>
      <c r="W15" s="43">
        <v>22563.69</v>
      </c>
      <c r="X15" s="49">
        <f t="shared" si="5"/>
        <v>26363.205310573732</v>
      </c>
      <c r="Y15" s="48">
        <v>1.2364999999999999</v>
      </c>
    </row>
    <row r="16" spans="1:25" x14ac:dyDescent="0.2">
      <c r="B16" s="47">
        <v>44693</v>
      </c>
      <c r="C16" s="46">
        <v>27575</v>
      </c>
      <c r="D16" s="45">
        <v>27600</v>
      </c>
      <c r="E16" s="44">
        <f t="shared" si="0"/>
        <v>27587.5</v>
      </c>
      <c r="F16" s="46">
        <v>27600</v>
      </c>
      <c r="G16" s="45">
        <v>27625</v>
      </c>
      <c r="H16" s="44">
        <f t="shared" si="1"/>
        <v>27612.5</v>
      </c>
      <c r="I16" s="46">
        <v>27955</v>
      </c>
      <c r="J16" s="45">
        <v>28005</v>
      </c>
      <c r="K16" s="44">
        <f t="shared" si="2"/>
        <v>27980</v>
      </c>
      <c r="L16" s="46">
        <v>28155</v>
      </c>
      <c r="M16" s="45">
        <v>28205</v>
      </c>
      <c r="N16" s="44">
        <f t="shared" si="3"/>
        <v>28180</v>
      </c>
      <c r="O16" s="46">
        <v>28155</v>
      </c>
      <c r="P16" s="45">
        <v>28205</v>
      </c>
      <c r="Q16" s="44">
        <f t="shared" si="4"/>
        <v>28180</v>
      </c>
      <c r="R16" s="52">
        <v>27600</v>
      </c>
      <c r="S16" s="51">
        <v>1.2196</v>
      </c>
      <c r="T16" s="51">
        <v>1.04</v>
      </c>
      <c r="U16" s="50">
        <v>128.54</v>
      </c>
      <c r="V16" s="43">
        <v>22630.37</v>
      </c>
      <c r="W16" s="43">
        <v>22636.02</v>
      </c>
      <c r="X16" s="49">
        <f t="shared" si="5"/>
        <v>26538.461538461539</v>
      </c>
      <c r="Y16" s="48">
        <v>1.2203999999999999</v>
      </c>
    </row>
    <row r="17" spans="2:25" x14ac:dyDescent="0.2">
      <c r="B17" s="47">
        <v>44694</v>
      </c>
      <c r="C17" s="46">
        <v>27375</v>
      </c>
      <c r="D17" s="45">
        <v>27425</v>
      </c>
      <c r="E17" s="44">
        <f t="shared" si="0"/>
        <v>27400</v>
      </c>
      <c r="F17" s="46">
        <v>27450</v>
      </c>
      <c r="G17" s="45">
        <v>27475</v>
      </c>
      <c r="H17" s="44">
        <f t="shared" si="1"/>
        <v>27462.5</v>
      </c>
      <c r="I17" s="46">
        <v>27840</v>
      </c>
      <c r="J17" s="45">
        <v>27890</v>
      </c>
      <c r="K17" s="44">
        <f t="shared" si="2"/>
        <v>27865</v>
      </c>
      <c r="L17" s="46">
        <v>28040</v>
      </c>
      <c r="M17" s="45">
        <v>28090</v>
      </c>
      <c r="N17" s="44">
        <f t="shared" si="3"/>
        <v>28065</v>
      </c>
      <c r="O17" s="46">
        <v>28040</v>
      </c>
      <c r="P17" s="45">
        <v>28090</v>
      </c>
      <c r="Q17" s="44">
        <f t="shared" si="4"/>
        <v>28065</v>
      </c>
      <c r="R17" s="52">
        <v>27425</v>
      </c>
      <c r="S17" s="51">
        <v>1.2192000000000001</v>
      </c>
      <c r="T17" s="51">
        <v>1.0383</v>
      </c>
      <c r="U17" s="50">
        <v>129.06</v>
      </c>
      <c r="V17" s="43">
        <v>22494.26</v>
      </c>
      <c r="W17" s="43">
        <v>22518.65</v>
      </c>
      <c r="X17" s="49">
        <f t="shared" si="5"/>
        <v>26413.368005393433</v>
      </c>
      <c r="Y17" s="48">
        <v>1.2201</v>
      </c>
    </row>
    <row r="18" spans="2:25" x14ac:dyDescent="0.2">
      <c r="B18" s="47">
        <v>44697</v>
      </c>
      <c r="C18" s="46">
        <v>26100</v>
      </c>
      <c r="D18" s="45">
        <v>26105</v>
      </c>
      <c r="E18" s="44">
        <f t="shared" si="0"/>
        <v>26102.5</v>
      </c>
      <c r="F18" s="46">
        <v>26125</v>
      </c>
      <c r="G18" s="45">
        <v>26130</v>
      </c>
      <c r="H18" s="44">
        <f t="shared" si="1"/>
        <v>26127.5</v>
      </c>
      <c r="I18" s="46">
        <v>26450</v>
      </c>
      <c r="J18" s="45">
        <v>26500</v>
      </c>
      <c r="K18" s="44">
        <f t="shared" si="2"/>
        <v>26475</v>
      </c>
      <c r="L18" s="46">
        <v>26650</v>
      </c>
      <c r="M18" s="45">
        <v>26700</v>
      </c>
      <c r="N18" s="44">
        <f t="shared" si="3"/>
        <v>26675</v>
      </c>
      <c r="O18" s="46">
        <v>26650</v>
      </c>
      <c r="P18" s="45">
        <v>26700</v>
      </c>
      <c r="Q18" s="44">
        <f t="shared" si="4"/>
        <v>26675</v>
      </c>
      <c r="R18" s="52">
        <v>26105</v>
      </c>
      <c r="S18" s="51">
        <v>1.2259</v>
      </c>
      <c r="T18" s="51">
        <v>1.0419</v>
      </c>
      <c r="U18" s="50">
        <v>129.49</v>
      </c>
      <c r="V18" s="43">
        <v>21294.560000000001</v>
      </c>
      <c r="W18" s="43">
        <v>21314.95</v>
      </c>
      <c r="X18" s="49">
        <f t="shared" si="5"/>
        <v>25055.187637969095</v>
      </c>
      <c r="Y18" s="48">
        <v>1.2259</v>
      </c>
    </row>
    <row r="19" spans="2:25" x14ac:dyDescent="0.2">
      <c r="B19" s="47">
        <v>44698</v>
      </c>
      <c r="C19" s="46">
        <v>26290</v>
      </c>
      <c r="D19" s="45">
        <v>26300</v>
      </c>
      <c r="E19" s="44">
        <f t="shared" si="0"/>
        <v>26295</v>
      </c>
      <c r="F19" s="46">
        <v>26200</v>
      </c>
      <c r="G19" s="45">
        <v>26250</v>
      </c>
      <c r="H19" s="44">
        <f t="shared" si="1"/>
        <v>26225</v>
      </c>
      <c r="I19" s="46">
        <v>26550</v>
      </c>
      <c r="J19" s="45">
        <v>26600</v>
      </c>
      <c r="K19" s="44">
        <f t="shared" si="2"/>
        <v>26575</v>
      </c>
      <c r="L19" s="46">
        <v>26750</v>
      </c>
      <c r="M19" s="45">
        <v>26800</v>
      </c>
      <c r="N19" s="44">
        <f t="shared" si="3"/>
        <v>26775</v>
      </c>
      <c r="O19" s="46">
        <v>26750</v>
      </c>
      <c r="P19" s="45">
        <v>26800</v>
      </c>
      <c r="Q19" s="44">
        <f t="shared" si="4"/>
        <v>26775</v>
      </c>
      <c r="R19" s="52">
        <v>26300</v>
      </c>
      <c r="S19" s="51">
        <v>1.2484</v>
      </c>
      <c r="T19" s="51">
        <v>1.0539000000000001</v>
      </c>
      <c r="U19" s="50">
        <v>129.33000000000001</v>
      </c>
      <c r="V19" s="43">
        <v>21066.97</v>
      </c>
      <c r="W19" s="43">
        <v>21013.45</v>
      </c>
      <c r="X19" s="49">
        <f t="shared" si="5"/>
        <v>24954.929310181229</v>
      </c>
      <c r="Y19" s="48">
        <v>1.2492000000000001</v>
      </c>
    </row>
    <row r="20" spans="2:25" x14ac:dyDescent="0.2">
      <c r="B20" s="47">
        <v>44699</v>
      </c>
      <c r="C20" s="46">
        <v>26175</v>
      </c>
      <c r="D20" s="45">
        <v>26180</v>
      </c>
      <c r="E20" s="44">
        <f t="shared" si="0"/>
        <v>26177.5</v>
      </c>
      <c r="F20" s="46">
        <v>26280</v>
      </c>
      <c r="G20" s="45">
        <v>26320</v>
      </c>
      <c r="H20" s="44">
        <f t="shared" si="1"/>
        <v>26300</v>
      </c>
      <c r="I20" s="46">
        <v>26650</v>
      </c>
      <c r="J20" s="45">
        <v>26700</v>
      </c>
      <c r="K20" s="44">
        <f t="shared" si="2"/>
        <v>26675</v>
      </c>
      <c r="L20" s="46">
        <v>26850</v>
      </c>
      <c r="M20" s="45">
        <v>26900</v>
      </c>
      <c r="N20" s="44">
        <f t="shared" si="3"/>
        <v>26875</v>
      </c>
      <c r="O20" s="46">
        <v>26850</v>
      </c>
      <c r="P20" s="45">
        <v>26900</v>
      </c>
      <c r="Q20" s="44">
        <f t="shared" si="4"/>
        <v>26875</v>
      </c>
      <c r="R20" s="52">
        <v>26180</v>
      </c>
      <c r="S20" s="51">
        <v>1.242</v>
      </c>
      <c r="T20" s="51">
        <v>1.0509999999999999</v>
      </c>
      <c r="U20" s="50">
        <v>129.11000000000001</v>
      </c>
      <c r="V20" s="43">
        <v>21078.9</v>
      </c>
      <c r="W20" s="43">
        <v>21179.69</v>
      </c>
      <c r="X20" s="49">
        <f t="shared" si="5"/>
        <v>24909.609895337777</v>
      </c>
      <c r="Y20" s="48">
        <v>1.2426999999999999</v>
      </c>
    </row>
    <row r="21" spans="2:25" x14ac:dyDescent="0.2">
      <c r="B21" s="47">
        <v>44700</v>
      </c>
      <c r="C21" s="46">
        <v>26100</v>
      </c>
      <c r="D21" s="45">
        <v>26125</v>
      </c>
      <c r="E21" s="44">
        <f t="shared" si="0"/>
        <v>26112.5</v>
      </c>
      <c r="F21" s="46">
        <v>26190</v>
      </c>
      <c r="G21" s="45">
        <v>26200</v>
      </c>
      <c r="H21" s="44">
        <f t="shared" si="1"/>
        <v>26195</v>
      </c>
      <c r="I21" s="46">
        <v>26525</v>
      </c>
      <c r="J21" s="45">
        <v>26575</v>
      </c>
      <c r="K21" s="44">
        <f t="shared" si="2"/>
        <v>26550</v>
      </c>
      <c r="L21" s="46">
        <v>26725</v>
      </c>
      <c r="M21" s="45">
        <v>26775</v>
      </c>
      <c r="N21" s="44">
        <f t="shared" si="3"/>
        <v>26750</v>
      </c>
      <c r="O21" s="46">
        <v>26725</v>
      </c>
      <c r="P21" s="45">
        <v>26775</v>
      </c>
      <c r="Q21" s="44">
        <f t="shared" si="4"/>
        <v>26750</v>
      </c>
      <c r="R21" s="52">
        <v>26125</v>
      </c>
      <c r="S21" s="51">
        <v>1.2432000000000001</v>
      </c>
      <c r="T21" s="51">
        <v>1.0518000000000001</v>
      </c>
      <c r="U21" s="50">
        <v>127.94</v>
      </c>
      <c r="V21" s="43">
        <v>21014.32</v>
      </c>
      <c r="W21" s="43">
        <v>21061.09</v>
      </c>
      <c r="X21" s="49">
        <f t="shared" si="5"/>
        <v>24838.372314128159</v>
      </c>
      <c r="Y21" s="48">
        <v>1.244</v>
      </c>
    </row>
    <row r="22" spans="2:25" x14ac:dyDescent="0.2">
      <c r="B22" s="47">
        <v>44701</v>
      </c>
      <c r="C22" s="46">
        <v>27900</v>
      </c>
      <c r="D22" s="45">
        <v>27950</v>
      </c>
      <c r="E22" s="44">
        <f t="shared" si="0"/>
        <v>27925</v>
      </c>
      <c r="F22" s="46">
        <v>27875</v>
      </c>
      <c r="G22" s="45">
        <v>27900</v>
      </c>
      <c r="H22" s="44">
        <f t="shared" si="1"/>
        <v>27887.5</v>
      </c>
      <c r="I22" s="46">
        <v>28165</v>
      </c>
      <c r="J22" s="45">
        <v>28215</v>
      </c>
      <c r="K22" s="44">
        <f t="shared" si="2"/>
        <v>28190</v>
      </c>
      <c r="L22" s="46">
        <v>28365</v>
      </c>
      <c r="M22" s="45">
        <v>28415</v>
      </c>
      <c r="N22" s="44">
        <f t="shared" si="3"/>
        <v>28390</v>
      </c>
      <c r="O22" s="46">
        <v>28365</v>
      </c>
      <c r="P22" s="45">
        <v>28415</v>
      </c>
      <c r="Q22" s="44">
        <f t="shared" si="4"/>
        <v>28390</v>
      </c>
      <c r="R22" s="52">
        <v>27950</v>
      </c>
      <c r="S22" s="51">
        <v>1.2468999999999999</v>
      </c>
      <c r="T22" s="51">
        <v>1.0567</v>
      </c>
      <c r="U22" s="50">
        <v>128.06</v>
      </c>
      <c r="V22" s="43">
        <v>22415.59</v>
      </c>
      <c r="W22" s="43">
        <v>22361.14</v>
      </c>
      <c r="X22" s="49">
        <f t="shared" si="5"/>
        <v>26450.269707580203</v>
      </c>
      <c r="Y22" s="48">
        <v>1.2477</v>
      </c>
    </row>
    <row r="23" spans="2:25" x14ac:dyDescent="0.2">
      <c r="B23" s="47">
        <v>44704</v>
      </c>
      <c r="C23" s="46">
        <v>26795</v>
      </c>
      <c r="D23" s="45">
        <v>26800</v>
      </c>
      <c r="E23" s="44">
        <f t="shared" si="0"/>
        <v>26797.5</v>
      </c>
      <c r="F23" s="46">
        <v>26700</v>
      </c>
      <c r="G23" s="45">
        <v>26750</v>
      </c>
      <c r="H23" s="44">
        <f t="shared" si="1"/>
        <v>26725</v>
      </c>
      <c r="I23" s="46">
        <v>26955</v>
      </c>
      <c r="J23" s="45">
        <v>27005</v>
      </c>
      <c r="K23" s="44">
        <f t="shared" si="2"/>
        <v>26980</v>
      </c>
      <c r="L23" s="46">
        <v>27105</v>
      </c>
      <c r="M23" s="45">
        <v>27155</v>
      </c>
      <c r="N23" s="44">
        <f t="shared" si="3"/>
        <v>27130</v>
      </c>
      <c r="O23" s="46">
        <v>27105</v>
      </c>
      <c r="P23" s="45">
        <v>27155</v>
      </c>
      <c r="Q23" s="44">
        <f t="shared" si="4"/>
        <v>27130</v>
      </c>
      <c r="R23" s="52">
        <v>26800</v>
      </c>
      <c r="S23" s="51">
        <v>1.2576000000000001</v>
      </c>
      <c r="T23" s="51">
        <v>1.0657000000000001</v>
      </c>
      <c r="U23" s="50">
        <v>127.62</v>
      </c>
      <c r="V23" s="43">
        <v>21310.43</v>
      </c>
      <c r="W23" s="43">
        <v>21257.15</v>
      </c>
      <c r="X23" s="49">
        <f t="shared" si="5"/>
        <v>25147.790184855021</v>
      </c>
      <c r="Y23" s="48">
        <v>1.2584</v>
      </c>
    </row>
    <row r="24" spans="2:25" x14ac:dyDescent="0.2">
      <c r="B24" s="47">
        <v>44705</v>
      </c>
      <c r="C24" s="46">
        <v>26250</v>
      </c>
      <c r="D24" s="45">
        <v>26280</v>
      </c>
      <c r="E24" s="44">
        <f t="shared" si="0"/>
        <v>26265</v>
      </c>
      <c r="F24" s="46">
        <v>26245</v>
      </c>
      <c r="G24" s="45">
        <v>26250</v>
      </c>
      <c r="H24" s="44">
        <f t="shared" si="1"/>
        <v>26247.5</v>
      </c>
      <c r="I24" s="46">
        <v>26495</v>
      </c>
      <c r="J24" s="45">
        <v>26545</v>
      </c>
      <c r="K24" s="44">
        <f t="shared" si="2"/>
        <v>26520</v>
      </c>
      <c r="L24" s="46">
        <v>26645</v>
      </c>
      <c r="M24" s="45">
        <v>26695</v>
      </c>
      <c r="N24" s="44">
        <f t="shared" si="3"/>
        <v>26670</v>
      </c>
      <c r="O24" s="46">
        <v>26645</v>
      </c>
      <c r="P24" s="45">
        <v>26695</v>
      </c>
      <c r="Q24" s="44">
        <f t="shared" si="4"/>
        <v>26670</v>
      </c>
      <c r="R24" s="52">
        <v>26280</v>
      </c>
      <c r="S24" s="51">
        <v>1.2499</v>
      </c>
      <c r="T24" s="51">
        <v>1.0714999999999999</v>
      </c>
      <c r="U24" s="50">
        <v>127.4</v>
      </c>
      <c r="V24" s="43">
        <v>21025.68</v>
      </c>
      <c r="W24" s="43">
        <v>20984.89</v>
      </c>
      <c r="X24" s="49">
        <f t="shared" si="5"/>
        <v>24526.364909006068</v>
      </c>
      <c r="Y24" s="48">
        <v>1.2508999999999999</v>
      </c>
    </row>
    <row r="25" spans="2:25" x14ac:dyDescent="0.2">
      <c r="B25" s="47">
        <v>44706</v>
      </c>
      <c r="C25" s="46">
        <v>26700</v>
      </c>
      <c r="D25" s="45">
        <v>26725</v>
      </c>
      <c r="E25" s="44">
        <f t="shared" si="0"/>
        <v>26712.5</v>
      </c>
      <c r="F25" s="46">
        <v>26750</v>
      </c>
      <c r="G25" s="45">
        <v>26800</v>
      </c>
      <c r="H25" s="44">
        <f t="shared" si="1"/>
        <v>26775</v>
      </c>
      <c r="I25" s="46">
        <v>27045</v>
      </c>
      <c r="J25" s="45">
        <v>27095</v>
      </c>
      <c r="K25" s="44">
        <f t="shared" si="2"/>
        <v>27070</v>
      </c>
      <c r="L25" s="46">
        <v>27245</v>
      </c>
      <c r="M25" s="45">
        <v>27295</v>
      </c>
      <c r="N25" s="44">
        <f t="shared" si="3"/>
        <v>27270</v>
      </c>
      <c r="O25" s="46">
        <v>27295</v>
      </c>
      <c r="P25" s="45">
        <v>27345</v>
      </c>
      <c r="Q25" s="44">
        <f t="shared" si="4"/>
        <v>27320</v>
      </c>
      <c r="R25" s="52">
        <v>26725</v>
      </c>
      <c r="S25" s="51">
        <v>1.2492000000000001</v>
      </c>
      <c r="T25" s="51">
        <v>1.0660000000000001</v>
      </c>
      <c r="U25" s="50">
        <v>126.98</v>
      </c>
      <c r="V25" s="43">
        <v>21393.69</v>
      </c>
      <c r="W25" s="43">
        <v>21436.57</v>
      </c>
      <c r="X25" s="49">
        <f t="shared" si="5"/>
        <v>25070.356472795494</v>
      </c>
      <c r="Y25" s="48">
        <v>1.2502</v>
      </c>
    </row>
    <row r="26" spans="2:25" x14ac:dyDescent="0.2">
      <c r="B26" s="47">
        <v>44707</v>
      </c>
      <c r="C26" s="46">
        <v>27525</v>
      </c>
      <c r="D26" s="45">
        <v>27550</v>
      </c>
      <c r="E26" s="44">
        <f t="shared" si="0"/>
        <v>27537.5</v>
      </c>
      <c r="F26" s="46">
        <v>27400</v>
      </c>
      <c r="G26" s="45">
        <v>27450</v>
      </c>
      <c r="H26" s="44">
        <f t="shared" si="1"/>
        <v>27425</v>
      </c>
      <c r="I26" s="46">
        <v>27695</v>
      </c>
      <c r="J26" s="45">
        <v>27745</v>
      </c>
      <c r="K26" s="44">
        <f t="shared" si="2"/>
        <v>27720</v>
      </c>
      <c r="L26" s="46">
        <v>27895</v>
      </c>
      <c r="M26" s="45">
        <v>27945</v>
      </c>
      <c r="N26" s="44">
        <f t="shared" si="3"/>
        <v>27920</v>
      </c>
      <c r="O26" s="46">
        <v>27945</v>
      </c>
      <c r="P26" s="45">
        <v>27995</v>
      </c>
      <c r="Q26" s="44">
        <f t="shared" si="4"/>
        <v>27970</v>
      </c>
      <c r="R26" s="52">
        <v>27550</v>
      </c>
      <c r="S26" s="51">
        <v>1.2596000000000001</v>
      </c>
      <c r="T26" s="51">
        <v>1.0706</v>
      </c>
      <c r="U26" s="50">
        <v>127.04</v>
      </c>
      <c r="V26" s="43">
        <v>21872.02</v>
      </c>
      <c r="W26" s="43">
        <v>21775.35</v>
      </c>
      <c r="X26" s="49">
        <f t="shared" si="5"/>
        <v>25733.233700728564</v>
      </c>
      <c r="Y26" s="48">
        <v>1.2605999999999999</v>
      </c>
    </row>
    <row r="27" spans="2:25" x14ac:dyDescent="0.2">
      <c r="B27" s="47">
        <v>44708</v>
      </c>
      <c r="C27" s="46">
        <v>27800</v>
      </c>
      <c r="D27" s="45">
        <v>27850</v>
      </c>
      <c r="E27" s="44">
        <f t="shared" si="0"/>
        <v>27825</v>
      </c>
      <c r="F27" s="46">
        <v>28150</v>
      </c>
      <c r="G27" s="45">
        <v>28200</v>
      </c>
      <c r="H27" s="44">
        <f t="shared" si="1"/>
        <v>28175</v>
      </c>
      <c r="I27" s="46">
        <v>28420</v>
      </c>
      <c r="J27" s="45">
        <v>28470</v>
      </c>
      <c r="K27" s="44">
        <f t="shared" si="2"/>
        <v>28445</v>
      </c>
      <c r="L27" s="46">
        <v>28595</v>
      </c>
      <c r="M27" s="45">
        <v>28645</v>
      </c>
      <c r="N27" s="44">
        <f t="shared" si="3"/>
        <v>28620</v>
      </c>
      <c r="O27" s="46">
        <v>28645</v>
      </c>
      <c r="P27" s="45">
        <v>28695</v>
      </c>
      <c r="Q27" s="44">
        <f t="shared" si="4"/>
        <v>28670</v>
      </c>
      <c r="R27" s="52">
        <v>27850</v>
      </c>
      <c r="S27" s="51">
        <v>1.2618</v>
      </c>
      <c r="T27" s="51">
        <v>1.0707</v>
      </c>
      <c r="U27" s="50">
        <v>126.92</v>
      </c>
      <c r="V27" s="43">
        <v>22071.64</v>
      </c>
      <c r="W27" s="43">
        <v>22333.1</v>
      </c>
      <c r="X27" s="49">
        <f t="shared" si="5"/>
        <v>26011.020827496031</v>
      </c>
      <c r="Y27" s="48">
        <v>1.2626999999999999</v>
      </c>
    </row>
    <row r="28" spans="2:25" x14ac:dyDescent="0.2">
      <c r="B28" s="47">
        <v>44711</v>
      </c>
      <c r="C28" s="46">
        <v>29925</v>
      </c>
      <c r="D28" s="45">
        <v>29975</v>
      </c>
      <c r="E28" s="44">
        <f t="shared" si="0"/>
        <v>29950</v>
      </c>
      <c r="F28" s="46">
        <v>29950</v>
      </c>
      <c r="G28" s="45">
        <v>30000</v>
      </c>
      <c r="H28" s="44">
        <f t="shared" si="1"/>
        <v>29975</v>
      </c>
      <c r="I28" s="46">
        <v>30210</v>
      </c>
      <c r="J28" s="45">
        <v>30260</v>
      </c>
      <c r="K28" s="44">
        <f t="shared" si="2"/>
        <v>30235</v>
      </c>
      <c r="L28" s="46">
        <v>30360</v>
      </c>
      <c r="M28" s="45">
        <v>30410</v>
      </c>
      <c r="N28" s="44">
        <f t="shared" si="3"/>
        <v>30385</v>
      </c>
      <c r="O28" s="46">
        <v>30410</v>
      </c>
      <c r="P28" s="45">
        <v>30460</v>
      </c>
      <c r="Q28" s="44">
        <f t="shared" si="4"/>
        <v>30435</v>
      </c>
      <c r="R28" s="52">
        <v>29975</v>
      </c>
      <c r="S28" s="51">
        <v>1.264</v>
      </c>
      <c r="T28" s="51">
        <v>1.0767</v>
      </c>
      <c r="U28" s="50">
        <v>127.43</v>
      </c>
      <c r="V28" s="43">
        <v>23714.400000000001</v>
      </c>
      <c r="W28" s="43">
        <v>23719.17</v>
      </c>
      <c r="X28" s="49">
        <f t="shared" si="5"/>
        <v>27839.69536546856</v>
      </c>
      <c r="Y28" s="48">
        <v>1.2647999999999999</v>
      </c>
    </row>
    <row r="29" spans="2:25" x14ac:dyDescent="0.2">
      <c r="B29" s="47">
        <v>44712</v>
      </c>
      <c r="C29" s="46">
        <v>28650</v>
      </c>
      <c r="D29" s="45">
        <v>28700</v>
      </c>
      <c r="E29" s="44">
        <f t="shared" si="0"/>
        <v>28675</v>
      </c>
      <c r="F29" s="46">
        <v>28750</v>
      </c>
      <c r="G29" s="45">
        <v>28800</v>
      </c>
      <c r="H29" s="44">
        <f t="shared" si="1"/>
        <v>28775</v>
      </c>
      <c r="I29" s="46">
        <v>29030</v>
      </c>
      <c r="J29" s="45">
        <v>29080</v>
      </c>
      <c r="K29" s="44">
        <f t="shared" si="2"/>
        <v>29055</v>
      </c>
      <c r="L29" s="46">
        <v>29180</v>
      </c>
      <c r="M29" s="45">
        <v>29230</v>
      </c>
      <c r="N29" s="44">
        <f t="shared" si="3"/>
        <v>29205</v>
      </c>
      <c r="O29" s="46">
        <v>29230</v>
      </c>
      <c r="P29" s="45">
        <v>29280</v>
      </c>
      <c r="Q29" s="44">
        <f t="shared" si="4"/>
        <v>29255</v>
      </c>
      <c r="R29" s="52">
        <v>28700</v>
      </c>
      <c r="S29" s="51">
        <v>1.2588999999999999</v>
      </c>
      <c r="T29" s="51">
        <v>1.0712999999999999</v>
      </c>
      <c r="U29" s="50">
        <v>128.19</v>
      </c>
      <c r="V29" s="43">
        <v>22797.68</v>
      </c>
      <c r="W29" s="43">
        <v>22860.77</v>
      </c>
      <c r="X29" s="49">
        <f t="shared" si="5"/>
        <v>26789.881452440961</v>
      </c>
      <c r="Y29" s="48">
        <v>1.2598</v>
      </c>
    </row>
    <row r="30" spans="2:25" s="10" customFormat="1" x14ac:dyDescent="0.2">
      <c r="B30" s="42" t="s">
        <v>11</v>
      </c>
      <c r="C30" s="41">
        <f>ROUND(AVERAGE(C9:C29),2)</f>
        <v>27927.14</v>
      </c>
      <c r="D30" s="40">
        <f>ROUND(AVERAGE(D9:D29),2)</f>
        <v>27950</v>
      </c>
      <c r="E30" s="39">
        <f>ROUND(AVERAGE(C30:D30),2)</f>
        <v>27938.57</v>
      </c>
      <c r="F30" s="41">
        <f>ROUND(AVERAGE(F9:F29),2)</f>
        <v>27972.62</v>
      </c>
      <c r="G30" s="40">
        <f>ROUND(AVERAGE(G9:G29),2)</f>
        <v>28007.14</v>
      </c>
      <c r="H30" s="39">
        <f>ROUND(AVERAGE(F30:G30),2)</f>
        <v>27989.88</v>
      </c>
      <c r="I30" s="41">
        <f>ROUND(AVERAGE(I9:I29),2)</f>
        <v>28262.62</v>
      </c>
      <c r="J30" s="40">
        <f>ROUND(AVERAGE(J9:J29),2)</f>
        <v>28312.62</v>
      </c>
      <c r="K30" s="39">
        <f>ROUND(AVERAGE(I30:J30),2)</f>
        <v>28287.62</v>
      </c>
      <c r="L30" s="41">
        <f>ROUND(AVERAGE(L9:L29),2)</f>
        <v>28414.29</v>
      </c>
      <c r="M30" s="40">
        <f>ROUND(AVERAGE(M9:M29),2)</f>
        <v>28464.29</v>
      </c>
      <c r="N30" s="39">
        <f>ROUND(AVERAGE(L30:M30),2)</f>
        <v>28439.29</v>
      </c>
      <c r="O30" s="41">
        <f>ROUND(AVERAGE(O9:O29),2)</f>
        <v>28416.67</v>
      </c>
      <c r="P30" s="40">
        <f>ROUND(AVERAGE(P9:P29),2)</f>
        <v>28466.67</v>
      </c>
      <c r="Q30" s="39">
        <f>ROUND(AVERAGE(O30:P30),2)</f>
        <v>28441.67</v>
      </c>
      <c r="R30" s="38">
        <f>ROUND(AVERAGE(R9:R29),2)</f>
        <v>27950</v>
      </c>
      <c r="S30" s="37">
        <f>ROUND(AVERAGE(S9:S29),4)</f>
        <v>1.2443</v>
      </c>
      <c r="T30" s="36">
        <f>ROUND(AVERAGE(T9:T29),4)</f>
        <v>1.0576000000000001</v>
      </c>
      <c r="U30" s="175">
        <f>ROUND(AVERAGE(U9:U29),2)</f>
        <v>128.78</v>
      </c>
      <c r="V30" s="35">
        <f>AVERAGE(V9:V29)</f>
        <v>22462.777142857147</v>
      </c>
      <c r="W30" s="35">
        <f>AVERAGE(W9:W29)</f>
        <v>22494.86285714286</v>
      </c>
      <c r="X30" s="35">
        <f>AVERAGE(X9:X29)</f>
        <v>26429.368158849709</v>
      </c>
      <c r="Y30" s="34">
        <f>AVERAGE(Y9:Y29)</f>
        <v>1.2450476190476192</v>
      </c>
    </row>
    <row r="31" spans="2:25" s="5" customFormat="1" x14ac:dyDescent="0.2">
      <c r="B31" s="33" t="s">
        <v>12</v>
      </c>
      <c r="C31" s="32">
        <f t="shared" ref="C31:Y31" si="6">MAX(C9:C29)</f>
        <v>30900</v>
      </c>
      <c r="D31" s="31">
        <f t="shared" si="6"/>
        <v>30910</v>
      </c>
      <c r="E31" s="30">
        <f t="shared" si="6"/>
        <v>30905</v>
      </c>
      <c r="F31" s="32">
        <f t="shared" si="6"/>
        <v>30975</v>
      </c>
      <c r="G31" s="31">
        <f t="shared" si="6"/>
        <v>31025</v>
      </c>
      <c r="H31" s="30">
        <f t="shared" si="6"/>
        <v>31000</v>
      </c>
      <c r="I31" s="32">
        <f t="shared" si="6"/>
        <v>30980</v>
      </c>
      <c r="J31" s="31">
        <f t="shared" si="6"/>
        <v>31030</v>
      </c>
      <c r="K31" s="30">
        <f t="shared" si="6"/>
        <v>31005</v>
      </c>
      <c r="L31" s="32">
        <f t="shared" si="6"/>
        <v>30915</v>
      </c>
      <c r="M31" s="31">
        <f t="shared" si="6"/>
        <v>30965</v>
      </c>
      <c r="N31" s="30">
        <f t="shared" si="6"/>
        <v>30940</v>
      </c>
      <c r="O31" s="32">
        <f t="shared" si="6"/>
        <v>30815</v>
      </c>
      <c r="P31" s="31">
        <f t="shared" si="6"/>
        <v>30865</v>
      </c>
      <c r="Q31" s="30">
        <f t="shared" si="6"/>
        <v>30840</v>
      </c>
      <c r="R31" s="29">
        <f t="shared" si="6"/>
        <v>30910</v>
      </c>
      <c r="S31" s="28">
        <f t="shared" si="6"/>
        <v>1.264</v>
      </c>
      <c r="T31" s="27">
        <f t="shared" si="6"/>
        <v>1.0767</v>
      </c>
      <c r="U31" s="26">
        <f t="shared" si="6"/>
        <v>131.03</v>
      </c>
      <c r="V31" s="25">
        <f t="shared" si="6"/>
        <v>24664.86</v>
      </c>
      <c r="W31" s="25">
        <f t="shared" si="6"/>
        <v>24746.75</v>
      </c>
      <c r="X31" s="25">
        <f t="shared" si="6"/>
        <v>29331.941544885176</v>
      </c>
      <c r="Y31" s="24">
        <f t="shared" si="6"/>
        <v>1.2647999999999999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26100</v>
      </c>
      <c r="D32" s="21">
        <f t="shared" si="7"/>
        <v>26105</v>
      </c>
      <c r="E32" s="20">
        <f t="shared" si="7"/>
        <v>26102.5</v>
      </c>
      <c r="F32" s="22">
        <f t="shared" si="7"/>
        <v>26125</v>
      </c>
      <c r="G32" s="21">
        <f t="shared" si="7"/>
        <v>26130</v>
      </c>
      <c r="H32" s="20">
        <f t="shared" si="7"/>
        <v>26127.5</v>
      </c>
      <c r="I32" s="22">
        <f t="shared" si="7"/>
        <v>26450</v>
      </c>
      <c r="J32" s="21">
        <f t="shared" si="7"/>
        <v>26500</v>
      </c>
      <c r="K32" s="20">
        <f t="shared" si="7"/>
        <v>26475</v>
      </c>
      <c r="L32" s="22">
        <f t="shared" si="7"/>
        <v>26645</v>
      </c>
      <c r="M32" s="21">
        <f t="shared" si="7"/>
        <v>26695</v>
      </c>
      <c r="N32" s="20">
        <f t="shared" si="7"/>
        <v>26670</v>
      </c>
      <c r="O32" s="22">
        <f t="shared" si="7"/>
        <v>26645</v>
      </c>
      <c r="P32" s="21">
        <f t="shared" si="7"/>
        <v>26695</v>
      </c>
      <c r="Q32" s="20">
        <f t="shared" si="7"/>
        <v>26670</v>
      </c>
      <c r="R32" s="19">
        <f t="shared" si="7"/>
        <v>26105</v>
      </c>
      <c r="S32" s="18">
        <f t="shared" si="7"/>
        <v>1.2192000000000001</v>
      </c>
      <c r="T32" s="17">
        <f t="shared" si="7"/>
        <v>1.0383</v>
      </c>
      <c r="U32" s="16">
        <f t="shared" si="7"/>
        <v>126.92</v>
      </c>
      <c r="V32" s="15">
        <f t="shared" si="7"/>
        <v>21014.32</v>
      </c>
      <c r="W32" s="15">
        <f t="shared" si="7"/>
        <v>20984.89</v>
      </c>
      <c r="X32" s="15">
        <f t="shared" si="7"/>
        <v>24526.364909006068</v>
      </c>
      <c r="Y32" s="14">
        <f t="shared" si="7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44684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44684</v>
      </c>
      <c r="C9" s="46">
        <v>81220</v>
      </c>
      <c r="D9" s="45">
        <v>81720</v>
      </c>
      <c r="E9" s="44">
        <f t="shared" ref="E9:E29" si="0">AVERAGE(C9:D9)</f>
        <v>81470</v>
      </c>
      <c r="F9" s="46">
        <v>81500</v>
      </c>
      <c r="G9" s="45">
        <v>82000</v>
      </c>
      <c r="H9" s="44">
        <f t="shared" ref="H9:H29" si="1">AVERAGE(F9:G9)</f>
        <v>81750</v>
      </c>
      <c r="I9" s="46">
        <v>83125</v>
      </c>
      <c r="J9" s="45">
        <v>84125</v>
      </c>
      <c r="K9" s="44">
        <f t="shared" ref="K9:K29" si="2">AVERAGE(I9:J9)</f>
        <v>83625</v>
      </c>
      <c r="L9" s="52">
        <v>81720</v>
      </c>
      <c r="M9" s="51">
        <v>1.2532000000000001</v>
      </c>
      <c r="N9" s="53">
        <v>1.0538000000000001</v>
      </c>
      <c r="O9" s="50">
        <v>129.91999999999999</v>
      </c>
      <c r="P9" s="43">
        <v>65209.06</v>
      </c>
      <c r="Q9" s="43">
        <v>65406.400000000001</v>
      </c>
      <c r="R9" s="49">
        <f t="shared" ref="R9:R29" si="3">L9/N9</f>
        <v>77547.921806794446</v>
      </c>
      <c r="S9" s="48">
        <v>1.2537</v>
      </c>
    </row>
    <row r="10" spans="1:19" x14ac:dyDescent="0.2">
      <c r="B10" s="47">
        <v>44685</v>
      </c>
      <c r="C10" s="46">
        <v>81215</v>
      </c>
      <c r="D10" s="45">
        <v>81715</v>
      </c>
      <c r="E10" s="44">
        <f t="shared" si="0"/>
        <v>81465</v>
      </c>
      <c r="F10" s="46">
        <v>81500</v>
      </c>
      <c r="G10" s="45">
        <v>82000</v>
      </c>
      <c r="H10" s="44">
        <f t="shared" si="1"/>
        <v>81750</v>
      </c>
      <c r="I10" s="46">
        <v>83120</v>
      </c>
      <c r="J10" s="45">
        <v>84120</v>
      </c>
      <c r="K10" s="44">
        <f t="shared" si="2"/>
        <v>83620</v>
      </c>
      <c r="L10" s="52">
        <v>81715</v>
      </c>
      <c r="M10" s="51">
        <v>1.2511000000000001</v>
      </c>
      <c r="N10" s="51">
        <v>1.0530999999999999</v>
      </c>
      <c r="O10" s="50">
        <v>129.96</v>
      </c>
      <c r="P10" s="43">
        <v>65314.52</v>
      </c>
      <c r="Q10" s="43">
        <v>65505.67</v>
      </c>
      <c r="R10" s="49">
        <f t="shared" si="3"/>
        <v>77594.720349444498</v>
      </c>
      <c r="S10" s="48">
        <v>1.2518</v>
      </c>
    </row>
    <row r="11" spans="1:19" x14ac:dyDescent="0.2">
      <c r="B11" s="47">
        <v>44686</v>
      </c>
      <c r="C11" s="46">
        <v>81215</v>
      </c>
      <c r="D11" s="45">
        <v>81715</v>
      </c>
      <c r="E11" s="44">
        <f t="shared" si="0"/>
        <v>81465</v>
      </c>
      <c r="F11" s="46">
        <v>81500</v>
      </c>
      <c r="G11" s="45">
        <v>82000</v>
      </c>
      <c r="H11" s="44">
        <f t="shared" si="1"/>
        <v>81750</v>
      </c>
      <c r="I11" s="46">
        <v>83115</v>
      </c>
      <c r="J11" s="45">
        <v>84115</v>
      </c>
      <c r="K11" s="44">
        <f t="shared" si="2"/>
        <v>83615</v>
      </c>
      <c r="L11" s="52">
        <v>81715</v>
      </c>
      <c r="M11" s="51">
        <v>1.2396</v>
      </c>
      <c r="N11" s="51">
        <v>1.0548</v>
      </c>
      <c r="O11" s="50">
        <v>130</v>
      </c>
      <c r="P11" s="43">
        <v>65920.460000000006</v>
      </c>
      <c r="Q11" s="43">
        <v>66107.710000000006</v>
      </c>
      <c r="R11" s="49">
        <f t="shared" si="3"/>
        <v>77469.662495259763</v>
      </c>
      <c r="S11" s="48">
        <v>1.2403999999999999</v>
      </c>
    </row>
    <row r="12" spans="1:19" x14ac:dyDescent="0.2">
      <c r="B12" s="47">
        <v>44687</v>
      </c>
      <c r="C12" s="46">
        <v>81215</v>
      </c>
      <c r="D12" s="45">
        <v>81715</v>
      </c>
      <c r="E12" s="44">
        <f t="shared" si="0"/>
        <v>81465</v>
      </c>
      <c r="F12" s="46">
        <v>81500</v>
      </c>
      <c r="G12" s="45">
        <v>82000</v>
      </c>
      <c r="H12" s="44">
        <f t="shared" si="1"/>
        <v>81750</v>
      </c>
      <c r="I12" s="46">
        <v>83115</v>
      </c>
      <c r="J12" s="45">
        <v>84115</v>
      </c>
      <c r="K12" s="44">
        <f t="shared" si="2"/>
        <v>83615</v>
      </c>
      <c r="L12" s="52">
        <v>81715</v>
      </c>
      <c r="M12" s="51">
        <v>1.2336</v>
      </c>
      <c r="N12" s="51">
        <v>1.0566</v>
      </c>
      <c r="O12" s="50">
        <v>130.43</v>
      </c>
      <c r="P12" s="43">
        <v>66241.08</v>
      </c>
      <c r="Q12" s="43">
        <v>66434.42</v>
      </c>
      <c r="R12" s="49">
        <f t="shared" si="3"/>
        <v>77337.686920310429</v>
      </c>
      <c r="S12" s="48">
        <v>1.2343</v>
      </c>
    </row>
    <row r="13" spans="1:19" x14ac:dyDescent="0.2">
      <c r="B13" s="47">
        <v>44690</v>
      </c>
      <c r="C13" s="46">
        <v>81195</v>
      </c>
      <c r="D13" s="45">
        <v>81695</v>
      </c>
      <c r="E13" s="44">
        <f t="shared" si="0"/>
        <v>81445</v>
      </c>
      <c r="F13" s="46">
        <v>81500</v>
      </c>
      <c r="G13" s="45">
        <v>82000</v>
      </c>
      <c r="H13" s="44">
        <f t="shared" si="1"/>
        <v>81750</v>
      </c>
      <c r="I13" s="46">
        <v>83095</v>
      </c>
      <c r="J13" s="45">
        <v>84095</v>
      </c>
      <c r="K13" s="44">
        <f t="shared" si="2"/>
        <v>83595</v>
      </c>
      <c r="L13" s="52">
        <v>81695</v>
      </c>
      <c r="M13" s="51">
        <v>1.2366999999999999</v>
      </c>
      <c r="N13" s="51">
        <v>1.0547</v>
      </c>
      <c r="O13" s="50">
        <v>131.03</v>
      </c>
      <c r="P13" s="43">
        <v>66058.87</v>
      </c>
      <c r="Q13" s="43">
        <v>66267.98</v>
      </c>
      <c r="R13" s="49">
        <f t="shared" si="3"/>
        <v>77458.044941689586</v>
      </c>
      <c r="S13" s="48">
        <v>1.2374000000000001</v>
      </c>
    </row>
    <row r="14" spans="1:19" x14ac:dyDescent="0.2">
      <c r="B14" s="47">
        <v>44691</v>
      </c>
      <c r="C14" s="46">
        <v>81190</v>
      </c>
      <c r="D14" s="45">
        <v>81690</v>
      </c>
      <c r="E14" s="44">
        <f t="shared" si="0"/>
        <v>81440</v>
      </c>
      <c r="F14" s="46">
        <v>81500</v>
      </c>
      <c r="G14" s="45">
        <v>82000</v>
      </c>
      <c r="H14" s="44">
        <f t="shared" si="1"/>
        <v>81750</v>
      </c>
      <c r="I14" s="46">
        <v>83090</v>
      </c>
      <c r="J14" s="45">
        <v>84090</v>
      </c>
      <c r="K14" s="44">
        <f t="shared" si="2"/>
        <v>83590</v>
      </c>
      <c r="L14" s="52">
        <v>81690</v>
      </c>
      <c r="M14" s="51">
        <v>1.2338</v>
      </c>
      <c r="N14" s="51">
        <v>1.0552999999999999</v>
      </c>
      <c r="O14" s="50">
        <v>130.08000000000001</v>
      </c>
      <c r="P14" s="43">
        <v>66210.080000000002</v>
      </c>
      <c r="Q14" s="43">
        <v>66423.649999999994</v>
      </c>
      <c r="R14" s="49">
        <f t="shared" si="3"/>
        <v>77409.267506870092</v>
      </c>
      <c r="S14" s="48">
        <v>1.2344999999999999</v>
      </c>
    </row>
    <row r="15" spans="1:19" x14ac:dyDescent="0.2">
      <c r="B15" s="47">
        <v>44692</v>
      </c>
      <c r="C15" s="46">
        <v>81190</v>
      </c>
      <c r="D15" s="45">
        <v>81690</v>
      </c>
      <c r="E15" s="44">
        <f t="shared" si="0"/>
        <v>81440</v>
      </c>
      <c r="F15" s="46">
        <v>81500</v>
      </c>
      <c r="G15" s="45">
        <v>82000</v>
      </c>
      <c r="H15" s="44">
        <f t="shared" si="1"/>
        <v>81750</v>
      </c>
      <c r="I15" s="46">
        <v>83085</v>
      </c>
      <c r="J15" s="45">
        <v>84085</v>
      </c>
      <c r="K15" s="44">
        <f t="shared" si="2"/>
        <v>83585</v>
      </c>
      <c r="L15" s="52">
        <v>81690</v>
      </c>
      <c r="M15" s="51">
        <v>1.2357</v>
      </c>
      <c r="N15" s="51">
        <v>1.0545</v>
      </c>
      <c r="O15" s="50">
        <v>129.82</v>
      </c>
      <c r="P15" s="43">
        <v>66108.28</v>
      </c>
      <c r="Q15" s="43">
        <v>66316.22</v>
      </c>
      <c r="R15" s="49">
        <f t="shared" si="3"/>
        <v>77467.994310099573</v>
      </c>
      <c r="S15" s="48">
        <v>1.2364999999999999</v>
      </c>
    </row>
    <row r="16" spans="1:19" x14ac:dyDescent="0.2">
      <c r="B16" s="47">
        <v>44693</v>
      </c>
      <c r="C16" s="46">
        <v>81185</v>
      </c>
      <c r="D16" s="45">
        <v>81685</v>
      </c>
      <c r="E16" s="44">
        <f t="shared" si="0"/>
        <v>81435</v>
      </c>
      <c r="F16" s="46">
        <v>81500</v>
      </c>
      <c r="G16" s="45">
        <v>82000</v>
      </c>
      <c r="H16" s="44">
        <f t="shared" si="1"/>
        <v>81750</v>
      </c>
      <c r="I16" s="46">
        <v>83075</v>
      </c>
      <c r="J16" s="45">
        <v>84075</v>
      </c>
      <c r="K16" s="44">
        <f t="shared" si="2"/>
        <v>83575</v>
      </c>
      <c r="L16" s="52">
        <v>81685</v>
      </c>
      <c r="M16" s="51">
        <v>1.2196</v>
      </c>
      <c r="N16" s="51">
        <v>1.04</v>
      </c>
      <c r="O16" s="50">
        <v>128.54</v>
      </c>
      <c r="P16" s="43">
        <v>66976.88</v>
      </c>
      <c r="Q16" s="43">
        <v>67191.08</v>
      </c>
      <c r="R16" s="49">
        <f t="shared" si="3"/>
        <v>78543.269230769234</v>
      </c>
      <c r="S16" s="48">
        <v>1.2203999999999999</v>
      </c>
    </row>
    <row r="17" spans="2:19" x14ac:dyDescent="0.2">
      <c r="B17" s="47">
        <v>44694</v>
      </c>
      <c r="C17" s="46">
        <v>81190</v>
      </c>
      <c r="D17" s="45">
        <v>81690</v>
      </c>
      <c r="E17" s="44">
        <f t="shared" si="0"/>
        <v>81440</v>
      </c>
      <c r="F17" s="46">
        <v>81500</v>
      </c>
      <c r="G17" s="45">
        <v>82000</v>
      </c>
      <c r="H17" s="44">
        <f t="shared" si="1"/>
        <v>81750</v>
      </c>
      <c r="I17" s="46">
        <v>83075</v>
      </c>
      <c r="J17" s="45">
        <v>84075</v>
      </c>
      <c r="K17" s="44">
        <f t="shared" si="2"/>
        <v>83575</v>
      </c>
      <c r="L17" s="52">
        <v>81690</v>
      </c>
      <c r="M17" s="51">
        <v>1.2192000000000001</v>
      </c>
      <c r="N17" s="51">
        <v>1.0383</v>
      </c>
      <c r="O17" s="50">
        <v>129.06</v>
      </c>
      <c r="P17" s="43">
        <v>67002.95</v>
      </c>
      <c r="Q17" s="43">
        <v>67207.61</v>
      </c>
      <c r="R17" s="49">
        <f t="shared" si="3"/>
        <v>78676.683039583935</v>
      </c>
      <c r="S17" s="48">
        <v>1.2201</v>
      </c>
    </row>
    <row r="18" spans="2:19" x14ac:dyDescent="0.2">
      <c r="B18" s="47">
        <v>44697</v>
      </c>
      <c r="C18" s="46">
        <v>74170</v>
      </c>
      <c r="D18" s="45">
        <v>74670</v>
      </c>
      <c r="E18" s="44">
        <f t="shared" si="0"/>
        <v>74420</v>
      </c>
      <c r="F18" s="46">
        <v>74500</v>
      </c>
      <c r="G18" s="45">
        <v>75000</v>
      </c>
      <c r="H18" s="44">
        <f t="shared" si="1"/>
        <v>74750</v>
      </c>
      <c r="I18" s="46">
        <v>76055</v>
      </c>
      <c r="J18" s="45">
        <v>77055</v>
      </c>
      <c r="K18" s="44">
        <f t="shared" si="2"/>
        <v>76555</v>
      </c>
      <c r="L18" s="52">
        <v>74670</v>
      </c>
      <c r="M18" s="51">
        <v>1.2259</v>
      </c>
      <c r="N18" s="51">
        <v>1.0419</v>
      </c>
      <c r="O18" s="50">
        <v>129.49</v>
      </c>
      <c r="P18" s="43">
        <v>60910.35</v>
      </c>
      <c r="Q18" s="43">
        <v>61179.54</v>
      </c>
      <c r="R18" s="49">
        <f t="shared" si="3"/>
        <v>71667.146559170738</v>
      </c>
      <c r="S18" s="48">
        <v>1.2259</v>
      </c>
    </row>
    <row r="19" spans="2:19" x14ac:dyDescent="0.2">
      <c r="B19" s="47">
        <v>44698</v>
      </c>
      <c r="C19" s="46">
        <v>74165</v>
      </c>
      <c r="D19" s="45">
        <v>74665</v>
      </c>
      <c r="E19" s="44">
        <f t="shared" si="0"/>
        <v>74415</v>
      </c>
      <c r="F19" s="46">
        <v>74500</v>
      </c>
      <c r="G19" s="45">
        <v>75000</v>
      </c>
      <c r="H19" s="44">
        <f t="shared" si="1"/>
        <v>74750</v>
      </c>
      <c r="I19" s="46">
        <v>76050</v>
      </c>
      <c r="J19" s="45">
        <v>77050</v>
      </c>
      <c r="K19" s="44">
        <f t="shared" si="2"/>
        <v>76550</v>
      </c>
      <c r="L19" s="52">
        <v>74665</v>
      </c>
      <c r="M19" s="51">
        <v>1.2484</v>
      </c>
      <c r="N19" s="51">
        <v>1.0539000000000001</v>
      </c>
      <c r="O19" s="50">
        <v>129.33000000000001</v>
      </c>
      <c r="P19" s="43">
        <v>59808.55</v>
      </c>
      <c r="Q19" s="43">
        <v>60038.42</v>
      </c>
      <c r="R19" s="49">
        <f t="shared" si="3"/>
        <v>70846.380111965074</v>
      </c>
      <c r="S19" s="48">
        <v>1.2492000000000001</v>
      </c>
    </row>
    <row r="20" spans="2:19" x14ac:dyDescent="0.2">
      <c r="B20" s="47">
        <v>44699</v>
      </c>
      <c r="C20" s="46">
        <v>74160</v>
      </c>
      <c r="D20" s="45">
        <v>74660</v>
      </c>
      <c r="E20" s="44">
        <f t="shared" si="0"/>
        <v>74410</v>
      </c>
      <c r="F20" s="46">
        <v>74500</v>
      </c>
      <c r="G20" s="45">
        <v>75000</v>
      </c>
      <c r="H20" s="44">
        <f t="shared" si="1"/>
        <v>74750</v>
      </c>
      <c r="I20" s="46">
        <v>76045</v>
      </c>
      <c r="J20" s="45">
        <v>77045</v>
      </c>
      <c r="K20" s="44">
        <f t="shared" si="2"/>
        <v>76545</v>
      </c>
      <c r="L20" s="52">
        <v>74660</v>
      </c>
      <c r="M20" s="51">
        <v>1.242</v>
      </c>
      <c r="N20" s="51">
        <v>1.0509999999999999</v>
      </c>
      <c r="O20" s="50">
        <v>129.11000000000001</v>
      </c>
      <c r="P20" s="43">
        <v>60112.72</v>
      </c>
      <c r="Q20" s="43">
        <v>60352.46</v>
      </c>
      <c r="R20" s="49">
        <f t="shared" si="3"/>
        <v>71037.107516650809</v>
      </c>
      <c r="S20" s="48">
        <v>1.2426999999999999</v>
      </c>
    </row>
    <row r="21" spans="2:19" x14ac:dyDescent="0.2">
      <c r="B21" s="47">
        <v>44700</v>
      </c>
      <c r="C21" s="46">
        <v>74160</v>
      </c>
      <c r="D21" s="45">
        <v>74660</v>
      </c>
      <c r="E21" s="44">
        <f t="shared" si="0"/>
        <v>74410</v>
      </c>
      <c r="F21" s="46">
        <v>74500</v>
      </c>
      <c r="G21" s="45">
        <v>75000</v>
      </c>
      <c r="H21" s="44">
        <f t="shared" si="1"/>
        <v>74750</v>
      </c>
      <c r="I21" s="46">
        <v>76040</v>
      </c>
      <c r="J21" s="45">
        <v>77040</v>
      </c>
      <c r="K21" s="44">
        <f t="shared" si="2"/>
        <v>76540</v>
      </c>
      <c r="L21" s="52">
        <v>74660</v>
      </c>
      <c r="M21" s="51">
        <v>1.2432000000000001</v>
      </c>
      <c r="N21" s="51">
        <v>1.0518000000000001</v>
      </c>
      <c r="O21" s="50">
        <v>127.94</v>
      </c>
      <c r="P21" s="43">
        <v>60054.7</v>
      </c>
      <c r="Q21" s="43">
        <v>60289.39</v>
      </c>
      <c r="R21" s="49">
        <f t="shared" si="3"/>
        <v>70983.076630538126</v>
      </c>
      <c r="S21" s="48">
        <v>1.244</v>
      </c>
    </row>
    <row r="22" spans="2:19" x14ac:dyDescent="0.2">
      <c r="B22" s="47">
        <v>44701</v>
      </c>
      <c r="C22" s="46">
        <v>74165</v>
      </c>
      <c r="D22" s="45">
        <v>74665</v>
      </c>
      <c r="E22" s="44">
        <f t="shared" si="0"/>
        <v>74415</v>
      </c>
      <c r="F22" s="46">
        <v>74500</v>
      </c>
      <c r="G22" s="45">
        <v>75000</v>
      </c>
      <c r="H22" s="44">
        <f t="shared" si="1"/>
        <v>74750</v>
      </c>
      <c r="I22" s="46">
        <v>76040</v>
      </c>
      <c r="J22" s="45">
        <v>77040</v>
      </c>
      <c r="K22" s="44">
        <f t="shared" si="2"/>
        <v>76540</v>
      </c>
      <c r="L22" s="52">
        <v>74665</v>
      </c>
      <c r="M22" s="51">
        <v>1.2468999999999999</v>
      </c>
      <c r="N22" s="51">
        <v>1.0567</v>
      </c>
      <c r="O22" s="50">
        <v>128.06</v>
      </c>
      <c r="P22" s="43">
        <v>59880.5</v>
      </c>
      <c r="Q22" s="43">
        <v>60110.6</v>
      </c>
      <c r="R22" s="49">
        <f t="shared" si="3"/>
        <v>70658.654301126153</v>
      </c>
      <c r="S22" s="48">
        <v>1.2477</v>
      </c>
    </row>
    <row r="23" spans="2:19" x14ac:dyDescent="0.2">
      <c r="B23" s="47">
        <v>44704</v>
      </c>
      <c r="C23" s="46">
        <v>74150</v>
      </c>
      <c r="D23" s="45">
        <v>74650</v>
      </c>
      <c r="E23" s="44">
        <f t="shared" si="0"/>
        <v>74400</v>
      </c>
      <c r="F23" s="46">
        <v>74500</v>
      </c>
      <c r="G23" s="45">
        <v>75000</v>
      </c>
      <c r="H23" s="44">
        <f t="shared" si="1"/>
        <v>74750</v>
      </c>
      <c r="I23" s="46">
        <v>76025</v>
      </c>
      <c r="J23" s="45">
        <v>77025</v>
      </c>
      <c r="K23" s="44">
        <f t="shared" si="2"/>
        <v>76525</v>
      </c>
      <c r="L23" s="52">
        <v>74650</v>
      </c>
      <c r="M23" s="51">
        <v>1.2576000000000001</v>
      </c>
      <c r="N23" s="51">
        <v>1.0657000000000001</v>
      </c>
      <c r="O23" s="50">
        <v>127.62</v>
      </c>
      <c r="P23" s="43">
        <v>59359.1</v>
      </c>
      <c r="Q23" s="43">
        <v>59599.49</v>
      </c>
      <c r="R23" s="49">
        <f t="shared" si="3"/>
        <v>70047.855869381616</v>
      </c>
      <c r="S23" s="48">
        <v>1.2584</v>
      </c>
    </row>
    <row r="24" spans="2:19" x14ac:dyDescent="0.2">
      <c r="B24" s="47">
        <v>44705</v>
      </c>
      <c r="C24" s="46">
        <v>74145</v>
      </c>
      <c r="D24" s="45">
        <v>74645</v>
      </c>
      <c r="E24" s="44">
        <f t="shared" si="0"/>
        <v>74395</v>
      </c>
      <c r="F24" s="46">
        <v>74500</v>
      </c>
      <c r="G24" s="45">
        <v>75000</v>
      </c>
      <c r="H24" s="44">
        <f t="shared" si="1"/>
        <v>74750</v>
      </c>
      <c r="I24" s="46">
        <v>76020</v>
      </c>
      <c r="J24" s="45">
        <v>77020</v>
      </c>
      <c r="K24" s="44">
        <f t="shared" si="2"/>
        <v>76520</v>
      </c>
      <c r="L24" s="52">
        <v>74645</v>
      </c>
      <c r="M24" s="51">
        <v>1.2499</v>
      </c>
      <c r="N24" s="51">
        <v>1.0714999999999999</v>
      </c>
      <c r="O24" s="50">
        <v>127.4</v>
      </c>
      <c r="P24" s="43">
        <v>59720.78</v>
      </c>
      <c r="Q24" s="43">
        <v>59956.83</v>
      </c>
      <c r="R24" s="49">
        <f t="shared" si="3"/>
        <v>69664.022398506771</v>
      </c>
      <c r="S24" s="48">
        <v>1.2508999999999999</v>
      </c>
    </row>
    <row r="25" spans="2:19" x14ac:dyDescent="0.2">
      <c r="B25" s="47">
        <v>44706</v>
      </c>
      <c r="C25" s="46">
        <v>74145</v>
      </c>
      <c r="D25" s="45">
        <v>74645</v>
      </c>
      <c r="E25" s="44">
        <f t="shared" si="0"/>
        <v>74395</v>
      </c>
      <c r="F25" s="46">
        <v>74500</v>
      </c>
      <c r="G25" s="45">
        <v>75000</v>
      </c>
      <c r="H25" s="44">
        <f t="shared" si="1"/>
        <v>74750</v>
      </c>
      <c r="I25" s="46">
        <v>76015</v>
      </c>
      <c r="J25" s="45">
        <v>77015</v>
      </c>
      <c r="K25" s="44">
        <f t="shared" si="2"/>
        <v>76515</v>
      </c>
      <c r="L25" s="52">
        <v>74645</v>
      </c>
      <c r="M25" s="51">
        <v>1.2492000000000001</v>
      </c>
      <c r="N25" s="51">
        <v>1.0660000000000001</v>
      </c>
      <c r="O25" s="50">
        <v>126.98</v>
      </c>
      <c r="P25" s="43">
        <v>59754.239999999998</v>
      </c>
      <c r="Q25" s="43">
        <v>59990.400000000001</v>
      </c>
      <c r="R25" s="49">
        <f t="shared" si="3"/>
        <v>70023.452157598498</v>
      </c>
      <c r="S25" s="48">
        <v>1.2502</v>
      </c>
    </row>
    <row r="26" spans="2:19" x14ac:dyDescent="0.2">
      <c r="B26" s="47">
        <v>44707</v>
      </c>
      <c r="C26" s="46">
        <v>74145</v>
      </c>
      <c r="D26" s="45">
        <v>74645</v>
      </c>
      <c r="E26" s="44">
        <f t="shared" si="0"/>
        <v>74395</v>
      </c>
      <c r="F26" s="46">
        <v>74500</v>
      </c>
      <c r="G26" s="45">
        <v>75000</v>
      </c>
      <c r="H26" s="44">
        <f t="shared" si="1"/>
        <v>74750</v>
      </c>
      <c r="I26" s="46">
        <v>76010</v>
      </c>
      <c r="J26" s="45">
        <v>77010</v>
      </c>
      <c r="K26" s="44">
        <f t="shared" si="2"/>
        <v>76510</v>
      </c>
      <c r="L26" s="52">
        <v>74645</v>
      </c>
      <c r="M26" s="51">
        <v>1.2596000000000001</v>
      </c>
      <c r="N26" s="51">
        <v>1.0706</v>
      </c>
      <c r="O26" s="50">
        <v>127.04</v>
      </c>
      <c r="P26" s="43">
        <v>59260.88</v>
      </c>
      <c r="Q26" s="43">
        <v>59495.48</v>
      </c>
      <c r="R26" s="49">
        <f t="shared" si="3"/>
        <v>69722.585466093777</v>
      </c>
      <c r="S26" s="48">
        <v>1.2605999999999999</v>
      </c>
    </row>
    <row r="27" spans="2:19" x14ac:dyDescent="0.2">
      <c r="B27" s="47">
        <v>44708</v>
      </c>
      <c r="C27" s="46">
        <v>74145</v>
      </c>
      <c r="D27" s="45">
        <v>74645</v>
      </c>
      <c r="E27" s="44">
        <f t="shared" si="0"/>
        <v>74395</v>
      </c>
      <c r="F27" s="46">
        <v>74500</v>
      </c>
      <c r="G27" s="45">
        <v>75000</v>
      </c>
      <c r="H27" s="44">
        <f t="shared" si="1"/>
        <v>74750</v>
      </c>
      <c r="I27" s="46">
        <v>76010</v>
      </c>
      <c r="J27" s="45">
        <v>77010</v>
      </c>
      <c r="K27" s="44">
        <f t="shared" si="2"/>
        <v>76510</v>
      </c>
      <c r="L27" s="52">
        <v>74645</v>
      </c>
      <c r="M27" s="51">
        <v>1.2618</v>
      </c>
      <c r="N27" s="51">
        <v>1.0707</v>
      </c>
      <c r="O27" s="50">
        <v>126.92</v>
      </c>
      <c r="P27" s="43">
        <v>59157.55</v>
      </c>
      <c r="Q27" s="43">
        <v>59396.53</v>
      </c>
      <c r="R27" s="49">
        <f t="shared" si="3"/>
        <v>69716.073596712435</v>
      </c>
      <c r="S27" s="48">
        <v>1.2626999999999999</v>
      </c>
    </row>
    <row r="28" spans="2:19" x14ac:dyDescent="0.2">
      <c r="B28" s="47">
        <v>44711</v>
      </c>
      <c r="C28" s="46">
        <v>73130</v>
      </c>
      <c r="D28" s="45">
        <v>73630</v>
      </c>
      <c r="E28" s="44">
        <f t="shared" si="0"/>
        <v>73380</v>
      </c>
      <c r="F28" s="46">
        <v>73500</v>
      </c>
      <c r="G28" s="45">
        <v>74000</v>
      </c>
      <c r="H28" s="44">
        <f t="shared" si="1"/>
        <v>73750</v>
      </c>
      <c r="I28" s="46">
        <v>74995</v>
      </c>
      <c r="J28" s="45">
        <v>75995</v>
      </c>
      <c r="K28" s="44">
        <f t="shared" si="2"/>
        <v>75495</v>
      </c>
      <c r="L28" s="52">
        <v>73630</v>
      </c>
      <c r="M28" s="51">
        <v>1.264</v>
      </c>
      <c r="N28" s="51">
        <v>1.0767</v>
      </c>
      <c r="O28" s="50">
        <v>127.43</v>
      </c>
      <c r="P28" s="43">
        <v>58251.58</v>
      </c>
      <c r="Q28" s="43">
        <v>58507.27</v>
      </c>
      <c r="R28" s="49">
        <f t="shared" si="3"/>
        <v>68384.879725085906</v>
      </c>
      <c r="S28" s="48">
        <v>1.2647999999999999</v>
      </c>
    </row>
    <row r="29" spans="2:19" x14ac:dyDescent="0.2">
      <c r="B29" s="47">
        <v>44712</v>
      </c>
      <c r="C29" s="46">
        <v>73130</v>
      </c>
      <c r="D29" s="45">
        <v>73630</v>
      </c>
      <c r="E29" s="44">
        <f t="shared" si="0"/>
        <v>73380</v>
      </c>
      <c r="F29" s="46">
        <v>73500</v>
      </c>
      <c r="G29" s="45">
        <v>74000</v>
      </c>
      <c r="H29" s="44">
        <f t="shared" si="1"/>
        <v>73750</v>
      </c>
      <c r="I29" s="46">
        <v>74990</v>
      </c>
      <c r="J29" s="45">
        <v>75990</v>
      </c>
      <c r="K29" s="44">
        <f t="shared" si="2"/>
        <v>75490</v>
      </c>
      <c r="L29" s="52">
        <v>73630</v>
      </c>
      <c r="M29" s="51">
        <v>1.2588999999999999</v>
      </c>
      <c r="N29" s="51">
        <v>1.0712999999999999</v>
      </c>
      <c r="O29" s="50">
        <v>128.19</v>
      </c>
      <c r="P29" s="43">
        <v>58487.57</v>
      </c>
      <c r="Q29" s="43">
        <v>58739.48</v>
      </c>
      <c r="R29" s="49">
        <f t="shared" si="3"/>
        <v>68729.580883039307</v>
      </c>
      <c r="S29" s="48">
        <v>1.2598</v>
      </c>
    </row>
    <row r="30" spans="2:19" s="10" customFormat="1" x14ac:dyDescent="0.2">
      <c r="B30" s="42" t="s">
        <v>11</v>
      </c>
      <c r="C30" s="41">
        <f>ROUND(AVERAGE(C9:C29),2)</f>
        <v>77077.38</v>
      </c>
      <c r="D30" s="40">
        <f>ROUND(AVERAGE(D9:D29),2)</f>
        <v>77577.38</v>
      </c>
      <c r="E30" s="39">
        <f>ROUND(AVERAGE(C30:D30),2)</f>
        <v>77327.38</v>
      </c>
      <c r="F30" s="41">
        <f>ROUND(AVERAGE(F9:F29),2)</f>
        <v>77404.759999999995</v>
      </c>
      <c r="G30" s="40">
        <f>ROUND(AVERAGE(G9:G29),2)</f>
        <v>77904.759999999995</v>
      </c>
      <c r="H30" s="39">
        <f>ROUND(AVERAGE(F30:G30),2)</f>
        <v>77654.759999999995</v>
      </c>
      <c r="I30" s="41">
        <f>ROUND(AVERAGE(I9:I29),2)</f>
        <v>78961.429999999993</v>
      </c>
      <c r="J30" s="40">
        <f>ROUND(AVERAGE(J9:J29),2)</f>
        <v>79961.429999999993</v>
      </c>
      <c r="K30" s="39">
        <f>ROUND(AVERAGE(I30:J30),2)</f>
        <v>79461.429999999993</v>
      </c>
      <c r="L30" s="38">
        <f>ROUND(AVERAGE(L9:L29),2)</f>
        <v>77577.38</v>
      </c>
      <c r="M30" s="37">
        <f>ROUND(AVERAGE(M9:M29),4)</f>
        <v>1.2443</v>
      </c>
      <c r="N30" s="36">
        <f>ROUND(AVERAGE(N9:N29),4)</f>
        <v>1.0576000000000001</v>
      </c>
      <c r="O30" s="175">
        <f>ROUND(AVERAGE(O9:O29),2)</f>
        <v>128.78</v>
      </c>
      <c r="P30" s="35">
        <f>AVERAGE(P9:P29)</f>
        <v>62371.461904761905</v>
      </c>
      <c r="Q30" s="35">
        <f>AVERAGE(Q9:Q29)</f>
        <v>62596.029999999992</v>
      </c>
      <c r="R30" s="35">
        <f>AVERAGE(R9:R29)</f>
        <v>73380.288848413853</v>
      </c>
      <c r="S30" s="34">
        <f>AVERAGE(S9:S29)</f>
        <v>1.2450476190476192</v>
      </c>
    </row>
    <row r="31" spans="2:19" s="5" customFormat="1" x14ac:dyDescent="0.2">
      <c r="B31" s="33" t="s">
        <v>12</v>
      </c>
      <c r="C31" s="32">
        <f t="shared" ref="C31:S31" si="4">MAX(C9:C29)</f>
        <v>81220</v>
      </c>
      <c r="D31" s="31">
        <f t="shared" si="4"/>
        <v>81720</v>
      </c>
      <c r="E31" s="30">
        <f t="shared" si="4"/>
        <v>81470</v>
      </c>
      <c r="F31" s="32">
        <f t="shared" si="4"/>
        <v>81500</v>
      </c>
      <c r="G31" s="31">
        <f t="shared" si="4"/>
        <v>82000</v>
      </c>
      <c r="H31" s="30">
        <f t="shared" si="4"/>
        <v>81750</v>
      </c>
      <c r="I31" s="32">
        <f t="shared" si="4"/>
        <v>83125</v>
      </c>
      <c r="J31" s="31">
        <f t="shared" si="4"/>
        <v>84125</v>
      </c>
      <c r="K31" s="30">
        <f t="shared" si="4"/>
        <v>83625</v>
      </c>
      <c r="L31" s="29">
        <f t="shared" si="4"/>
        <v>81720</v>
      </c>
      <c r="M31" s="28">
        <f t="shared" si="4"/>
        <v>1.264</v>
      </c>
      <c r="N31" s="27">
        <f t="shared" si="4"/>
        <v>1.0767</v>
      </c>
      <c r="O31" s="26">
        <f t="shared" si="4"/>
        <v>131.03</v>
      </c>
      <c r="P31" s="25">
        <f t="shared" si="4"/>
        <v>67002.95</v>
      </c>
      <c r="Q31" s="25">
        <f t="shared" si="4"/>
        <v>67207.61</v>
      </c>
      <c r="R31" s="25">
        <f t="shared" si="4"/>
        <v>78676.683039583935</v>
      </c>
      <c r="S31" s="24">
        <f t="shared" si="4"/>
        <v>1.2647999999999999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73130</v>
      </c>
      <c r="D32" s="21">
        <f t="shared" si="5"/>
        <v>73630</v>
      </c>
      <c r="E32" s="20">
        <f t="shared" si="5"/>
        <v>73380</v>
      </c>
      <c r="F32" s="22">
        <f t="shared" si="5"/>
        <v>73500</v>
      </c>
      <c r="G32" s="21">
        <f t="shared" si="5"/>
        <v>74000</v>
      </c>
      <c r="H32" s="20">
        <f t="shared" si="5"/>
        <v>73750</v>
      </c>
      <c r="I32" s="22">
        <f t="shared" si="5"/>
        <v>74990</v>
      </c>
      <c r="J32" s="21">
        <f t="shared" si="5"/>
        <v>75990</v>
      </c>
      <c r="K32" s="20">
        <f t="shared" si="5"/>
        <v>75490</v>
      </c>
      <c r="L32" s="19">
        <f t="shared" si="5"/>
        <v>73630</v>
      </c>
      <c r="M32" s="18">
        <f t="shared" si="5"/>
        <v>1.2192000000000001</v>
      </c>
      <c r="N32" s="17">
        <f t="shared" si="5"/>
        <v>1.0383</v>
      </c>
      <c r="O32" s="16">
        <f t="shared" si="5"/>
        <v>126.92</v>
      </c>
      <c r="P32" s="15">
        <f t="shared" si="5"/>
        <v>58251.58</v>
      </c>
      <c r="Q32" s="15">
        <f t="shared" si="5"/>
        <v>58507.27</v>
      </c>
      <c r="R32" s="15">
        <f t="shared" si="5"/>
        <v>68384.879725085906</v>
      </c>
      <c r="S32" s="14">
        <f t="shared" si="5"/>
        <v>1.2201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44712</v>
      </c>
      <c r="D5" s="74"/>
      <c r="F5" s="75">
        <v>44712</v>
      </c>
      <c r="G5" s="74"/>
      <c r="I5" s="75">
        <v>44712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44684</v>
      </c>
      <c r="D8" s="68">
        <v>9526.9500000000007</v>
      </c>
      <c r="F8" s="69">
        <f t="shared" ref="F8:F28" si="0">C8</f>
        <v>44684</v>
      </c>
      <c r="G8" s="68">
        <v>2989.97</v>
      </c>
      <c r="I8" s="69">
        <f t="shared" ref="I8:I28" si="1">C8</f>
        <v>44684</v>
      </c>
      <c r="J8" s="68">
        <v>3973.41</v>
      </c>
    </row>
    <row r="9" spans="2:10" x14ac:dyDescent="0.2">
      <c r="C9" s="69">
        <v>44685</v>
      </c>
      <c r="D9" s="68">
        <v>9494.5</v>
      </c>
      <c r="F9" s="69">
        <f t="shared" si="0"/>
        <v>44685</v>
      </c>
      <c r="G9" s="68">
        <v>2913.47</v>
      </c>
      <c r="I9" s="69">
        <f t="shared" si="1"/>
        <v>44685</v>
      </c>
      <c r="J9" s="68">
        <v>3905.05</v>
      </c>
    </row>
    <row r="10" spans="2:10" x14ac:dyDescent="0.2">
      <c r="C10" s="69">
        <v>44686</v>
      </c>
      <c r="D10" s="68">
        <v>9676.36</v>
      </c>
      <c r="F10" s="69">
        <f t="shared" si="0"/>
        <v>44686</v>
      </c>
      <c r="G10" s="68">
        <v>2988</v>
      </c>
      <c r="I10" s="69">
        <f t="shared" si="1"/>
        <v>44686</v>
      </c>
      <c r="J10" s="68">
        <v>4021</v>
      </c>
    </row>
    <row r="11" spans="2:10" x14ac:dyDescent="0.2">
      <c r="C11" s="69">
        <v>44687</v>
      </c>
      <c r="D11" s="68">
        <v>9459.02</v>
      </c>
      <c r="F11" s="69">
        <f t="shared" si="0"/>
        <v>44687</v>
      </c>
      <c r="G11" s="68">
        <v>2907.21</v>
      </c>
      <c r="I11" s="69">
        <f t="shared" si="1"/>
        <v>44687</v>
      </c>
      <c r="J11" s="68">
        <v>3864.44</v>
      </c>
    </row>
    <row r="12" spans="2:10" x14ac:dyDescent="0.2">
      <c r="C12" s="69">
        <v>44690</v>
      </c>
      <c r="D12" s="68">
        <v>9285.81</v>
      </c>
      <c r="F12" s="69">
        <f t="shared" si="0"/>
        <v>44690</v>
      </c>
      <c r="G12" s="68">
        <v>2817.34</v>
      </c>
      <c r="I12" s="69">
        <f t="shared" si="1"/>
        <v>44690</v>
      </c>
      <c r="J12" s="68">
        <v>3764.15</v>
      </c>
    </row>
    <row r="13" spans="2:10" x14ac:dyDescent="0.2">
      <c r="C13" s="69">
        <v>44691</v>
      </c>
      <c r="D13" s="68">
        <v>9363.5</v>
      </c>
      <c r="F13" s="69">
        <f t="shared" si="0"/>
        <v>44691</v>
      </c>
      <c r="G13" s="68">
        <v>2757.89</v>
      </c>
      <c r="I13" s="69">
        <f t="shared" si="1"/>
        <v>44691</v>
      </c>
      <c r="J13" s="68">
        <v>3672.45</v>
      </c>
    </row>
    <row r="14" spans="2:10" x14ac:dyDescent="0.2">
      <c r="C14" s="69">
        <v>44692</v>
      </c>
      <c r="D14" s="68">
        <v>9315</v>
      </c>
      <c r="F14" s="69">
        <f t="shared" si="0"/>
        <v>44692</v>
      </c>
      <c r="G14" s="68">
        <v>2798.94</v>
      </c>
      <c r="I14" s="69">
        <f t="shared" si="1"/>
        <v>44692</v>
      </c>
      <c r="J14" s="68">
        <v>3642.73</v>
      </c>
    </row>
    <row r="15" spans="2:10" x14ac:dyDescent="0.2">
      <c r="C15" s="69">
        <v>44693</v>
      </c>
      <c r="D15" s="68">
        <v>9132.08</v>
      </c>
      <c r="F15" s="69">
        <f t="shared" si="0"/>
        <v>44693</v>
      </c>
      <c r="G15" s="68">
        <v>2750.07</v>
      </c>
      <c r="I15" s="69">
        <f t="shared" si="1"/>
        <v>44693</v>
      </c>
      <c r="J15" s="68">
        <v>3603.73</v>
      </c>
    </row>
    <row r="16" spans="2:10" x14ac:dyDescent="0.2">
      <c r="C16" s="69">
        <v>44694</v>
      </c>
      <c r="D16" s="68">
        <v>9126.7800000000007</v>
      </c>
      <c r="F16" s="69">
        <f t="shared" si="0"/>
        <v>44694</v>
      </c>
      <c r="G16" s="68">
        <v>2789.74</v>
      </c>
      <c r="I16" s="69">
        <f t="shared" si="1"/>
        <v>44694</v>
      </c>
      <c r="J16" s="68">
        <v>3554</v>
      </c>
    </row>
    <row r="17" spans="2:10" x14ac:dyDescent="0.2">
      <c r="C17" s="69">
        <v>44697</v>
      </c>
      <c r="D17" s="68">
        <v>9168.5</v>
      </c>
      <c r="F17" s="69">
        <f t="shared" si="0"/>
        <v>44697</v>
      </c>
      <c r="G17" s="68">
        <v>2837.51</v>
      </c>
      <c r="I17" s="69">
        <f t="shared" si="1"/>
        <v>44697</v>
      </c>
      <c r="J17" s="68">
        <v>3530</v>
      </c>
    </row>
    <row r="18" spans="2:10" x14ac:dyDescent="0.2">
      <c r="C18" s="69">
        <v>44698</v>
      </c>
      <c r="D18" s="68">
        <v>9323.4</v>
      </c>
      <c r="F18" s="69">
        <f t="shared" si="0"/>
        <v>44698</v>
      </c>
      <c r="G18" s="68">
        <v>2835.5</v>
      </c>
      <c r="I18" s="69">
        <f t="shared" si="1"/>
        <v>44698</v>
      </c>
      <c r="J18" s="68">
        <v>3622.62</v>
      </c>
    </row>
    <row r="19" spans="2:10" x14ac:dyDescent="0.2">
      <c r="C19" s="69">
        <v>44699</v>
      </c>
      <c r="D19" s="68">
        <v>9286.4500000000007</v>
      </c>
      <c r="F19" s="69">
        <f t="shared" si="0"/>
        <v>44699</v>
      </c>
      <c r="G19" s="68">
        <v>2886.76</v>
      </c>
      <c r="I19" s="69">
        <f t="shared" si="1"/>
        <v>44699</v>
      </c>
      <c r="J19" s="68">
        <v>3636.75</v>
      </c>
    </row>
    <row r="20" spans="2:10" x14ac:dyDescent="0.2">
      <c r="C20" s="69">
        <v>44700</v>
      </c>
      <c r="D20" s="68">
        <v>9251.73</v>
      </c>
      <c r="F20" s="69">
        <f t="shared" si="0"/>
        <v>44700</v>
      </c>
      <c r="G20" s="68">
        <v>2855.34</v>
      </c>
      <c r="I20" s="69">
        <f t="shared" si="1"/>
        <v>44700</v>
      </c>
      <c r="J20" s="68">
        <v>3585.69</v>
      </c>
    </row>
    <row r="21" spans="2:10" x14ac:dyDescent="0.2">
      <c r="C21" s="69">
        <v>44701</v>
      </c>
      <c r="D21" s="68">
        <v>9469.5</v>
      </c>
      <c r="F21" s="69">
        <f t="shared" si="0"/>
        <v>44701</v>
      </c>
      <c r="G21" s="68">
        <v>2951.99</v>
      </c>
      <c r="I21" s="69">
        <f t="shared" si="1"/>
        <v>44701</v>
      </c>
      <c r="J21" s="68">
        <v>3734</v>
      </c>
    </row>
    <row r="22" spans="2:10" x14ac:dyDescent="0.2">
      <c r="C22" s="69">
        <v>44704</v>
      </c>
      <c r="D22" s="68">
        <v>9499.5</v>
      </c>
      <c r="F22" s="69">
        <f t="shared" si="0"/>
        <v>44704</v>
      </c>
      <c r="G22" s="68">
        <v>2985.81</v>
      </c>
      <c r="I22" s="69">
        <f t="shared" si="1"/>
        <v>44704</v>
      </c>
      <c r="J22" s="68">
        <v>3733</v>
      </c>
    </row>
    <row r="23" spans="2:10" x14ac:dyDescent="0.2">
      <c r="C23" s="69">
        <v>44705</v>
      </c>
      <c r="D23" s="68">
        <v>9442.25</v>
      </c>
      <c r="F23" s="69">
        <f t="shared" si="0"/>
        <v>44705</v>
      </c>
      <c r="G23" s="68">
        <v>2930.35</v>
      </c>
      <c r="I23" s="69">
        <f t="shared" si="1"/>
        <v>44705</v>
      </c>
      <c r="J23" s="68">
        <v>3753.55</v>
      </c>
    </row>
    <row r="24" spans="2:10" x14ac:dyDescent="0.2">
      <c r="C24" s="69">
        <v>44706</v>
      </c>
      <c r="D24" s="68">
        <v>9456.5</v>
      </c>
      <c r="F24" s="69">
        <f t="shared" si="0"/>
        <v>44706</v>
      </c>
      <c r="G24" s="68">
        <v>2873.67</v>
      </c>
      <c r="I24" s="69">
        <f t="shared" si="1"/>
        <v>44706</v>
      </c>
      <c r="J24" s="68">
        <v>3778.88</v>
      </c>
    </row>
    <row r="25" spans="2:10" x14ac:dyDescent="0.2">
      <c r="C25" s="69">
        <v>44707</v>
      </c>
      <c r="D25" s="68">
        <v>9290.69</v>
      </c>
      <c r="F25" s="69">
        <f t="shared" si="0"/>
        <v>44707</v>
      </c>
      <c r="G25" s="68">
        <v>2847.8</v>
      </c>
      <c r="I25" s="69">
        <f t="shared" si="1"/>
        <v>44707</v>
      </c>
      <c r="J25" s="68">
        <v>3717.22</v>
      </c>
    </row>
    <row r="26" spans="2:10" x14ac:dyDescent="0.2">
      <c r="C26" s="69">
        <v>44708</v>
      </c>
      <c r="D26" s="68">
        <v>9410.83</v>
      </c>
      <c r="F26" s="69">
        <f t="shared" si="0"/>
        <v>44708</v>
      </c>
      <c r="G26" s="68">
        <v>2876.79</v>
      </c>
      <c r="I26" s="69">
        <f t="shared" si="1"/>
        <v>44708</v>
      </c>
      <c r="J26" s="68">
        <v>3764.09</v>
      </c>
    </row>
    <row r="27" spans="2:10" x14ac:dyDescent="0.2">
      <c r="C27" s="69">
        <v>44711</v>
      </c>
      <c r="D27" s="68">
        <v>9548.44</v>
      </c>
      <c r="F27" s="69">
        <f t="shared" si="0"/>
        <v>44711</v>
      </c>
      <c r="G27" s="68">
        <v>2890.37</v>
      </c>
      <c r="I27" s="69">
        <f t="shared" si="1"/>
        <v>44711</v>
      </c>
      <c r="J27" s="68">
        <v>3914.12</v>
      </c>
    </row>
    <row r="28" spans="2:10" ht="13.5" thickBot="1" x14ac:dyDescent="0.25">
      <c r="C28" s="69">
        <v>44712</v>
      </c>
      <c r="D28" s="68">
        <v>9561.67</v>
      </c>
      <c r="F28" s="69">
        <f t="shared" si="0"/>
        <v>44712</v>
      </c>
      <c r="G28" s="68">
        <v>2891.17</v>
      </c>
      <c r="I28" s="69">
        <f t="shared" si="1"/>
        <v>44712</v>
      </c>
      <c r="J28" s="68">
        <v>3937.55</v>
      </c>
    </row>
    <row r="29" spans="2:10" x14ac:dyDescent="0.2">
      <c r="B29" s="5"/>
      <c r="C29" s="67" t="s">
        <v>11</v>
      </c>
      <c r="D29" s="66">
        <f>ROUND(AVERAGE(D8:D28),2)</f>
        <v>9385.2099999999991</v>
      </c>
      <c r="F29" s="67" t="s">
        <v>11</v>
      </c>
      <c r="G29" s="66">
        <f>ROUND(AVERAGE(G8:G28),2)</f>
        <v>2875.03</v>
      </c>
      <c r="I29" s="67" t="s">
        <v>11</v>
      </c>
      <c r="J29" s="66">
        <f>ROUND(AVERAGE(J8:J28),2)</f>
        <v>3748.02</v>
      </c>
    </row>
    <row r="30" spans="2:10" x14ac:dyDescent="0.2">
      <c r="B30" s="5"/>
      <c r="C30" s="65" t="s">
        <v>12</v>
      </c>
      <c r="D30" s="64">
        <f>MAX(D8:D28)</f>
        <v>9676.36</v>
      </c>
      <c r="F30" s="65" t="s">
        <v>12</v>
      </c>
      <c r="G30" s="64">
        <f>MAX(G8:G28)</f>
        <v>2989.97</v>
      </c>
      <c r="I30" s="65" t="s">
        <v>12</v>
      </c>
      <c r="J30" s="64">
        <f>MAX(J8:J28)</f>
        <v>4021</v>
      </c>
    </row>
    <row r="31" spans="2:10" x14ac:dyDescent="0.2">
      <c r="B31" s="5"/>
      <c r="C31" s="63" t="s">
        <v>13</v>
      </c>
      <c r="D31" s="62">
        <f>MIN(D8:D28)</f>
        <v>9126.7800000000007</v>
      </c>
      <c r="F31" s="63" t="s">
        <v>13</v>
      </c>
      <c r="G31" s="62">
        <f>MIN(G8:G28)</f>
        <v>2750.07</v>
      </c>
      <c r="I31" s="63" t="s">
        <v>13</v>
      </c>
      <c r="J31" s="62">
        <f>MIN(J8:J28)</f>
        <v>3530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9385.2099999999991</v>
      </c>
      <c r="D11" s="155">
        <f>ABR!G29</f>
        <v>2875.03</v>
      </c>
      <c r="E11" s="155">
        <f>ABR!J29</f>
        <v>3748.02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1.2443</v>
      </c>
    </row>
    <row r="18" spans="2:9" x14ac:dyDescent="0.2">
      <c r="B18" s="151" t="s">
        <v>43</v>
      </c>
      <c r="C18" s="150">
        <f>'Averages Inc. Euro Eq'!F67</f>
        <v>128.78</v>
      </c>
    </row>
    <row r="19" spans="2:9" x14ac:dyDescent="0.2">
      <c r="B19" s="151" t="s">
        <v>41</v>
      </c>
      <c r="C19" s="149">
        <f>'Averages Inc. Euro Eq'!F68</f>
        <v>1.0576000000000001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2825.52</v>
      </c>
      <c r="D13" s="113">
        <v>1950.48</v>
      </c>
      <c r="E13" s="113">
        <v>9361.36</v>
      </c>
      <c r="F13" s="113">
        <v>2143.79</v>
      </c>
      <c r="G13" s="113">
        <v>27927.14</v>
      </c>
      <c r="H13" s="113">
        <v>35881.9</v>
      </c>
      <c r="I13" s="113">
        <v>3758.1</v>
      </c>
      <c r="J13" s="113">
        <v>2889.9</v>
      </c>
      <c r="K13" s="113">
        <v>0.5</v>
      </c>
      <c r="L13" s="113">
        <v>77077.38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2826.36</v>
      </c>
      <c r="D15" s="113">
        <v>1960.48</v>
      </c>
      <c r="E15" s="113">
        <v>9362.81</v>
      </c>
      <c r="F15" s="113">
        <v>2145.17</v>
      </c>
      <c r="G15" s="113">
        <v>27950</v>
      </c>
      <c r="H15" s="113">
        <v>35944.76</v>
      </c>
      <c r="I15" s="113">
        <v>3759.45</v>
      </c>
      <c r="J15" s="113">
        <v>2899.9</v>
      </c>
      <c r="K15" s="113">
        <v>1</v>
      </c>
      <c r="L15" s="113">
        <v>77577.38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2825.94</v>
      </c>
      <c r="D17" s="113">
        <v>1955.48</v>
      </c>
      <c r="E17" s="113">
        <v>9362.08</v>
      </c>
      <c r="F17" s="113">
        <v>2144.48</v>
      </c>
      <c r="G17" s="113">
        <v>27938.57</v>
      </c>
      <c r="H17" s="113">
        <v>35913.33</v>
      </c>
      <c r="I17" s="113">
        <v>3758.77</v>
      </c>
      <c r="J17" s="113">
        <v>2894.9</v>
      </c>
      <c r="K17" s="113">
        <v>0.75</v>
      </c>
      <c r="L17" s="113">
        <v>77327.38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2853.21</v>
      </c>
      <c r="D19" s="113">
        <v>1950.48</v>
      </c>
      <c r="E19" s="113">
        <v>9356.4</v>
      </c>
      <c r="F19" s="113">
        <v>2149.6</v>
      </c>
      <c r="G19" s="113">
        <v>27972.62</v>
      </c>
      <c r="H19" s="113">
        <v>35580.949999999997</v>
      </c>
      <c r="I19" s="113">
        <v>3740.05</v>
      </c>
      <c r="J19" s="113">
        <v>2882.33</v>
      </c>
      <c r="K19" s="113">
        <v>0.5</v>
      </c>
      <c r="L19" s="113">
        <v>77404.759999999995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2854.79</v>
      </c>
      <c r="D21" s="113">
        <v>1960.48</v>
      </c>
      <c r="E21" s="113">
        <v>9359.19</v>
      </c>
      <c r="F21" s="113">
        <v>2151.0500000000002</v>
      </c>
      <c r="G21" s="113">
        <v>28007.14</v>
      </c>
      <c r="H21" s="113">
        <v>35633.81</v>
      </c>
      <c r="I21" s="113">
        <v>3741.69</v>
      </c>
      <c r="J21" s="113">
        <v>2892.33</v>
      </c>
      <c r="K21" s="113">
        <v>1</v>
      </c>
      <c r="L21" s="113">
        <v>77904.759999999995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2854</v>
      </c>
      <c r="D23" s="113">
        <v>1955.48</v>
      </c>
      <c r="E23" s="113">
        <v>9357.7999999999993</v>
      </c>
      <c r="F23" s="113">
        <v>2150.3200000000002</v>
      </c>
      <c r="G23" s="113">
        <v>27989.88</v>
      </c>
      <c r="H23" s="113">
        <v>35607.379999999997</v>
      </c>
      <c r="I23" s="113">
        <v>3740.87</v>
      </c>
      <c r="J23" s="113">
        <v>2887.33</v>
      </c>
      <c r="K23" s="113">
        <v>0.75</v>
      </c>
      <c r="L23" s="113">
        <v>77654.759999999995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2798.71</v>
      </c>
      <c r="D25" s="113">
        <v>1950.48</v>
      </c>
      <c r="E25" s="113">
        <v>9321.9</v>
      </c>
      <c r="F25" s="113">
        <v>2119.71</v>
      </c>
      <c r="G25" s="113">
        <v>28262.62</v>
      </c>
      <c r="H25" s="113"/>
      <c r="I25" s="113">
        <v>3342.33</v>
      </c>
      <c r="J25" s="113">
        <v>2882.38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2803.71</v>
      </c>
      <c r="D27" s="113">
        <v>1960.48</v>
      </c>
      <c r="E27" s="113">
        <v>9331.9</v>
      </c>
      <c r="F27" s="113">
        <v>2124.71</v>
      </c>
      <c r="G27" s="113">
        <v>28312.62</v>
      </c>
      <c r="H27" s="113"/>
      <c r="I27" s="113">
        <v>3347.33</v>
      </c>
      <c r="J27" s="113">
        <v>2892.38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2801.21</v>
      </c>
      <c r="D29" s="113">
        <v>1955.48</v>
      </c>
      <c r="E29" s="113">
        <v>9326.9</v>
      </c>
      <c r="F29" s="113">
        <v>2122.21</v>
      </c>
      <c r="G29" s="113">
        <v>28287.62</v>
      </c>
      <c r="H29" s="113"/>
      <c r="I29" s="113">
        <v>3344.83</v>
      </c>
      <c r="J29" s="113">
        <v>2887.38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2733.52</v>
      </c>
      <c r="D31" s="113"/>
      <c r="E31" s="113">
        <v>9270.48</v>
      </c>
      <c r="F31" s="113">
        <v>2072.19</v>
      </c>
      <c r="G31" s="113">
        <v>28414.29</v>
      </c>
      <c r="H31" s="113"/>
      <c r="I31" s="113">
        <v>3068.9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2738.52</v>
      </c>
      <c r="D33" s="113"/>
      <c r="E33" s="113">
        <v>9280.48</v>
      </c>
      <c r="F33" s="113">
        <v>2077.19</v>
      </c>
      <c r="G33" s="113">
        <v>28464.29</v>
      </c>
      <c r="H33" s="113"/>
      <c r="I33" s="113">
        <v>3073.9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2736.02</v>
      </c>
      <c r="D35" s="113"/>
      <c r="E35" s="113">
        <v>9275.48</v>
      </c>
      <c r="F35" s="113">
        <v>2074.69</v>
      </c>
      <c r="G35" s="113">
        <v>28439.29</v>
      </c>
      <c r="H35" s="113"/>
      <c r="I35" s="113">
        <v>3071.4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2666.38</v>
      </c>
      <c r="D37" s="113"/>
      <c r="E37" s="113">
        <v>9240</v>
      </c>
      <c r="F37" s="113">
        <v>2072.19</v>
      </c>
      <c r="G37" s="113">
        <v>28416.67</v>
      </c>
      <c r="H37" s="113"/>
      <c r="I37" s="113">
        <v>2687.95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2671.38</v>
      </c>
      <c r="D39" s="113"/>
      <c r="E39" s="113">
        <v>9250</v>
      </c>
      <c r="F39" s="113">
        <v>2077.19</v>
      </c>
      <c r="G39" s="113">
        <v>28466.67</v>
      </c>
      <c r="H39" s="113"/>
      <c r="I39" s="113">
        <v>2692.95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2668.88</v>
      </c>
      <c r="D41" s="113"/>
      <c r="E41" s="113">
        <v>9245</v>
      </c>
      <c r="F41" s="113">
        <v>2074.69</v>
      </c>
      <c r="G41" s="113">
        <v>28441.67</v>
      </c>
      <c r="H41" s="113"/>
      <c r="I41" s="113">
        <v>2690.45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34768.1</v>
      </c>
      <c r="I43" s="113"/>
      <c r="J43" s="113"/>
      <c r="K43" s="113">
        <v>0.5</v>
      </c>
      <c r="L43" s="113">
        <v>78961.429999999993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34818.1</v>
      </c>
      <c r="I45" s="113"/>
      <c r="J45" s="113"/>
      <c r="K45" s="113">
        <v>1</v>
      </c>
      <c r="L45" s="113">
        <v>79961.429999999993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34793.1</v>
      </c>
      <c r="I47" s="110"/>
      <c r="J47" s="110"/>
      <c r="K47" s="110">
        <v>0.75</v>
      </c>
      <c r="L47" s="110">
        <v>79461.429999999993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2672.47</v>
      </c>
    </row>
    <row r="55" spans="2:5" x14ac:dyDescent="0.2">
      <c r="B55" s="100" t="s">
        <v>56</v>
      </c>
      <c r="C55" s="101">
        <v>1854.11</v>
      </c>
    </row>
    <row r="56" spans="2:5" x14ac:dyDescent="0.2">
      <c r="B56" s="100" t="s">
        <v>55</v>
      </c>
      <c r="C56" s="101">
        <v>8853.17</v>
      </c>
    </row>
    <row r="57" spans="2:5" x14ac:dyDescent="0.2">
      <c r="B57" s="100" t="s">
        <v>54</v>
      </c>
      <c r="C57" s="101">
        <v>2028.43</v>
      </c>
    </row>
    <row r="58" spans="2:5" x14ac:dyDescent="0.2">
      <c r="B58" s="100" t="s">
        <v>53</v>
      </c>
      <c r="C58" s="101">
        <v>26429.37</v>
      </c>
    </row>
    <row r="59" spans="2:5" x14ac:dyDescent="0.2">
      <c r="B59" s="100" t="s">
        <v>52</v>
      </c>
      <c r="C59" s="101">
        <v>33995.07</v>
      </c>
    </row>
    <row r="60" spans="2:5" x14ac:dyDescent="0.2">
      <c r="B60" s="100" t="s">
        <v>51</v>
      </c>
      <c r="C60" s="101">
        <v>3554.34</v>
      </c>
    </row>
    <row r="61" spans="2:5" x14ac:dyDescent="0.2">
      <c r="B61" s="98" t="s">
        <v>50</v>
      </c>
      <c r="C61" s="97">
        <v>2742.15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7524.62</v>
      </c>
      <c r="E65" s="96" t="s">
        <v>46</v>
      </c>
    </row>
    <row r="66" spans="2:9" x14ac:dyDescent="0.2">
      <c r="B66" s="93" t="s">
        <v>45</v>
      </c>
      <c r="D66" s="92">
        <v>7517.02</v>
      </c>
      <c r="E66" s="95" t="s">
        <v>10</v>
      </c>
      <c r="F66" s="90">
        <v>1.2443</v>
      </c>
    </row>
    <row r="67" spans="2:9" x14ac:dyDescent="0.2">
      <c r="B67" s="93" t="s">
        <v>44</v>
      </c>
      <c r="D67" s="92">
        <v>1724.02</v>
      </c>
      <c r="E67" s="95" t="s">
        <v>43</v>
      </c>
      <c r="F67" s="94">
        <v>128.78</v>
      </c>
    </row>
    <row r="68" spans="2:9" x14ac:dyDescent="0.2">
      <c r="B68" s="93" t="s">
        <v>42</v>
      </c>
      <c r="D68" s="92">
        <v>1727.71</v>
      </c>
      <c r="E68" s="91" t="s">
        <v>41</v>
      </c>
      <c r="F68" s="90">
        <v>1.0576000000000001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%username%</cp:lastModifiedBy>
  <cp:lastPrinted>2011-08-25T10:07:39Z</cp:lastPrinted>
  <dcterms:created xsi:type="dcterms:W3CDTF">2012-05-31T12:49:12Z</dcterms:created>
  <dcterms:modified xsi:type="dcterms:W3CDTF">2022-05-31T12:24:21Z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3f0e8ca6-21e0-4bd3-86f8-8cd5735f82c6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